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Trisha\Documents\WeSchool Documents\Subjects\Excel with Macros\Project\"/>
    </mc:Choice>
  </mc:AlternateContent>
  <xr:revisionPtr revIDLastSave="0" documentId="13_ncr:1_{457701ED-0D5C-4BC0-86C7-F1E0D9F5B45E}" xr6:coauthVersionLast="47" xr6:coauthVersionMax="47" xr10:uidLastSave="{00000000-0000-0000-0000-000000000000}"/>
  <bookViews>
    <workbookView xWindow="-110" yWindow="-110" windowWidth="19420" windowHeight="11500" tabRatio="924" activeTab="6" xr2:uid="{81B991AD-812D-4625-8AB9-185DA1A0D590}"/>
  </bookViews>
  <sheets>
    <sheet name="EmployeeData" sheetId="1" r:id="rId1"/>
    <sheet name="Pivot" sheetId="2" r:id="rId2"/>
    <sheet name="Dashboard" sheetId="4" r:id="rId3"/>
    <sheet name="SupermarketData" sheetId="6" r:id="rId4"/>
    <sheet name="IFS" sheetId="7" r:id="rId5"/>
    <sheet name="IndexandMatch" sheetId="8" r:id="rId6"/>
    <sheet name="Macros" sheetId="9" r:id="rId7"/>
  </sheets>
  <definedNames>
    <definedName name="_xlnm._FilterDatabase" localSheetId="6" hidden="1">Macros!$J$1:$J$512</definedName>
    <definedName name="Slicer_class">#N/A</definedName>
    <definedName name="Slicer_make">#N/A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 i="8" l="1" a="1"/>
  <c r="R8" i="8" s="1"/>
  <c r="I19" i="8"/>
  <c r="I12" i="8"/>
  <c r="I5" i="8"/>
  <c r="C25" i="7"/>
  <c r="D13" i="7"/>
  <c r="C13" i="7"/>
  <c r="C4" i="7"/>
  <c r="Z5" i="6"/>
  <c r="T5" i="6"/>
  <c r="Q5" i="1"/>
  <c r="Q4" i="1"/>
  <c r="C6" i="7"/>
  <c r="O512" i="9"/>
  <c r="O511" i="9"/>
  <c r="O510" i="9"/>
  <c r="O509" i="9"/>
  <c r="O508" i="9"/>
  <c r="O507" i="9"/>
  <c r="O506" i="9"/>
  <c r="O505" i="9"/>
  <c r="O504" i="9"/>
  <c r="O503" i="9"/>
  <c r="O502" i="9"/>
  <c r="O501" i="9"/>
  <c r="O500" i="9"/>
  <c r="O499" i="9"/>
  <c r="O498" i="9"/>
  <c r="O497" i="9"/>
  <c r="O496" i="9"/>
  <c r="O495" i="9"/>
  <c r="O494" i="9"/>
  <c r="O493" i="9"/>
  <c r="O492" i="9"/>
  <c r="O491" i="9"/>
  <c r="O490" i="9"/>
  <c r="O489" i="9"/>
  <c r="O488" i="9"/>
  <c r="O487" i="9"/>
  <c r="O486" i="9"/>
  <c r="O485" i="9"/>
  <c r="O484" i="9"/>
  <c r="O483" i="9"/>
  <c r="O482" i="9"/>
  <c r="O481" i="9"/>
  <c r="O480" i="9"/>
  <c r="O479" i="9"/>
  <c r="O478" i="9"/>
  <c r="O477" i="9"/>
  <c r="O476" i="9"/>
  <c r="O475" i="9"/>
  <c r="O474" i="9"/>
  <c r="O473" i="9"/>
  <c r="O472" i="9"/>
  <c r="O471" i="9"/>
  <c r="O470" i="9"/>
  <c r="O469" i="9"/>
  <c r="O468" i="9"/>
  <c r="O467" i="9"/>
  <c r="O466" i="9"/>
  <c r="O465" i="9"/>
  <c r="O464" i="9"/>
  <c r="O463" i="9"/>
  <c r="O462" i="9"/>
  <c r="O461" i="9"/>
  <c r="O460" i="9"/>
  <c r="O459" i="9"/>
  <c r="O458" i="9"/>
  <c r="O457" i="9"/>
  <c r="O456" i="9"/>
  <c r="O455" i="9"/>
  <c r="O454" i="9"/>
  <c r="O453" i="9"/>
  <c r="O452" i="9"/>
  <c r="O451" i="9"/>
  <c r="O450" i="9"/>
  <c r="O449" i="9"/>
  <c r="O448" i="9"/>
  <c r="O447" i="9"/>
  <c r="O446" i="9"/>
  <c r="O445" i="9"/>
  <c r="O444" i="9"/>
  <c r="O443" i="9"/>
  <c r="O442" i="9"/>
  <c r="O441" i="9"/>
  <c r="O440" i="9"/>
  <c r="O439" i="9"/>
  <c r="O438" i="9"/>
  <c r="O437" i="9"/>
  <c r="O436" i="9"/>
  <c r="O435" i="9"/>
  <c r="O434" i="9"/>
  <c r="O433" i="9"/>
  <c r="O432" i="9"/>
  <c r="O431" i="9"/>
  <c r="O430" i="9"/>
  <c r="O429" i="9"/>
  <c r="O428" i="9"/>
  <c r="O427" i="9"/>
  <c r="O426" i="9"/>
  <c r="O425" i="9"/>
  <c r="O424" i="9"/>
  <c r="O423" i="9"/>
  <c r="O422" i="9"/>
  <c r="O421" i="9"/>
  <c r="O420" i="9"/>
  <c r="O419" i="9"/>
  <c r="O418" i="9"/>
  <c r="O417" i="9"/>
  <c r="O416" i="9"/>
  <c r="O415" i="9"/>
  <c r="O414" i="9"/>
  <c r="O413" i="9"/>
  <c r="O412" i="9"/>
  <c r="O411" i="9"/>
  <c r="O410" i="9"/>
  <c r="O409" i="9"/>
  <c r="O408" i="9"/>
  <c r="O407" i="9"/>
  <c r="O406" i="9"/>
  <c r="O405" i="9"/>
  <c r="O404" i="9"/>
  <c r="O403" i="9"/>
  <c r="O402" i="9"/>
  <c r="O401" i="9"/>
  <c r="O400" i="9"/>
  <c r="O399" i="9"/>
  <c r="O398" i="9"/>
  <c r="O397" i="9"/>
  <c r="O396" i="9"/>
  <c r="O395" i="9"/>
  <c r="O394" i="9"/>
  <c r="O393" i="9"/>
  <c r="O392" i="9"/>
  <c r="O391" i="9"/>
  <c r="O390" i="9"/>
  <c r="O389" i="9"/>
  <c r="O388" i="9"/>
  <c r="O387" i="9"/>
  <c r="O386" i="9"/>
  <c r="O385" i="9"/>
  <c r="O384" i="9"/>
  <c r="O383" i="9"/>
  <c r="O382" i="9"/>
  <c r="O381" i="9"/>
  <c r="O380" i="9"/>
  <c r="O379" i="9"/>
  <c r="O378" i="9"/>
  <c r="O377" i="9"/>
  <c r="O376" i="9"/>
  <c r="O375" i="9"/>
  <c r="O374" i="9"/>
  <c r="O373" i="9"/>
  <c r="O372" i="9"/>
  <c r="O371" i="9"/>
  <c r="O370" i="9"/>
  <c r="O369" i="9"/>
  <c r="O368" i="9"/>
  <c r="O367" i="9"/>
  <c r="O366" i="9"/>
  <c r="O365" i="9"/>
  <c r="O364" i="9"/>
  <c r="O363" i="9"/>
  <c r="O362" i="9"/>
  <c r="O361" i="9"/>
  <c r="O360" i="9"/>
  <c r="O359" i="9"/>
  <c r="O358" i="9"/>
  <c r="O357" i="9"/>
  <c r="O356" i="9"/>
  <c r="O355" i="9"/>
  <c r="O354" i="9"/>
  <c r="O353" i="9"/>
  <c r="O352" i="9"/>
  <c r="O351" i="9"/>
  <c r="O350" i="9"/>
  <c r="O349" i="9"/>
  <c r="O348" i="9"/>
  <c r="O347" i="9"/>
  <c r="O346" i="9"/>
  <c r="O345" i="9"/>
  <c r="O344" i="9"/>
  <c r="O343" i="9"/>
  <c r="O342" i="9"/>
  <c r="O341" i="9"/>
  <c r="O340" i="9"/>
  <c r="O339" i="9"/>
  <c r="O338" i="9"/>
  <c r="O337" i="9"/>
  <c r="O336" i="9"/>
  <c r="O335" i="9"/>
  <c r="O334" i="9"/>
  <c r="O333" i="9"/>
  <c r="O332" i="9"/>
  <c r="O331" i="9"/>
  <c r="O330" i="9"/>
  <c r="O329" i="9"/>
  <c r="O328" i="9"/>
  <c r="O327" i="9"/>
  <c r="O326" i="9"/>
  <c r="O325" i="9"/>
  <c r="O324" i="9"/>
  <c r="O323" i="9"/>
  <c r="O322" i="9"/>
  <c r="O321" i="9"/>
  <c r="O320" i="9"/>
  <c r="O319" i="9"/>
  <c r="O318" i="9"/>
  <c r="O317" i="9"/>
  <c r="O316" i="9"/>
  <c r="O315" i="9"/>
  <c r="O314" i="9"/>
  <c r="O313" i="9"/>
  <c r="O312" i="9"/>
  <c r="O311" i="9"/>
  <c r="O310" i="9"/>
  <c r="O309" i="9"/>
  <c r="O308" i="9"/>
  <c r="O307" i="9"/>
  <c r="O306" i="9"/>
  <c r="O305" i="9"/>
  <c r="O304" i="9"/>
  <c r="O303" i="9"/>
  <c r="O302" i="9"/>
  <c r="O301" i="9"/>
  <c r="O300" i="9"/>
  <c r="O299" i="9"/>
  <c r="O298" i="9"/>
  <c r="O297" i="9"/>
  <c r="O296" i="9"/>
  <c r="O295" i="9"/>
  <c r="O294" i="9"/>
  <c r="O293" i="9"/>
  <c r="O292" i="9"/>
  <c r="O291" i="9"/>
  <c r="O290" i="9"/>
  <c r="O289" i="9"/>
  <c r="O288" i="9"/>
  <c r="O287" i="9"/>
  <c r="O286" i="9"/>
  <c r="O285" i="9"/>
  <c r="O284" i="9"/>
  <c r="O283" i="9"/>
  <c r="O282" i="9"/>
  <c r="O281" i="9"/>
  <c r="O280" i="9"/>
  <c r="O279" i="9"/>
  <c r="O278" i="9"/>
  <c r="O277" i="9"/>
  <c r="O276" i="9"/>
  <c r="O275" i="9"/>
  <c r="O274" i="9"/>
  <c r="O273" i="9"/>
  <c r="O272" i="9"/>
  <c r="O271" i="9"/>
  <c r="O270" i="9"/>
  <c r="O269" i="9"/>
  <c r="O268" i="9"/>
  <c r="O267" i="9"/>
  <c r="O266" i="9"/>
  <c r="O265" i="9"/>
  <c r="O264" i="9"/>
  <c r="O263" i="9"/>
  <c r="O262" i="9"/>
  <c r="O261" i="9"/>
  <c r="O260" i="9"/>
  <c r="O259" i="9"/>
  <c r="O258" i="9"/>
  <c r="O257" i="9"/>
  <c r="O256" i="9"/>
  <c r="O255" i="9"/>
  <c r="O254" i="9"/>
  <c r="O253" i="9"/>
  <c r="O252" i="9"/>
  <c r="O251" i="9"/>
  <c r="O250" i="9"/>
  <c r="O249" i="9"/>
  <c r="O248" i="9"/>
  <c r="O247" i="9"/>
  <c r="O246" i="9"/>
  <c r="O245" i="9"/>
  <c r="O244" i="9"/>
  <c r="O243" i="9"/>
  <c r="O242" i="9"/>
  <c r="O241" i="9"/>
  <c r="O240" i="9"/>
  <c r="O239" i="9"/>
  <c r="O238" i="9"/>
  <c r="O237" i="9"/>
  <c r="O236" i="9"/>
  <c r="O235" i="9"/>
  <c r="O234" i="9"/>
  <c r="O233" i="9"/>
  <c r="O232" i="9"/>
  <c r="O231" i="9"/>
  <c r="O230" i="9"/>
  <c r="O229" i="9"/>
  <c r="O228" i="9"/>
  <c r="O227" i="9"/>
  <c r="O226" i="9"/>
  <c r="O225" i="9"/>
  <c r="O224" i="9"/>
  <c r="O223" i="9"/>
  <c r="O222" i="9"/>
  <c r="O221" i="9"/>
  <c r="O220" i="9"/>
  <c r="O219" i="9"/>
  <c r="O218" i="9"/>
  <c r="O217" i="9"/>
  <c r="O216" i="9"/>
  <c r="O215" i="9"/>
  <c r="O214" i="9"/>
  <c r="O213" i="9"/>
  <c r="O212" i="9"/>
  <c r="O211" i="9"/>
  <c r="O210" i="9"/>
  <c r="O209" i="9"/>
  <c r="O208" i="9"/>
  <c r="O207" i="9"/>
  <c r="O206" i="9"/>
  <c r="O205" i="9"/>
  <c r="O204" i="9"/>
  <c r="O203" i="9"/>
  <c r="O202" i="9"/>
  <c r="O201" i="9"/>
  <c r="O200" i="9"/>
  <c r="O199" i="9"/>
  <c r="O198" i="9"/>
  <c r="O197" i="9"/>
  <c r="O196" i="9"/>
  <c r="O195" i="9"/>
  <c r="O194" i="9"/>
  <c r="O193" i="9"/>
  <c r="O192" i="9"/>
  <c r="O191" i="9"/>
  <c r="O190" i="9"/>
  <c r="O189" i="9"/>
  <c r="O188" i="9"/>
  <c r="O187" i="9"/>
  <c r="O186" i="9"/>
  <c r="O185" i="9"/>
  <c r="O184" i="9"/>
  <c r="O183" i="9"/>
  <c r="O182" i="9"/>
  <c r="O181" i="9"/>
  <c r="O180" i="9"/>
  <c r="O179" i="9"/>
  <c r="O178" i="9"/>
  <c r="O177" i="9"/>
  <c r="O176" i="9"/>
  <c r="O175" i="9"/>
  <c r="O174" i="9"/>
  <c r="O173" i="9"/>
  <c r="O172" i="9"/>
  <c r="O171" i="9"/>
  <c r="O170" i="9"/>
  <c r="O169" i="9"/>
  <c r="O168" i="9"/>
  <c r="O167" i="9"/>
  <c r="O166" i="9"/>
  <c r="O165" i="9"/>
  <c r="O164" i="9"/>
  <c r="O163" i="9"/>
  <c r="O162" i="9"/>
  <c r="O161" i="9"/>
  <c r="O160" i="9"/>
  <c r="O159" i="9"/>
  <c r="O158" i="9"/>
  <c r="O157" i="9"/>
  <c r="O156" i="9"/>
  <c r="O155" i="9"/>
  <c r="O154" i="9"/>
  <c r="O153" i="9"/>
  <c r="O152" i="9"/>
  <c r="O151" i="9"/>
  <c r="O150" i="9"/>
  <c r="O149" i="9"/>
  <c r="O148" i="9"/>
  <c r="O147" i="9"/>
  <c r="O146" i="9"/>
  <c r="O145" i="9"/>
  <c r="O144" i="9"/>
  <c r="O143" i="9"/>
  <c r="O142" i="9"/>
  <c r="O141" i="9"/>
  <c r="O140" i="9"/>
  <c r="O139" i="9"/>
  <c r="O138" i="9"/>
  <c r="O137" i="9"/>
  <c r="O136" i="9"/>
  <c r="O135" i="9"/>
  <c r="O134" i="9"/>
  <c r="O133" i="9"/>
  <c r="O132" i="9"/>
  <c r="O131" i="9"/>
  <c r="O130" i="9"/>
  <c r="O129" i="9"/>
  <c r="O128" i="9"/>
  <c r="O127" i="9"/>
  <c r="O126" i="9"/>
  <c r="O125" i="9"/>
  <c r="O124" i="9"/>
  <c r="O123" i="9"/>
  <c r="O122" i="9"/>
  <c r="O121" i="9"/>
  <c r="O120" i="9"/>
  <c r="O119" i="9"/>
  <c r="O118" i="9"/>
  <c r="O117" i="9"/>
  <c r="O116" i="9"/>
  <c r="O115" i="9"/>
  <c r="O114" i="9"/>
  <c r="O113" i="9"/>
  <c r="O112" i="9"/>
  <c r="O111" i="9"/>
  <c r="O110" i="9"/>
  <c r="O109" i="9"/>
  <c r="O108" i="9"/>
  <c r="O107" i="9"/>
  <c r="O106" i="9"/>
  <c r="O105" i="9"/>
  <c r="O104" i="9"/>
  <c r="O103" i="9"/>
  <c r="O102" i="9"/>
  <c r="O101" i="9"/>
  <c r="O100" i="9"/>
  <c r="O99" i="9"/>
  <c r="O98" i="9"/>
  <c r="O97" i="9"/>
  <c r="O96" i="9"/>
  <c r="O95" i="9"/>
  <c r="O94" i="9"/>
  <c r="O93" i="9"/>
  <c r="O92" i="9"/>
  <c r="O91" i="9"/>
  <c r="O90" i="9"/>
  <c r="O89" i="9"/>
  <c r="O88" i="9"/>
  <c r="O87" i="9"/>
  <c r="O86" i="9"/>
  <c r="O85" i="9"/>
  <c r="O84" i="9"/>
  <c r="O83" i="9"/>
  <c r="O82" i="9"/>
  <c r="O81" i="9"/>
  <c r="O80" i="9"/>
  <c r="O79" i="9"/>
  <c r="O78" i="9"/>
  <c r="O77" i="9"/>
  <c r="O76" i="9"/>
  <c r="O75" i="9"/>
  <c r="O74" i="9"/>
  <c r="O73" i="9"/>
  <c r="O72" i="9"/>
  <c r="O71" i="9"/>
  <c r="O70" i="9"/>
  <c r="O69" i="9"/>
  <c r="O68" i="9"/>
  <c r="O67" i="9"/>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O33" i="9"/>
  <c r="O32" i="9"/>
  <c r="O31" i="9"/>
  <c r="O30" i="9"/>
  <c r="O29" i="9"/>
  <c r="O28" i="9"/>
  <c r="O27" i="9"/>
  <c r="O26" i="9"/>
  <c r="O25" i="9"/>
  <c r="O24" i="9"/>
  <c r="O23" i="9"/>
  <c r="O22" i="9"/>
  <c r="O21" i="9"/>
  <c r="O20" i="9"/>
  <c r="O19" i="9"/>
  <c r="O18" i="9"/>
  <c r="O17" i="9"/>
  <c r="O16" i="9"/>
  <c r="O15" i="9"/>
  <c r="O14" i="9"/>
  <c r="O13" i="9"/>
  <c r="O12" i="9"/>
  <c r="O11" i="9"/>
  <c r="O10" i="9"/>
  <c r="O9" i="9"/>
  <c r="O8" i="9"/>
  <c r="O7" i="9"/>
  <c r="O6" i="9"/>
  <c r="O5" i="9"/>
  <c r="O4" i="9"/>
  <c r="O3" i="9"/>
  <c r="O2" i="9"/>
  <c r="Z6" i="6"/>
  <c r="Z7" i="6"/>
  <c r="Z8" i="6"/>
  <c r="Z9" i="6"/>
  <c r="Z10" i="6"/>
  <c r="Z11" i="6"/>
  <c r="Z12" i="6"/>
  <c r="Z13" i="6"/>
  <c r="Z14" i="6"/>
  <c r="Z15" i="6"/>
  <c r="Z16" i="6"/>
  <c r="Z17" i="6"/>
  <c r="Z18" i="6"/>
  <c r="Z19" i="6"/>
  <c r="Z20" i="6"/>
  <c r="Z21" i="6"/>
  <c r="Z22" i="6"/>
  <c r="Z23" i="6"/>
  <c r="Z24" i="6"/>
  <c r="Z25" i="6"/>
  <c r="Z26" i="6"/>
  <c r="Z27" i="6"/>
  <c r="Z28" i="6"/>
  <c r="Z29" i="6"/>
  <c r="Z30" i="6"/>
  <c r="Z31" i="6"/>
  <c r="Z32" i="6"/>
  <c r="Z33" i="6"/>
  <c r="Z34" i="6"/>
  <c r="Z35" i="6"/>
  <c r="Z36" i="6"/>
  <c r="Z37" i="6"/>
  <c r="Z38" i="6"/>
  <c r="Z39" i="6"/>
  <c r="Z40" i="6"/>
  <c r="Z41" i="6"/>
  <c r="Z42" i="6"/>
  <c r="Z43" i="6"/>
  <c r="Z44" i="6"/>
  <c r="Z45" i="6"/>
  <c r="Z46" i="6"/>
  <c r="Z47" i="6"/>
  <c r="Z48" i="6"/>
  <c r="Z49" i="6"/>
  <c r="Z50" i="6"/>
  <c r="Z51" i="6"/>
  <c r="Z52" i="6"/>
  <c r="Z53" i="6"/>
  <c r="U5" i="6"/>
  <c r="V5" i="6"/>
  <c r="W5" i="6"/>
  <c r="T6" i="6"/>
  <c r="U6" i="6"/>
  <c r="V6" i="6"/>
  <c r="W6" i="6"/>
  <c r="T7" i="6"/>
  <c r="U7" i="6"/>
  <c r="V7" i="6"/>
  <c r="W7" i="6"/>
  <c r="T8" i="6"/>
  <c r="U8" i="6"/>
  <c r="V8" i="6"/>
  <c r="W8" i="6"/>
  <c r="T9" i="6"/>
  <c r="U9" i="6"/>
  <c r="V9" i="6"/>
  <c r="W9" i="6"/>
  <c r="T10" i="6"/>
  <c r="U10" i="6"/>
  <c r="V10" i="6"/>
  <c r="W10" i="6"/>
  <c r="T11" i="6"/>
  <c r="U11" i="6"/>
  <c r="V11" i="6"/>
  <c r="W11" i="6"/>
  <c r="T12" i="6"/>
  <c r="U12" i="6"/>
  <c r="V12" i="6"/>
  <c r="W12" i="6"/>
  <c r="T13" i="6"/>
  <c r="U13" i="6"/>
  <c r="V13" i="6"/>
  <c r="W13" i="6"/>
  <c r="T14" i="6"/>
  <c r="U14" i="6"/>
  <c r="V14" i="6"/>
  <c r="W14" i="6"/>
  <c r="T15" i="6"/>
  <c r="U15" i="6"/>
  <c r="V15" i="6"/>
  <c r="W15" i="6"/>
  <c r="T16" i="6"/>
  <c r="U16" i="6"/>
  <c r="V16" i="6"/>
  <c r="W16" i="6"/>
  <c r="T17" i="6"/>
  <c r="U17" i="6"/>
  <c r="V17" i="6"/>
  <c r="W17" i="6"/>
  <c r="T18" i="6"/>
  <c r="U18" i="6"/>
  <c r="V18" i="6"/>
  <c r="W18" i="6"/>
  <c r="T19" i="6"/>
  <c r="U19" i="6"/>
  <c r="V19" i="6"/>
  <c r="W19" i="6"/>
  <c r="T20" i="6"/>
  <c r="U20" i="6"/>
  <c r="V20" i="6"/>
  <c r="W20" i="6"/>
  <c r="T21" i="6"/>
  <c r="U21" i="6"/>
  <c r="V21" i="6"/>
  <c r="W21" i="6"/>
  <c r="T22" i="6"/>
  <c r="U22" i="6"/>
  <c r="V22" i="6"/>
  <c r="W22" i="6"/>
  <c r="T23" i="6"/>
  <c r="U23" i="6"/>
  <c r="V23" i="6"/>
  <c r="W23" i="6"/>
  <c r="T24" i="6"/>
  <c r="U24" i="6"/>
  <c r="V24" i="6"/>
  <c r="W24" i="6"/>
  <c r="T25" i="6"/>
  <c r="U25" i="6"/>
  <c r="V25" i="6"/>
  <c r="W25" i="6"/>
  <c r="T26" i="6"/>
  <c r="U26" i="6"/>
  <c r="V26" i="6"/>
  <c r="W26" i="6"/>
  <c r="T27" i="6"/>
  <c r="U27" i="6"/>
  <c r="V27" i="6"/>
  <c r="W27" i="6"/>
  <c r="T28" i="6"/>
  <c r="U28" i="6"/>
  <c r="V28" i="6"/>
  <c r="W28" i="6"/>
  <c r="T29" i="6"/>
  <c r="U29" i="6"/>
  <c r="V29" i="6"/>
  <c r="W29" i="6"/>
  <c r="T30" i="6"/>
  <c r="U30" i="6"/>
  <c r="V30" i="6"/>
  <c r="W30" i="6"/>
  <c r="T31" i="6"/>
  <c r="U31" i="6"/>
  <c r="V31" i="6"/>
  <c r="W31" i="6"/>
  <c r="T32" i="6"/>
  <c r="U32" i="6"/>
  <c r="V32" i="6"/>
  <c r="W32" i="6"/>
  <c r="T33" i="6"/>
  <c r="U33" i="6"/>
  <c r="V33" i="6"/>
  <c r="W33" i="6"/>
  <c r="T34" i="6"/>
  <c r="U34" i="6"/>
  <c r="V34" i="6"/>
  <c r="W34" i="6"/>
  <c r="T35" i="6"/>
  <c r="U35" i="6"/>
  <c r="V35" i="6"/>
  <c r="W35" i="6"/>
  <c r="T36" i="6"/>
  <c r="U36" i="6"/>
  <c r="V36" i="6"/>
  <c r="W36" i="6"/>
  <c r="T37" i="6"/>
  <c r="U37" i="6"/>
  <c r="V37" i="6"/>
  <c r="W37" i="6"/>
  <c r="T38" i="6"/>
  <c r="U38" i="6"/>
  <c r="V38" i="6"/>
  <c r="W38" i="6"/>
  <c r="T39" i="6"/>
  <c r="U39" i="6"/>
  <c r="V39" i="6"/>
  <c r="W39" i="6"/>
  <c r="T40" i="6"/>
  <c r="U40" i="6"/>
  <c r="V40" i="6"/>
  <c r="W40" i="6"/>
  <c r="T41" i="6"/>
  <c r="U41" i="6"/>
  <c r="V41" i="6"/>
  <c r="W41" i="6"/>
  <c r="T42" i="6"/>
  <c r="U42" i="6"/>
  <c r="V42" i="6"/>
  <c r="W42" i="6"/>
  <c r="T43" i="6"/>
  <c r="U43" i="6"/>
  <c r="V43" i="6"/>
  <c r="W43" i="6"/>
  <c r="T44" i="6"/>
  <c r="U44" i="6"/>
  <c r="V44" i="6"/>
  <c r="W44" i="6"/>
  <c r="T45" i="6"/>
  <c r="U45" i="6"/>
  <c r="V45" i="6"/>
  <c r="W45" i="6"/>
  <c r="T46" i="6"/>
  <c r="U46" i="6"/>
  <c r="V46" i="6"/>
  <c r="W46" i="6"/>
  <c r="T47" i="6"/>
  <c r="U47" i="6"/>
  <c r="V47" i="6"/>
  <c r="W47" i="6"/>
  <c r="T48" i="6"/>
  <c r="U48" i="6"/>
  <c r="V48" i="6"/>
  <c r="W48" i="6"/>
  <c r="T49" i="6"/>
  <c r="U49" i="6"/>
  <c r="V49" i="6"/>
  <c r="W49" i="6"/>
  <c r="T50" i="6"/>
  <c r="U50" i="6"/>
  <c r="V50" i="6"/>
  <c r="W50" i="6"/>
  <c r="T51" i="6"/>
  <c r="U51" i="6"/>
  <c r="V51" i="6"/>
  <c r="W51" i="6"/>
  <c r="T52" i="6"/>
  <c r="U52" i="6"/>
  <c r="V52" i="6"/>
  <c r="W52" i="6"/>
  <c r="T53" i="6"/>
  <c r="U53" i="6"/>
  <c r="V53" i="6"/>
  <c r="W53" i="6"/>
  <c r="D27" i="7" l="1"/>
  <c r="E27" i="7"/>
  <c r="F27" i="7"/>
  <c r="G27" i="7"/>
  <c r="H27" i="7"/>
  <c r="D26" i="7"/>
  <c r="E26" i="7"/>
  <c r="F26" i="7"/>
  <c r="G26" i="7"/>
  <c r="H26" i="7"/>
  <c r="D25" i="7"/>
  <c r="E25" i="7"/>
  <c r="F25" i="7"/>
  <c r="G25" i="7"/>
  <c r="H25" i="7"/>
  <c r="C26" i="7"/>
  <c r="C27" i="7"/>
  <c r="E14" i="7"/>
  <c r="E15" i="7"/>
  <c r="E16" i="7"/>
  <c r="E17" i="7"/>
  <c r="E18" i="7"/>
  <c r="E13" i="7"/>
  <c r="D14" i="7"/>
  <c r="D15" i="7"/>
  <c r="D16" i="7"/>
  <c r="D17" i="7"/>
  <c r="D18" i="7"/>
  <c r="C14" i="7"/>
  <c r="C15" i="7"/>
  <c r="C16" i="7"/>
  <c r="C17" i="7"/>
  <c r="C18" i="7"/>
  <c r="D7" i="7"/>
  <c r="E7" i="7"/>
  <c r="F7" i="7"/>
  <c r="G7" i="7"/>
  <c r="H7" i="7"/>
  <c r="C7" i="7"/>
  <c r="D6" i="7"/>
  <c r="E6" i="7"/>
  <c r="F6" i="7"/>
  <c r="G6" i="7"/>
  <c r="H6" i="7"/>
  <c r="D5" i="7"/>
  <c r="E5" i="7"/>
  <c r="F5" i="7"/>
  <c r="G5" i="7"/>
  <c r="H5" i="7"/>
  <c r="C5" i="7"/>
  <c r="H4" i="7"/>
  <c r="G4" i="7"/>
  <c r="F4" i="7"/>
  <c r="E4" i="7"/>
  <c r="D4" i="7"/>
  <c r="O512" i="6" l="1"/>
  <c r="O511" i="6"/>
  <c r="O510" i="6"/>
  <c r="O509" i="6"/>
  <c r="O508" i="6"/>
  <c r="O507" i="6"/>
  <c r="O506" i="6"/>
  <c r="O505" i="6"/>
  <c r="O504" i="6"/>
  <c r="O503" i="6"/>
  <c r="O502" i="6"/>
  <c r="O501" i="6"/>
  <c r="O500" i="6"/>
  <c r="O499" i="6"/>
  <c r="O498" i="6"/>
  <c r="O497" i="6"/>
  <c r="O496" i="6"/>
  <c r="O495" i="6"/>
  <c r="O494" i="6"/>
  <c r="O493" i="6"/>
  <c r="O492" i="6"/>
  <c r="O491" i="6"/>
  <c r="O490" i="6"/>
  <c r="O489" i="6"/>
  <c r="O488" i="6"/>
  <c r="O487" i="6"/>
  <c r="O486" i="6"/>
  <c r="O485" i="6"/>
  <c r="O484" i="6"/>
  <c r="O483" i="6"/>
  <c r="O482" i="6"/>
  <c r="O481" i="6"/>
  <c r="O480" i="6"/>
  <c r="O479" i="6"/>
  <c r="O478" i="6"/>
  <c r="O477" i="6"/>
  <c r="O476" i="6"/>
  <c r="O475" i="6"/>
  <c r="O474" i="6"/>
  <c r="O473" i="6"/>
  <c r="O472" i="6"/>
  <c r="O471" i="6"/>
  <c r="O470" i="6"/>
  <c r="O469" i="6"/>
  <c r="O468" i="6"/>
  <c r="O467" i="6"/>
  <c r="O466" i="6"/>
  <c r="O465" i="6"/>
  <c r="O464" i="6"/>
  <c r="O463" i="6"/>
  <c r="O462" i="6"/>
  <c r="O461" i="6"/>
  <c r="O460" i="6"/>
  <c r="O459" i="6"/>
  <c r="O458" i="6"/>
  <c r="O457" i="6"/>
  <c r="O456" i="6"/>
  <c r="O455" i="6"/>
  <c r="O454" i="6"/>
  <c r="O453" i="6"/>
  <c r="O452" i="6"/>
  <c r="O451" i="6"/>
  <c r="O450" i="6"/>
  <c r="O449" i="6"/>
  <c r="O448" i="6"/>
  <c r="O447" i="6"/>
  <c r="O446" i="6"/>
  <c r="O445" i="6"/>
  <c r="O444" i="6"/>
  <c r="O443" i="6"/>
  <c r="O442" i="6"/>
  <c r="O441" i="6"/>
  <c r="O440" i="6"/>
  <c r="O439" i="6"/>
  <c r="O438" i="6"/>
  <c r="O437" i="6"/>
  <c r="O436" i="6"/>
  <c r="O435" i="6"/>
  <c r="O434" i="6"/>
  <c r="O433" i="6"/>
  <c r="O432" i="6"/>
  <c r="O431" i="6"/>
  <c r="O430" i="6"/>
  <c r="O429" i="6"/>
  <c r="O428" i="6"/>
  <c r="O427" i="6"/>
  <c r="O426" i="6"/>
  <c r="O425" i="6"/>
  <c r="O424" i="6"/>
  <c r="O423" i="6"/>
  <c r="O422" i="6"/>
  <c r="O421" i="6"/>
  <c r="O420" i="6"/>
  <c r="O419" i="6"/>
  <c r="O418" i="6"/>
  <c r="O417" i="6"/>
  <c r="O416" i="6"/>
  <c r="O415" i="6"/>
  <c r="O414" i="6"/>
  <c r="O413" i="6"/>
  <c r="O412" i="6"/>
  <c r="O411" i="6"/>
  <c r="O410" i="6"/>
  <c r="O409" i="6"/>
  <c r="O408" i="6"/>
  <c r="O407" i="6"/>
  <c r="O406" i="6"/>
  <c r="O405" i="6"/>
  <c r="O404" i="6"/>
  <c r="O403" i="6"/>
  <c r="O402" i="6"/>
  <c r="O401" i="6"/>
  <c r="O400" i="6"/>
  <c r="O399" i="6"/>
  <c r="O398" i="6"/>
  <c r="O397" i="6"/>
  <c r="O396" i="6"/>
  <c r="O395" i="6"/>
  <c r="O394" i="6"/>
  <c r="O393" i="6"/>
  <c r="O392" i="6"/>
  <c r="O391" i="6"/>
  <c r="O390" i="6"/>
  <c r="O389" i="6"/>
  <c r="O388" i="6"/>
  <c r="O387" i="6"/>
  <c r="O386" i="6"/>
  <c r="O385" i="6"/>
  <c r="O384" i="6"/>
  <c r="O383" i="6"/>
  <c r="O382" i="6"/>
  <c r="O381" i="6"/>
  <c r="O380" i="6"/>
  <c r="O379" i="6"/>
  <c r="O378" i="6"/>
  <c r="O377" i="6"/>
  <c r="O376" i="6"/>
  <c r="O375" i="6"/>
  <c r="O374" i="6"/>
  <c r="O373" i="6"/>
  <c r="O372" i="6"/>
  <c r="O371" i="6"/>
  <c r="O370" i="6"/>
  <c r="O369" i="6"/>
  <c r="O368" i="6"/>
  <c r="O367" i="6"/>
  <c r="O366" i="6"/>
  <c r="O365" i="6"/>
  <c r="O364" i="6"/>
  <c r="O363" i="6"/>
  <c r="O362" i="6"/>
  <c r="O361" i="6"/>
  <c r="O360" i="6"/>
  <c r="O359" i="6"/>
  <c r="O358" i="6"/>
  <c r="O357" i="6"/>
  <c r="O356" i="6"/>
  <c r="O355" i="6"/>
  <c r="O354" i="6"/>
  <c r="O353" i="6"/>
  <c r="O352" i="6"/>
  <c r="O351" i="6"/>
  <c r="O350" i="6"/>
  <c r="O349" i="6"/>
  <c r="O348" i="6"/>
  <c r="O347" i="6"/>
  <c r="O346" i="6"/>
  <c r="O345" i="6"/>
  <c r="O344" i="6"/>
  <c r="O343" i="6"/>
  <c r="O342" i="6"/>
  <c r="O341" i="6"/>
  <c r="O340" i="6"/>
  <c r="O339" i="6"/>
  <c r="O338" i="6"/>
  <c r="O337" i="6"/>
  <c r="O336" i="6"/>
  <c r="O335" i="6"/>
  <c r="O334" i="6"/>
  <c r="O333" i="6"/>
  <c r="O332" i="6"/>
  <c r="O331" i="6"/>
  <c r="O330" i="6"/>
  <c r="O329" i="6"/>
  <c r="O328" i="6"/>
  <c r="O327" i="6"/>
  <c r="O326" i="6"/>
  <c r="O325" i="6"/>
  <c r="O324" i="6"/>
  <c r="O323" i="6"/>
  <c r="O322" i="6"/>
  <c r="O321" i="6"/>
  <c r="O320" i="6"/>
  <c r="O319" i="6"/>
  <c r="O318" i="6"/>
  <c r="O317" i="6"/>
  <c r="O316" i="6"/>
  <c r="O315" i="6"/>
  <c r="O314" i="6"/>
  <c r="O313" i="6"/>
  <c r="O312" i="6"/>
  <c r="O311" i="6"/>
  <c r="O310" i="6"/>
  <c r="O309" i="6"/>
  <c r="O308" i="6"/>
  <c r="O307" i="6"/>
  <c r="O306" i="6"/>
  <c r="O305" i="6"/>
  <c r="O304" i="6"/>
  <c r="O303" i="6"/>
  <c r="O302" i="6"/>
  <c r="O301" i="6"/>
  <c r="O300" i="6"/>
  <c r="O299" i="6"/>
  <c r="O298" i="6"/>
  <c r="O297" i="6"/>
  <c r="O296" i="6"/>
  <c r="O295" i="6"/>
  <c r="O294" i="6"/>
  <c r="O293" i="6"/>
  <c r="O292" i="6"/>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O33" i="6"/>
  <c r="O32" i="6"/>
  <c r="O31" i="6"/>
  <c r="O30" i="6"/>
  <c r="O29" i="6"/>
  <c r="O28" i="6"/>
  <c r="O27" i="6"/>
  <c r="O26" i="6"/>
  <c r="O25" i="6"/>
  <c r="O24" i="6"/>
  <c r="O23" i="6"/>
  <c r="O22" i="6"/>
  <c r="O21" i="6"/>
  <c r="O20" i="6"/>
  <c r="O19" i="6"/>
  <c r="O18" i="6"/>
  <c r="O17" i="6"/>
  <c r="O16" i="6"/>
  <c r="O15" i="6"/>
  <c r="O14" i="6"/>
  <c r="O13" i="6"/>
  <c r="O12" i="6"/>
  <c r="O11" i="6"/>
  <c r="O10" i="6"/>
  <c r="O9" i="6"/>
  <c r="O8" i="6"/>
  <c r="O7" i="6"/>
  <c r="O6" i="6"/>
  <c r="O5" i="6"/>
  <c r="O4" i="6"/>
  <c r="O3" i="6"/>
  <c r="O2" i="6"/>
  <c r="P14" i="1" l="1"/>
  <c r="P11" i="1"/>
  <c r="P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<sst xmlns="http://schemas.openxmlformats.org/spreadsheetml/2006/main" count="18178" uniqueCount="2098">
  <si>
    <t>EEID</t>
  </si>
  <si>
    <t>Full Name</t>
  </si>
  <si>
    <t>Job Title</t>
  </si>
  <si>
    <t>Department</t>
  </si>
  <si>
    <t>Business Unit</t>
  </si>
  <si>
    <t>Gender</t>
  </si>
  <si>
    <t>Ethnicity</t>
  </si>
  <si>
    <t>Age</t>
  </si>
  <si>
    <t>Hire Date</t>
  </si>
  <si>
    <t>Annual Salary</t>
  </si>
  <si>
    <t>Bonus %</t>
  </si>
  <si>
    <t>Country</t>
  </si>
  <si>
    <t>City</t>
  </si>
  <si>
    <t>Exit Date</t>
  </si>
  <si>
    <t>E02387</t>
  </si>
  <si>
    <t>Emily Davis</t>
  </si>
  <si>
    <t>Sr. Manger</t>
  </si>
  <si>
    <t>IT</t>
  </si>
  <si>
    <t>Research &amp; Development</t>
  </si>
  <si>
    <t>Female</t>
  </si>
  <si>
    <t>Black</t>
  </si>
  <si>
    <t>United States</t>
  </si>
  <si>
    <t>Seattle</t>
  </si>
  <si>
    <t>E04105</t>
  </si>
  <si>
    <t>Theodore Dinh</t>
  </si>
  <si>
    <t>Technical Architect</t>
  </si>
  <si>
    <t>Manufacturing</t>
  </si>
  <si>
    <t>Male</t>
  </si>
  <si>
    <t>Asian</t>
  </si>
  <si>
    <t>China</t>
  </si>
  <si>
    <t>Chongqing</t>
  </si>
  <si>
    <t>E02572</t>
  </si>
  <si>
    <t>Luna Sanders</t>
  </si>
  <si>
    <t>Director</t>
  </si>
  <si>
    <t>Finance</t>
  </si>
  <si>
    <t>Speciality Products</t>
  </si>
  <si>
    <t>Caucasian</t>
  </si>
  <si>
    <t>Chicago</t>
  </si>
  <si>
    <t>E02832</t>
  </si>
  <si>
    <t>Penelope Jordan</t>
  </si>
  <si>
    <t>Computer Systems Manager</t>
  </si>
  <si>
    <t>E01639</t>
  </si>
  <si>
    <t>Austin Vo</t>
  </si>
  <si>
    <t>Sr. Analyst</t>
  </si>
  <si>
    <t>Phoenix</t>
  </si>
  <si>
    <t>E00644</t>
  </si>
  <si>
    <t>Joshua Gupta</t>
  </si>
  <si>
    <t>Account Representative</t>
  </si>
  <si>
    <t>Sales</t>
  </si>
  <si>
    <t>Corporate</t>
  </si>
  <si>
    <t>E01550</t>
  </si>
  <si>
    <t>Ruby Barnes</t>
  </si>
  <si>
    <t>Manager</t>
  </si>
  <si>
    <t>E04332</t>
  </si>
  <si>
    <t>Luke Martin</t>
  </si>
  <si>
    <t>Analyst</t>
  </si>
  <si>
    <t>Miami</t>
  </si>
  <si>
    <t>E04533</t>
  </si>
  <si>
    <t>Easton Bailey</t>
  </si>
  <si>
    <t>Accounting</t>
  </si>
  <si>
    <t>Austin</t>
  </si>
  <si>
    <t>E03838</t>
  </si>
  <si>
    <t>Madeline Walker</t>
  </si>
  <si>
    <t>E00591</t>
  </si>
  <si>
    <t>Savannah Ali</t>
  </si>
  <si>
    <t>Human Resources</t>
  </si>
  <si>
    <t>E03344</t>
  </si>
  <si>
    <t>Camila Rogers</t>
  </si>
  <si>
    <t>Controls Engineer</t>
  </si>
  <si>
    <t>Engineering</t>
  </si>
  <si>
    <t>E00530</t>
  </si>
  <si>
    <t>Eli Jones</t>
  </si>
  <si>
    <t>E04239</t>
  </si>
  <si>
    <t>Everleigh Ng</t>
  </si>
  <si>
    <t>Shanghai</t>
  </si>
  <si>
    <t>E03496</t>
  </si>
  <si>
    <t>Robert Yang</t>
  </si>
  <si>
    <t>E00549</t>
  </si>
  <si>
    <t>Isabella Xi</t>
  </si>
  <si>
    <t>Vice President</t>
  </si>
  <si>
    <t>Marketing</t>
  </si>
  <si>
    <t>E00163</t>
  </si>
  <si>
    <t>Bella Powell</t>
  </si>
  <si>
    <t>E00884</t>
  </si>
  <si>
    <t>Camila Silva</t>
  </si>
  <si>
    <t>Latino</t>
  </si>
  <si>
    <t>E04116</t>
  </si>
  <si>
    <t>David Barnes</t>
  </si>
  <si>
    <t>Columbus</t>
  </si>
  <si>
    <t>E04625</t>
  </si>
  <si>
    <t>Adam Dang</t>
  </si>
  <si>
    <t>E03680</t>
  </si>
  <si>
    <t>Elias Alvarado</t>
  </si>
  <si>
    <t>Brazil</t>
  </si>
  <si>
    <t>Manaus</t>
  </si>
  <si>
    <t>E04732</t>
  </si>
  <si>
    <t>Eva Rivera</t>
  </si>
  <si>
    <t>E03484</t>
  </si>
  <si>
    <t>Logan Rivera</t>
  </si>
  <si>
    <t>Rio de Janerio</t>
  </si>
  <si>
    <t>E00671</t>
  </si>
  <si>
    <t>Leonardo Dixon</t>
  </si>
  <si>
    <t>E02071</t>
  </si>
  <si>
    <t>Mateo Her</t>
  </si>
  <si>
    <t>E02206</t>
  </si>
  <si>
    <t>Jose Henderson</t>
  </si>
  <si>
    <t>E04545</t>
  </si>
  <si>
    <t>Abigail Mejia</t>
  </si>
  <si>
    <t>Quality Engineer</t>
  </si>
  <si>
    <t>E00154</t>
  </si>
  <si>
    <t>Wyatt Chin</t>
  </si>
  <si>
    <t>E03343</t>
  </si>
  <si>
    <t>Carson Lu</t>
  </si>
  <si>
    <t>Engineering Manager</t>
  </si>
  <si>
    <t>Beijing</t>
  </si>
  <si>
    <t>E00304</t>
  </si>
  <si>
    <t>Dylan Choi</t>
  </si>
  <si>
    <t>E02594</t>
  </si>
  <si>
    <t>Ezekiel Kumar</t>
  </si>
  <si>
    <t>IT Coordinator</t>
  </si>
  <si>
    <t>E00402</t>
  </si>
  <si>
    <t>Dominic Guzman</t>
  </si>
  <si>
    <t>E01994</t>
  </si>
  <si>
    <t>Angel Powell</t>
  </si>
  <si>
    <t>Analyst II</t>
  </si>
  <si>
    <t>E03549</t>
  </si>
  <si>
    <t>Mateo Vu</t>
  </si>
  <si>
    <t>E03247</t>
  </si>
  <si>
    <t>Caroline Jenkins</t>
  </si>
  <si>
    <t>E02074</t>
  </si>
  <si>
    <t>Nora Brown</t>
  </si>
  <si>
    <t>Enterprise Architect</t>
  </si>
  <si>
    <t>E04152</t>
  </si>
  <si>
    <t>Adeline Huang</t>
  </si>
  <si>
    <t>Chengdu</t>
  </si>
  <si>
    <t>E01628</t>
  </si>
  <si>
    <t>Jackson Perry</t>
  </si>
  <si>
    <t>E04285</t>
  </si>
  <si>
    <t>Riley Padilla</t>
  </si>
  <si>
    <t>E01417</t>
  </si>
  <si>
    <t>Leah Pena</t>
  </si>
  <si>
    <t>E01754</t>
  </si>
  <si>
    <t>Owen Lam</t>
  </si>
  <si>
    <t>Sr. Business Partner</t>
  </si>
  <si>
    <t>E03749</t>
  </si>
  <si>
    <t>Kennedy Foster</t>
  </si>
  <si>
    <t>E03574</t>
  </si>
  <si>
    <t>John Moore</t>
  </si>
  <si>
    <t>E04600</t>
  </si>
  <si>
    <t>William Vu</t>
  </si>
  <si>
    <t>E00586</t>
  </si>
  <si>
    <t>Sadie Washington</t>
  </si>
  <si>
    <t>E03538</t>
  </si>
  <si>
    <t>Gabriel Holmes</t>
  </si>
  <si>
    <t>E02185</t>
  </si>
  <si>
    <t>Wyatt Rojas</t>
  </si>
  <si>
    <t>E03830</t>
  </si>
  <si>
    <t>Eva Coleman</t>
  </si>
  <si>
    <t>E03720</t>
  </si>
  <si>
    <t>Dominic Clark</t>
  </si>
  <si>
    <t>E03025</t>
  </si>
  <si>
    <t>Lucy Alexander</t>
  </si>
  <si>
    <t>E04917</t>
  </si>
  <si>
    <t>Everleigh Washington</t>
  </si>
  <si>
    <t>HRIS Analyst</t>
  </si>
  <si>
    <t>E00415</t>
  </si>
  <si>
    <t>Leilani Butler</t>
  </si>
  <si>
    <t>E02862</t>
  </si>
  <si>
    <t>Peyton Huang</t>
  </si>
  <si>
    <t>E04207</t>
  </si>
  <si>
    <t>John Contreras</t>
  </si>
  <si>
    <t>E02139</t>
  </si>
  <si>
    <t>Rylee Yu</t>
  </si>
  <si>
    <t>E01797</t>
  </si>
  <si>
    <t>Piper Lewis</t>
  </si>
  <si>
    <t>Field Engineer</t>
  </si>
  <si>
    <t>E01839</t>
  </si>
  <si>
    <t>Stella Alexander</t>
  </si>
  <si>
    <t>Automation Engineer</t>
  </si>
  <si>
    <t>E01633</t>
  </si>
  <si>
    <t>Addison Do</t>
  </si>
  <si>
    <t>Operations Engineer</t>
  </si>
  <si>
    <t>E01848</t>
  </si>
  <si>
    <t>Zoey Jackson</t>
  </si>
  <si>
    <t>Business Partner</t>
  </si>
  <si>
    <t>E00716</t>
  </si>
  <si>
    <t>John Chow</t>
  </si>
  <si>
    <t>E00699</t>
  </si>
  <si>
    <t>Ava Ayala</t>
  </si>
  <si>
    <t>E00502</t>
  </si>
  <si>
    <t>Natalia Salazar</t>
  </si>
  <si>
    <t>E04000</t>
  </si>
  <si>
    <t>Skylar Carrillo</t>
  </si>
  <si>
    <t>E02112</t>
  </si>
  <si>
    <t>Christian Sanders</t>
  </si>
  <si>
    <t>E03824</t>
  </si>
  <si>
    <t>Penelope Coleman</t>
  </si>
  <si>
    <t>E03906</t>
  </si>
  <si>
    <t>Piper Richardson</t>
  </si>
  <si>
    <t>E00436</t>
  </si>
  <si>
    <t>Everly Walker</t>
  </si>
  <si>
    <t>E04798</t>
  </si>
  <si>
    <t>Aurora Ali</t>
  </si>
  <si>
    <t>E01249</t>
  </si>
  <si>
    <t>Penelope Guerrero</t>
  </si>
  <si>
    <t>E03349</t>
  </si>
  <si>
    <t>Anna Mehta</t>
  </si>
  <si>
    <t>Cloud Infrastructure Architect</t>
  </si>
  <si>
    <t>E02966</t>
  </si>
  <si>
    <t>William Foster</t>
  </si>
  <si>
    <t>E01499</t>
  </si>
  <si>
    <t>Jade Rojas</t>
  </si>
  <si>
    <t>E00105</t>
  </si>
  <si>
    <t>Isla Espinoza</t>
  </si>
  <si>
    <t>E00665</t>
  </si>
  <si>
    <t>David Chu</t>
  </si>
  <si>
    <t>E00791</t>
  </si>
  <si>
    <t>Thomas Padilla</t>
  </si>
  <si>
    <t>Sao Paulo</t>
  </si>
  <si>
    <t>E01540</t>
  </si>
  <si>
    <t>Miles Salazar</t>
  </si>
  <si>
    <t>E04474</t>
  </si>
  <si>
    <t>Mila Hong</t>
  </si>
  <si>
    <t>Test Engineer</t>
  </si>
  <si>
    <t>E03417</t>
  </si>
  <si>
    <t>Benjamin Moua</t>
  </si>
  <si>
    <t>E00254</t>
  </si>
  <si>
    <t>Samuel Morales</t>
  </si>
  <si>
    <t>E02166</t>
  </si>
  <si>
    <t>John Soto</t>
  </si>
  <si>
    <t>E00935</t>
  </si>
  <si>
    <t>Joseph Martin</t>
  </si>
  <si>
    <t>E01525</t>
  </si>
  <si>
    <t>Jose Ross</t>
  </si>
  <si>
    <t>E00386</t>
  </si>
  <si>
    <t>Parker James</t>
  </si>
  <si>
    <t>E00416</t>
  </si>
  <si>
    <t>Everleigh Fernandez</t>
  </si>
  <si>
    <t>E03383</t>
  </si>
  <si>
    <t>Lincoln Hall</t>
  </si>
  <si>
    <t>E01516</t>
  </si>
  <si>
    <t>Willow Mai</t>
  </si>
  <si>
    <t>E01234</t>
  </si>
  <si>
    <t>Jack Cheng</t>
  </si>
  <si>
    <t>E03440</t>
  </si>
  <si>
    <t>Genesis Navarro</t>
  </si>
  <si>
    <t>E00431</t>
  </si>
  <si>
    <t>Eliza Hernandez</t>
  </si>
  <si>
    <t>Network Architect</t>
  </si>
  <si>
    <t>E01258</t>
  </si>
  <si>
    <t>Gabriel Brooks</t>
  </si>
  <si>
    <t>Network Engineer</t>
  </si>
  <si>
    <t>E00440</t>
  </si>
  <si>
    <t>Jack Huynh</t>
  </si>
  <si>
    <t>E00595</t>
  </si>
  <si>
    <t>Everly Chow</t>
  </si>
  <si>
    <t>E00972</t>
  </si>
  <si>
    <t>Amelia Salazar</t>
  </si>
  <si>
    <t>E04562</t>
  </si>
  <si>
    <t>Xavier Zheng</t>
  </si>
  <si>
    <t>E02802</t>
  </si>
  <si>
    <t>Matthew Chau</t>
  </si>
  <si>
    <t>E01427</t>
  </si>
  <si>
    <t>Mia Cheng</t>
  </si>
  <si>
    <t>E04568</t>
  </si>
  <si>
    <t>E04931</t>
  </si>
  <si>
    <t>Zoe Romero</t>
  </si>
  <si>
    <t>E00443</t>
  </si>
  <si>
    <t>Nolan Bui</t>
  </si>
  <si>
    <t>E03890</t>
  </si>
  <si>
    <t>Nevaeh Jones</t>
  </si>
  <si>
    <t>E01194</t>
  </si>
  <si>
    <t>Samantha Adams</t>
  </si>
  <si>
    <t>E02875</t>
  </si>
  <si>
    <t>Madeline Shin</t>
  </si>
  <si>
    <t>E04959</t>
  </si>
  <si>
    <t>Noah King</t>
  </si>
  <si>
    <t>Development Engineer</t>
  </si>
  <si>
    <t>E03816</t>
  </si>
  <si>
    <t>Leilani Chow</t>
  </si>
  <si>
    <t>E01261</t>
  </si>
  <si>
    <t>Connor Simmons</t>
  </si>
  <si>
    <t>E03612</t>
  </si>
  <si>
    <t>Grayson Cooper</t>
  </si>
  <si>
    <t>E01388</t>
  </si>
  <si>
    <t>Ivy Soto</t>
  </si>
  <si>
    <t>E03875</t>
  </si>
  <si>
    <t>Aurora Simmons</t>
  </si>
  <si>
    <t>E04413</t>
  </si>
  <si>
    <t>Andrew Thomas</t>
  </si>
  <si>
    <t>E00691</t>
  </si>
  <si>
    <t>Ezekiel Desai</t>
  </si>
  <si>
    <t>E03047</t>
  </si>
  <si>
    <t>Gabriella Gupta</t>
  </si>
  <si>
    <t>Sr. Account Representative</t>
  </si>
  <si>
    <t>E04903</t>
  </si>
  <si>
    <t>Skylar Liu</t>
  </si>
  <si>
    <t>E04735</t>
  </si>
  <si>
    <t>Nova Coleman</t>
  </si>
  <si>
    <t>System Administrator </t>
  </si>
  <si>
    <t>E02850</t>
  </si>
  <si>
    <t>Evelyn Dinh</t>
  </si>
  <si>
    <t>E03583</t>
  </si>
  <si>
    <t>Brooks Marquez</t>
  </si>
  <si>
    <t>E02017</t>
  </si>
  <si>
    <t>Connor Joseph</t>
  </si>
  <si>
    <t>E01642</t>
  </si>
  <si>
    <t>Mia Lam</t>
  </si>
  <si>
    <t>E04379</t>
  </si>
  <si>
    <t>Scarlett Rodriguez</t>
  </si>
  <si>
    <t>E04131</t>
  </si>
  <si>
    <t>Cora Rivera</t>
  </si>
  <si>
    <t>E02872</t>
  </si>
  <si>
    <t>Liam Jung</t>
  </si>
  <si>
    <t>E02331</t>
  </si>
  <si>
    <t>Sophia Huynh</t>
  </si>
  <si>
    <t>E00417</t>
  </si>
  <si>
    <t>Athena Carrillo</t>
  </si>
  <si>
    <t>E04267</t>
  </si>
  <si>
    <t>Greyson Sanders</t>
  </si>
  <si>
    <t>E03061</t>
  </si>
  <si>
    <t>Vivian Lewis</t>
  </si>
  <si>
    <t>E00013</t>
  </si>
  <si>
    <t>Elena Vang</t>
  </si>
  <si>
    <t>E04265</t>
  </si>
  <si>
    <t>Natalia Diaz</t>
  </si>
  <si>
    <t>E04769</t>
  </si>
  <si>
    <t>Mila Leung</t>
  </si>
  <si>
    <t>E03042</t>
  </si>
  <si>
    <t>Ava Nelson</t>
  </si>
  <si>
    <t>Systems Analyst</t>
  </si>
  <si>
    <t>E00527</t>
  </si>
  <si>
    <t>Mateo Chu</t>
  </si>
  <si>
    <t>E01095</t>
  </si>
  <si>
    <t>Isla Lai</t>
  </si>
  <si>
    <t>E03131</t>
  </si>
  <si>
    <t>Ezekiel Reed</t>
  </si>
  <si>
    <t>E01713</t>
  </si>
  <si>
    <t>Nolan Guzman</t>
  </si>
  <si>
    <t>E00128</t>
  </si>
  <si>
    <t>Everleigh Espinoza</t>
  </si>
  <si>
    <t>E03849</t>
  </si>
  <si>
    <t>Evelyn Jung</t>
  </si>
  <si>
    <t>E02464</t>
  </si>
  <si>
    <t>Sophie Silva</t>
  </si>
  <si>
    <t>E00306</t>
  </si>
  <si>
    <t>Mateo Williams</t>
  </si>
  <si>
    <t>E03737</t>
  </si>
  <si>
    <t>Kennedy Rahman</t>
  </si>
  <si>
    <t>E02783</t>
  </si>
  <si>
    <t>Levi Mendez</t>
  </si>
  <si>
    <t>E02939</t>
  </si>
  <si>
    <t>Julian Fong</t>
  </si>
  <si>
    <t>E02706</t>
  </si>
  <si>
    <t>Nevaeh Kang</t>
  </si>
  <si>
    <t>E00170</t>
  </si>
  <si>
    <t>Hannah Nelson</t>
  </si>
  <si>
    <t>E01425</t>
  </si>
  <si>
    <t>Anthony Rogers</t>
  </si>
  <si>
    <t>E00130</t>
  </si>
  <si>
    <t>Paisley Kang</t>
  </si>
  <si>
    <t>E02094</t>
  </si>
  <si>
    <t>Matthew Gupta</t>
  </si>
  <si>
    <t>E03567</t>
  </si>
  <si>
    <t>Silas Chavez</t>
  </si>
  <si>
    <t>E04682</t>
  </si>
  <si>
    <t>Colton Thao</t>
  </si>
  <si>
    <t>E00957</t>
  </si>
  <si>
    <t>Genesis Perry</t>
  </si>
  <si>
    <t>E04458</t>
  </si>
  <si>
    <t>Alexander Bryant</t>
  </si>
  <si>
    <t>Elias Zhang</t>
  </si>
  <si>
    <t>Solutions Architect</t>
  </si>
  <si>
    <t>E00521</t>
  </si>
  <si>
    <t>Lily Carter</t>
  </si>
  <si>
    <t>E03717</t>
  </si>
  <si>
    <t>Joseph Ruiz</t>
  </si>
  <si>
    <t>E01533</t>
  </si>
  <si>
    <t>Avery Bailey</t>
  </si>
  <si>
    <t>E04449</t>
  </si>
  <si>
    <t>Miles Hsu</t>
  </si>
  <si>
    <t>E02855</t>
  </si>
  <si>
    <t>Piper Cheng</t>
  </si>
  <si>
    <t>E00816</t>
  </si>
  <si>
    <t>Skylar Watson</t>
  </si>
  <si>
    <t>E02283</t>
  </si>
  <si>
    <t>Jaxon Park</t>
  </si>
  <si>
    <t>E04888</t>
  </si>
  <si>
    <t>Elijah Henry</t>
  </si>
  <si>
    <t>E03907</t>
  </si>
  <si>
    <t>Camila Watson</t>
  </si>
  <si>
    <t>Lucas Thomas</t>
  </si>
  <si>
    <t>Skylar Doan</t>
  </si>
  <si>
    <t>E01501</t>
  </si>
  <si>
    <t>Hudson Liu</t>
  </si>
  <si>
    <t>E01141</t>
  </si>
  <si>
    <t>Gianna Williams</t>
  </si>
  <si>
    <t>E02254</t>
  </si>
  <si>
    <t>Jaxson Sandoval</t>
  </si>
  <si>
    <t>E04504</t>
  </si>
  <si>
    <t>Jameson Alvarado</t>
  </si>
  <si>
    <t>E03394</t>
  </si>
  <si>
    <t>Joseph Ly</t>
  </si>
  <si>
    <t>E02942</t>
  </si>
  <si>
    <t>Daniel Richardson</t>
  </si>
  <si>
    <t>E04130</t>
  </si>
  <si>
    <t>Elias Figueroa</t>
  </si>
  <si>
    <t>E02848</t>
  </si>
  <si>
    <t>Emma Brooks</t>
  </si>
  <si>
    <t>E00085</t>
  </si>
  <si>
    <t>Isla Wong</t>
  </si>
  <si>
    <t>E03956</t>
  </si>
  <si>
    <t>E00672</t>
  </si>
  <si>
    <t>Mila Pena</t>
  </si>
  <si>
    <t>E04618</t>
  </si>
  <si>
    <t>Mason Zhao</t>
  </si>
  <si>
    <t>E03506</t>
  </si>
  <si>
    <t>Jaxson Mai</t>
  </si>
  <si>
    <t>E00568</t>
  </si>
  <si>
    <t>Ava Garza</t>
  </si>
  <si>
    <t>E00535</t>
  </si>
  <si>
    <t>Nathan Mendez</t>
  </si>
  <si>
    <t>E04630</t>
  </si>
  <si>
    <t>Maria Griffin</t>
  </si>
  <si>
    <t>E00874</t>
  </si>
  <si>
    <t>Alexander Choi</t>
  </si>
  <si>
    <t>E01546</t>
  </si>
  <si>
    <t>Maria Hong</t>
  </si>
  <si>
    <t>E00941</t>
  </si>
  <si>
    <t>Sophie Ali</t>
  </si>
  <si>
    <t>E03446</t>
  </si>
  <si>
    <t>Julian Ross</t>
  </si>
  <si>
    <t>E01361</t>
  </si>
  <si>
    <t>Emma Hill</t>
  </si>
  <si>
    <t>E01631</t>
  </si>
  <si>
    <t>Leilani Yee</t>
  </si>
  <si>
    <t>E03719</t>
  </si>
  <si>
    <t>Jack Brown</t>
  </si>
  <si>
    <t>E03269</t>
  </si>
  <si>
    <t>Charlotte Chu</t>
  </si>
  <si>
    <t>E01037</t>
  </si>
  <si>
    <t>Jeremiah Chu</t>
  </si>
  <si>
    <t>IT Systems Architect</t>
  </si>
  <si>
    <t>Miles Cho</t>
  </si>
  <si>
    <t>E02216</t>
  </si>
  <si>
    <t>Caleb Marquez</t>
  </si>
  <si>
    <t>E02803</t>
  </si>
  <si>
    <t>Eli Soto</t>
  </si>
  <si>
    <t>E01584</t>
  </si>
  <si>
    <t>Carter Mejia</t>
  </si>
  <si>
    <t>E02489</t>
  </si>
  <si>
    <t>Ethan Clark</t>
  </si>
  <si>
    <t>E03189</t>
  </si>
  <si>
    <t>Asher Jackson</t>
  </si>
  <si>
    <t>E03560</t>
  </si>
  <si>
    <t>Ayla Ng</t>
  </si>
  <si>
    <t>E00769</t>
  </si>
  <si>
    <t>Jose Kang</t>
  </si>
  <si>
    <t>E02791</t>
  </si>
  <si>
    <t>Aubrey Romero</t>
  </si>
  <si>
    <t>E02333</t>
  </si>
  <si>
    <t>Jaxson Wright</t>
  </si>
  <si>
    <t>Service Desk Analyst</t>
  </si>
  <si>
    <t>E01002</t>
  </si>
  <si>
    <t>Elias Ali</t>
  </si>
  <si>
    <t>E03520</t>
  </si>
  <si>
    <t>Nolan Pena</t>
  </si>
  <si>
    <t>E00752</t>
  </si>
  <si>
    <t>Luna Liu</t>
  </si>
  <si>
    <t>E00233</t>
  </si>
  <si>
    <t>Brooklyn Reyes</t>
  </si>
  <si>
    <t>E02639</t>
  </si>
  <si>
    <t>Hadley Parker</t>
  </si>
  <si>
    <t>E00697</t>
  </si>
  <si>
    <t>Jonathan Chavez</t>
  </si>
  <si>
    <t>E02183</t>
  </si>
  <si>
    <t>Sarah Ayala</t>
  </si>
  <si>
    <t>E00715</t>
  </si>
  <si>
    <t>Elijah Kang</t>
  </si>
  <si>
    <t>E04288</t>
  </si>
  <si>
    <t>Ella White</t>
  </si>
  <si>
    <t>E02421</t>
  </si>
  <si>
    <t>Jordan Truong</t>
  </si>
  <si>
    <t>E00523</t>
  </si>
  <si>
    <t>Daniel Jordan</t>
  </si>
  <si>
    <t>Network Administrator</t>
  </si>
  <si>
    <t>E03615</t>
  </si>
  <si>
    <t>Daniel Dixon</t>
  </si>
  <si>
    <t>E02761</t>
  </si>
  <si>
    <t>Luca Duong</t>
  </si>
  <si>
    <t>E02121</t>
  </si>
  <si>
    <t>Levi Brown</t>
  </si>
  <si>
    <t>E01486</t>
  </si>
  <si>
    <t>Mason Cho</t>
  </si>
  <si>
    <t>E00725</t>
  </si>
  <si>
    <t>Nova Herrera</t>
  </si>
  <si>
    <t>E03027</t>
  </si>
  <si>
    <t>Elijah Watson</t>
  </si>
  <si>
    <t>E03689</t>
  </si>
  <si>
    <t>Wesley Gray</t>
  </si>
  <si>
    <t>E01986</t>
  </si>
  <si>
    <t>Wesley Sharma</t>
  </si>
  <si>
    <t>E01286</t>
  </si>
  <si>
    <t>Mateo Mendez</t>
  </si>
  <si>
    <t>E01409</t>
  </si>
  <si>
    <t>Jose Molina</t>
  </si>
  <si>
    <t>E00626</t>
  </si>
  <si>
    <t>Luna Simmons</t>
  </si>
  <si>
    <t>E04342</t>
  </si>
  <si>
    <t>Samantha Barnes</t>
  </si>
  <si>
    <t>E03904</t>
  </si>
  <si>
    <t>Hunter Ortiz</t>
  </si>
  <si>
    <t>E01291</t>
  </si>
  <si>
    <t>Thomas Aguilar</t>
  </si>
  <si>
    <t>E00917</t>
  </si>
  <si>
    <t>Skylar Bell</t>
  </si>
  <si>
    <t>E01484</t>
  </si>
  <si>
    <t>Anna Zhu</t>
  </si>
  <si>
    <t>E03864</t>
  </si>
  <si>
    <t>Ella Hunter</t>
  </si>
  <si>
    <t>E00488</t>
  </si>
  <si>
    <t>Emery Hunter</t>
  </si>
  <si>
    <t>E02227</t>
  </si>
  <si>
    <t>Sofia Parker</t>
  </si>
  <si>
    <t>E04802</t>
  </si>
  <si>
    <t>Lucy Fong</t>
  </si>
  <si>
    <t>E01970</t>
  </si>
  <si>
    <t>Vivian Barnes</t>
  </si>
  <si>
    <t>E02813</t>
  </si>
  <si>
    <t>Kai Chow</t>
  </si>
  <si>
    <t>E02031</t>
  </si>
  <si>
    <t>Melody Cooper</t>
  </si>
  <si>
    <t>E03252</t>
  </si>
  <si>
    <t>James Bui</t>
  </si>
  <si>
    <t>E04871</t>
  </si>
  <si>
    <t>Liam Grant</t>
  </si>
  <si>
    <t>E03547</t>
  </si>
  <si>
    <t>Owen Han</t>
  </si>
  <si>
    <t>E04742</t>
  </si>
  <si>
    <t>Kinsley Vega</t>
  </si>
  <si>
    <t>E01070</t>
  </si>
  <si>
    <t>Leonardo Martin</t>
  </si>
  <si>
    <t>E04359</t>
  </si>
  <si>
    <t>Greyson Lam</t>
  </si>
  <si>
    <t>E03268</t>
  </si>
  <si>
    <t>Emilia Rivera</t>
  </si>
  <si>
    <t>E04035</t>
  </si>
  <si>
    <t>Penelope Johnson</t>
  </si>
  <si>
    <t>E01221</t>
  </si>
  <si>
    <t>Eva Figueroa</t>
  </si>
  <si>
    <t>E00276</t>
  </si>
  <si>
    <t>Ezekiel Jordan</t>
  </si>
  <si>
    <t>E01687</t>
  </si>
  <si>
    <t>Luke Mai</t>
  </si>
  <si>
    <t>E02844</t>
  </si>
  <si>
    <t>Charles Diaz</t>
  </si>
  <si>
    <t>E01263</t>
  </si>
  <si>
    <t>Adam Espinoza</t>
  </si>
  <si>
    <t>E00119</t>
  </si>
  <si>
    <t>Jack Maldonado</t>
  </si>
  <si>
    <t>E03935</t>
  </si>
  <si>
    <t>Cora Jiang</t>
  </si>
  <si>
    <t>E00742</t>
  </si>
  <si>
    <t>Cooper Mitchell</t>
  </si>
  <si>
    <t>E02810</t>
  </si>
  <si>
    <t>Layla Torres</t>
  </si>
  <si>
    <t>E01860</t>
  </si>
  <si>
    <t>Jack Edwards</t>
  </si>
  <si>
    <t>E04890</t>
  </si>
  <si>
    <t>Eleanor Chan</t>
  </si>
  <si>
    <t>E02285</t>
  </si>
  <si>
    <t>Aria Xi</t>
  </si>
  <si>
    <t>E00842</t>
  </si>
  <si>
    <t>John Vega</t>
  </si>
  <si>
    <t>E01271</t>
  </si>
  <si>
    <t>Luke Munoz</t>
  </si>
  <si>
    <t>E01921</t>
  </si>
  <si>
    <t>Sarah Daniels</t>
  </si>
  <si>
    <t>E03664</t>
  </si>
  <si>
    <t>Aria Castro</t>
  </si>
  <si>
    <t>E00813</t>
  </si>
  <si>
    <t>Autumn Joseph</t>
  </si>
  <si>
    <t>E00870</t>
  </si>
  <si>
    <t>Evelyn Liang</t>
  </si>
  <si>
    <t>E04167</t>
  </si>
  <si>
    <t>Henry Alvarez</t>
  </si>
  <si>
    <t>E00245</t>
  </si>
  <si>
    <t>Benjamin Delgado</t>
  </si>
  <si>
    <t>E00976</t>
  </si>
  <si>
    <t>Zoe Rodriguez</t>
  </si>
  <si>
    <t>E04112</t>
  </si>
  <si>
    <t>Axel Chu</t>
  </si>
  <si>
    <t>E01807</t>
  </si>
  <si>
    <t>Cameron Evans</t>
  </si>
  <si>
    <t>E04103</t>
  </si>
  <si>
    <t>Isabella Soto</t>
  </si>
  <si>
    <t>E01412</t>
  </si>
  <si>
    <t>Eva Jenkins</t>
  </si>
  <si>
    <t>E04386</t>
  </si>
  <si>
    <t>Cameron Powell</t>
  </si>
  <si>
    <t>E01232</t>
  </si>
  <si>
    <t>Samantha Foster</t>
  </si>
  <si>
    <t>E04572</t>
  </si>
  <si>
    <t>Jade Li</t>
  </si>
  <si>
    <t>E02747</t>
  </si>
  <si>
    <t>Kinsley Acosta</t>
  </si>
  <si>
    <t>E01064</t>
  </si>
  <si>
    <t>Clara Kang</t>
  </si>
  <si>
    <t>E00178</t>
  </si>
  <si>
    <t>Harper Alexander</t>
  </si>
  <si>
    <t>E01091</t>
  </si>
  <si>
    <t>Carter Reed</t>
  </si>
  <si>
    <t>Charlotte Ruiz</t>
  </si>
  <si>
    <t>E01309</t>
  </si>
  <si>
    <t>Everleigh Jiang</t>
  </si>
  <si>
    <t>E02378</t>
  </si>
  <si>
    <t>Audrey Smith</t>
  </si>
  <si>
    <t>E04127</t>
  </si>
  <si>
    <t>Emery Acosta</t>
  </si>
  <si>
    <t>E02072</t>
  </si>
  <si>
    <t>Charles Robinson</t>
  </si>
  <si>
    <t>E02555</t>
  </si>
  <si>
    <t>Landon Lopez</t>
  </si>
  <si>
    <t>E00187</t>
  </si>
  <si>
    <t>Miles Mehta</t>
  </si>
  <si>
    <t>Ezra Simmons</t>
  </si>
  <si>
    <t>E02062</t>
  </si>
  <si>
    <t>Nora Santiago</t>
  </si>
  <si>
    <t>E00034</t>
  </si>
  <si>
    <t>Caroline Herrera</t>
  </si>
  <si>
    <t>E00273</t>
  </si>
  <si>
    <t>David Owens</t>
  </si>
  <si>
    <t>Avery Yee</t>
  </si>
  <si>
    <t>E01403</t>
  </si>
  <si>
    <t>Xavier Park</t>
  </si>
  <si>
    <t>E03438</t>
  </si>
  <si>
    <t>Asher Morales</t>
  </si>
  <si>
    <t>E04136</t>
  </si>
  <si>
    <t>Mason Cao</t>
  </si>
  <si>
    <t>E02944</t>
  </si>
  <si>
    <t>Joshua Fong</t>
  </si>
  <si>
    <t>E03300</t>
  </si>
  <si>
    <t>Maria Chin</t>
  </si>
  <si>
    <t>E00078</t>
  </si>
  <si>
    <t>Eva Garcia</t>
  </si>
  <si>
    <t>E00825</t>
  </si>
  <si>
    <t>Anna Molina</t>
  </si>
  <si>
    <t>E04972</t>
  </si>
  <si>
    <t>Logan Bryant</t>
  </si>
  <si>
    <t>E03941</t>
  </si>
  <si>
    <t>Isla Han</t>
  </si>
  <si>
    <t>E02148</t>
  </si>
  <si>
    <t>Christopher Vega</t>
  </si>
  <si>
    <t>E02252</t>
  </si>
  <si>
    <t>Lillian Park</t>
  </si>
  <si>
    <t>E03096</t>
  </si>
  <si>
    <t>Kennedy Zhang</t>
  </si>
  <si>
    <t>E04800</t>
  </si>
  <si>
    <t>Eli Han</t>
  </si>
  <si>
    <t>E02838</t>
  </si>
  <si>
    <t>Julia Pham</t>
  </si>
  <si>
    <t>E02980</t>
  </si>
  <si>
    <t>Hailey Shin</t>
  </si>
  <si>
    <t>E04477</t>
  </si>
  <si>
    <t>Connor Grant</t>
  </si>
  <si>
    <t>E04348</t>
  </si>
  <si>
    <t>Natalia Owens</t>
  </si>
  <si>
    <t>E01638</t>
  </si>
  <si>
    <t>Maria He</t>
  </si>
  <si>
    <t>E03419</t>
  </si>
  <si>
    <t>Jade Yi</t>
  </si>
  <si>
    <t>E04222</t>
  </si>
  <si>
    <t>Quinn Xiong</t>
  </si>
  <si>
    <t>E04126</t>
  </si>
  <si>
    <t>Dominic Baker</t>
  </si>
  <si>
    <t>E01896</t>
  </si>
  <si>
    <t>Adam Nelson</t>
  </si>
  <si>
    <t>E03018</t>
  </si>
  <si>
    <t>Autumn Reed</t>
  </si>
  <si>
    <t>E03325</t>
  </si>
  <si>
    <t>Robert Edwards</t>
  </si>
  <si>
    <t>E04037</t>
  </si>
  <si>
    <t>Roman Martinez</t>
  </si>
  <si>
    <t>E01902</t>
  </si>
  <si>
    <t>Eleanor Li</t>
  </si>
  <si>
    <t>E01466</t>
  </si>
  <si>
    <t>Connor Vang</t>
  </si>
  <si>
    <t>E02038</t>
  </si>
  <si>
    <t>Ellie Chung</t>
  </si>
  <si>
    <t>E03474</t>
  </si>
  <si>
    <t>Violet Hall</t>
  </si>
  <si>
    <t>E02744</t>
  </si>
  <si>
    <t>Dylan Padilla</t>
  </si>
  <si>
    <t>E00702</t>
  </si>
  <si>
    <t>Nathan Pham</t>
  </si>
  <si>
    <t>E03081</t>
  </si>
  <si>
    <t>Ayla Brown</t>
  </si>
  <si>
    <t>E01281</t>
  </si>
  <si>
    <t>Isaac Mitchell</t>
  </si>
  <si>
    <t>E04029</t>
  </si>
  <si>
    <t>Jayden Jimenez</t>
  </si>
  <si>
    <t>E01116</t>
  </si>
  <si>
    <t>Jaxon Tran</t>
  </si>
  <si>
    <t>E01753</t>
  </si>
  <si>
    <t>Connor Fong</t>
  </si>
  <si>
    <t>E04072</t>
  </si>
  <si>
    <t>Emery Mitchell</t>
  </si>
  <si>
    <t>Landon Luu</t>
  </si>
  <si>
    <t>E04419</t>
  </si>
  <si>
    <t>Sophia Ahmed</t>
  </si>
  <si>
    <t>E00467</t>
  </si>
  <si>
    <t>Sofia Dinh</t>
  </si>
  <si>
    <t>E00365</t>
  </si>
  <si>
    <t>Jonathan Patel</t>
  </si>
  <si>
    <t>Piper Patterson</t>
  </si>
  <si>
    <t>E03292</t>
  </si>
  <si>
    <t>Cora Evans</t>
  </si>
  <si>
    <t>E04779</t>
  </si>
  <si>
    <t>Cameron Young</t>
  </si>
  <si>
    <t>E00501</t>
  </si>
  <si>
    <t>Melody Ho</t>
  </si>
  <si>
    <t>E01132</t>
  </si>
  <si>
    <t>Aiden Bryant</t>
  </si>
  <si>
    <t>E00556</t>
  </si>
  <si>
    <t>Grayson Walker</t>
  </si>
  <si>
    <t>E00311</t>
  </si>
  <si>
    <t>Scarlett Figueroa</t>
  </si>
  <si>
    <t>E04567</t>
  </si>
  <si>
    <t>Madeline Hoang</t>
  </si>
  <si>
    <t>E04378</t>
  </si>
  <si>
    <t>E03251</t>
  </si>
  <si>
    <t>Ruby Medina</t>
  </si>
  <si>
    <t>E03167</t>
  </si>
  <si>
    <t>Luke Zheng</t>
  </si>
  <si>
    <t>E03347</t>
  </si>
  <si>
    <t>Rylee Dinh</t>
  </si>
  <si>
    <t>E03908</t>
  </si>
  <si>
    <t>Miles Evans</t>
  </si>
  <si>
    <t>E01351</t>
  </si>
  <si>
    <t>Leo Owens</t>
  </si>
  <si>
    <t>E02681</t>
  </si>
  <si>
    <t>Caroline Owens</t>
  </si>
  <si>
    <t>E03807</t>
  </si>
  <si>
    <t>Kennedy Do</t>
  </si>
  <si>
    <t>E00422</t>
  </si>
  <si>
    <t>Jade Acosta</t>
  </si>
  <si>
    <t>E00265</t>
  </si>
  <si>
    <t>Mila Vasquez</t>
  </si>
  <si>
    <t>E04601</t>
  </si>
  <si>
    <t>Allison Ayala</t>
  </si>
  <si>
    <t>E04816</t>
  </si>
  <si>
    <t>Jace Zhang</t>
  </si>
  <si>
    <t>E02147</t>
  </si>
  <si>
    <t>Allison Medina</t>
  </si>
  <si>
    <t>E02914</t>
  </si>
  <si>
    <t>Maria Wilson</t>
  </si>
  <si>
    <t>Everly Coleman</t>
  </si>
  <si>
    <t>E03972</t>
  </si>
  <si>
    <t>Jordan Gomez</t>
  </si>
  <si>
    <t>E02189</t>
  </si>
  <si>
    <t>Isla Chavez</t>
  </si>
  <si>
    <t>E04290</t>
  </si>
  <si>
    <t>Hannah Gomez</t>
  </si>
  <si>
    <t>E03630</t>
  </si>
  <si>
    <t>Jacob Davis</t>
  </si>
  <si>
    <t>E00432</t>
  </si>
  <si>
    <t>Eli Gupta</t>
  </si>
  <si>
    <t>E03045</t>
  </si>
  <si>
    <t>Andrew Huynh</t>
  </si>
  <si>
    <t>E01924</t>
  </si>
  <si>
    <t>Anna Gutierrez</t>
  </si>
  <si>
    <t>E04877</t>
  </si>
  <si>
    <t>Samuel Vega</t>
  </si>
  <si>
    <t>E02770</t>
  </si>
  <si>
    <t>Liliana Do</t>
  </si>
  <si>
    <t>E04590</t>
  </si>
  <si>
    <t>Isaac Sanders</t>
  </si>
  <si>
    <t>E01977</t>
  </si>
  <si>
    <t>Raelynn Gupta</t>
  </si>
  <si>
    <t>E01378</t>
  </si>
  <si>
    <t>Genesis Xiong</t>
  </si>
  <si>
    <t>E04224</t>
  </si>
  <si>
    <t>Lucas Ramos</t>
  </si>
  <si>
    <t>E03423</t>
  </si>
  <si>
    <t>Santiago f Gonzalez</t>
  </si>
  <si>
    <t>Henry Zhu</t>
  </si>
  <si>
    <t>E00788</t>
  </si>
  <si>
    <t>Emily Contreras</t>
  </si>
  <si>
    <t>E00207</t>
  </si>
  <si>
    <t>Hailey Lai</t>
  </si>
  <si>
    <t>E00834</t>
  </si>
  <si>
    <t>Vivian Guzman</t>
  </si>
  <si>
    <t>E04571</t>
  </si>
  <si>
    <t>Hadley Contreras</t>
  </si>
  <si>
    <t>E02652</t>
  </si>
  <si>
    <t>Nathan Sun</t>
  </si>
  <si>
    <t>E02693</t>
  </si>
  <si>
    <t>Grace Campos</t>
  </si>
  <si>
    <t>E03359</t>
  </si>
  <si>
    <t>Autumn Ortiz</t>
  </si>
  <si>
    <t>E00399</t>
  </si>
  <si>
    <t>Connor Walker</t>
  </si>
  <si>
    <t>E02971</t>
  </si>
  <si>
    <t>Mia Wu</t>
  </si>
  <si>
    <t>E03327</t>
  </si>
  <si>
    <t>Julia Luong</t>
  </si>
  <si>
    <t>E00900</t>
  </si>
  <si>
    <t>Eleanor Delgado</t>
  </si>
  <si>
    <t>E00836</t>
  </si>
  <si>
    <t>Addison Roberts</t>
  </si>
  <si>
    <t>E03854</t>
  </si>
  <si>
    <t>Camila Li</t>
  </si>
  <si>
    <t>E04729</t>
  </si>
  <si>
    <t>Ezekiel Fong</t>
  </si>
  <si>
    <t>E00360</t>
  </si>
  <si>
    <t>Dylan Thao</t>
  </si>
  <si>
    <t>E02284</t>
  </si>
  <si>
    <t>Josephine Salazar</t>
  </si>
  <si>
    <t>E00181</t>
  </si>
  <si>
    <t>Genesis Hu</t>
  </si>
  <si>
    <t>E04168</t>
  </si>
  <si>
    <t>Mila Juarez</t>
  </si>
  <si>
    <t>E02861</t>
  </si>
  <si>
    <t>Daniel Perry</t>
  </si>
  <si>
    <t>E01357</t>
  </si>
  <si>
    <t>Paisley Hunter</t>
  </si>
  <si>
    <t>E04387</t>
  </si>
  <si>
    <t>Everleigh White</t>
  </si>
  <si>
    <t>E03090</t>
  </si>
  <si>
    <t>Penelope Choi</t>
  </si>
  <si>
    <t>E03591</t>
  </si>
  <si>
    <t>Piper Sun</t>
  </si>
  <si>
    <t>E03328</t>
  </si>
  <si>
    <t>Lucy Johnson</t>
  </si>
  <si>
    <t>E04937</t>
  </si>
  <si>
    <t>Ian Ngo</t>
  </si>
  <si>
    <t>E00515</t>
  </si>
  <si>
    <t>Joseph Vazquez</t>
  </si>
  <si>
    <t>E01241</t>
  </si>
  <si>
    <t>Hadley Guerrero</t>
  </si>
  <si>
    <t>E03255</t>
  </si>
  <si>
    <t>Jose Brown</t>
  </si>
  <si>
    <t>E01711</t>
  </si>
  <si>
    <t>Benjamin Ford</t>
  </si>
  <si>
    <t>E00500</t>
  </si>
  <si>
    <t>Henry Shah</t>
  </si>
  <si>
    <t>Ivy Daniels</t>
  </si>
  <si>
    <t>E02728</t>
  </si>
  <si>
    <t>Thomas Chang</t>
  </si>
  <si>
    <t>E04749</t>
  </si>
  <si>
    <t>Caroline Phan</t>
  </si>
  <si>
    <t>E02023</t>
  </si>
  <si>
    <t>Maverick Mehta</t>
  </si>
  <si>
    <t>E03166</t>
  </si>
  <si>
    <t>Austin Edwards</t>
  </si>
  <si>
    <t>E02599</t>
  </si>
  <si>
    <t>Daniel Huang</t>
  </si>
  <si>
    <t>E01014</t>
  </si>
  <si>
    <t>Lucas Phan</t>
  </si>
  <si>
    <t>E04529</t>
  </si>
  <si>
    <t>Gabriel Yu</t>
  </si>
  <si>
    <t>Mason Watson</t>
  </si>
  <si>
    <t>E00632</t>
  </si>
  <si>
    <t>Angel Chang</t>
  </si>
  <si>
    <t>E02108</t>
  </si>
  <si>
    <t>Madeline Coleman</t>
  </si>
  <si>
    <t>E03802</t>
  </si>
  <si>
    <t>Thomas Vazquez</t>
  </si>
  <si>
    <t>E03685</t>
  </si>
  <si>
    <t>Silas Hunter</t>
  </si>
  <si>
    <t>E01089</t>
  </si>
  <si>
    <t>Nicholas Brooks</t>
  </si>
  <si>
    <t>E03988</t>
  </si>
  <si>
    <t>Dominic Thomas</t>
  </si>
  <si>
    <t>E00401</t>
  </si>
  <si>
    <t>Wesley Adams</t>
  </si>
  <si>
    <t>E03429</t>
  </si>
  <si>
    <t>Ian Wu</t>
  </si>
  <si>
    <t>E02417</t>
  </si>
  <si>
    <t>Alice Young</t>
  </si>
  <si>
    <t>E00359</t>
  </si>
  <si>
    <t>Logan Carrillo</t>
  </si>
  <si>
    <t>E02044</t>
  </si>
  <si>
    <t>Caroline Alexander</t>
  </si>
  <si>
    <t>E01479</t>
  </si>
  <si>
    <t>Serenity Bailey</t>
  </si>
  <si>
    <t>E04962</t>
  </si>
  <si>
    <t>Elena Tan</t>
  </si>
  <si>
    <t>E02769</t>
  </si>
  <si>
    <t>Eliza Adams</t>
  </si>
  <si>
    <t>E03893</t>
  </si>
  <si>
    <t>Alice Xiong</t>
  </si>
  <si>
    <t>E00553</t>
  </si>
  <si>
    <t>Isla Yoon</t>
  </si>
  <si>
    <t>E03540</t>
  </si>
  <si>
    <t>Emma Perry</t>
  </si>
  <si>
    <t>Riley Marquez</t>
  </si>
  <si>
    <t>E03277</t>
  </si>
  <si>
    <t>Caroline Hu</t>
  </si>
  <si>
    <t>E04194</t>
  </si>
  <si>
    <t>Madison Kumar</t>
  </si>
  <si>
    <t>Matthew Lim</t>
  </si>
  <si>
    <t>E01762</t>
  </si>
  <si>
    <t>Maya Ngo</t>
  </si>
  <si>
    <t>E02632</t>
  </si>
  <si>
    <t>Alice Soto</t>
  </si>
  <si>
    <t>E04226</t>
  </si>
  <si>
    <t>Andrew Moore</t>
  </si>
  <si>
    <t>E04101</t>
  </si>
  <si>
    <t>Olivia Harris</t>
  </si>
  <si>
    <t>E01981</t>
  </si>
  <si>
    <t>Genesis Banks</t>
  </si>
  <si>
    <t>E02534</t>
  </si>
  <si>
    <t>Victoria Johnson</t>
  </si>
  <si>
    <t>E01238</t>
  </si>
  <si>
    <t>Eloise Griffin</t>
  </si>
  <si>
    <t>E01118</t>
  </si>
  <si>
    <t>Roman Yang</t>
  </si>
  <si>
    <t>E04041</t>
  </si>
  <si>
    <t>Clara Huynh</t>
  </si>
  <si>
    <t>E04308</t>
  </si>
  <si>
    <t>Kai Flores</t>
  </si>
  <si>
    <t>E01052</t>
  </si>
  <si>
    <t>Jaxson Dinh</t>
  </si>
  <si>
    <t>E04165</t>
  </si>
  <si>
    <t>Sophie Vang</t>
  </si>
  <si>
    <t>E02295</t>
  </si>
  <si>
    <t>Axel Jordan</t>
  </si>
  <si>
    <t>E04546</t>
  </si>
  <si>
    <t>Jade Hunter</t>
  </si>
  <si>
    <t>E04217</t>
  </si>
  <si>
    <t>Lydia Williams</t>
  </si>
  <si>
    <t>E00650</t>
  </si>
  <si>
    <t>Emery Chang</t>
  </si>
  <si>
    <t>E00344</t>
  </si>
  <si>
    <t>Savannah He</t>
  </si>
  <si>
    <t>E04645</t>
  </si>
  <si>
    <t>Elias Ahmed</t>
  </si>
  <si>
    <t>E03880</t>
  </si>
  <si>
    <t>Samantha Woods</t>
  </si>
  <si>
    <t>E02730</t>
  </si>
  <si>
    <t>Axel Soto</t>
  </si>
  <si>
    <t>E04517</t>
  </si>
  <si>
    <t>Amelia Choi</t>
  </si>
  <si>
    <t>E00965</t>
  </si>
  <si>
    <t>Jacob Khan</t>
  </si>
  <si>
    <t>E04639</t>
  </si>
  <si>
    <t>Luna Taylor</t>
  </si>
  <si>
    <t>E00465</t>
  </si>
  <si>
    <t>Dominic Parker</t>
  </si>
  <si>
    <t>E03058</t>
  </si>
  <si>
    <t>Angel Xiong</t>
  </si>
  <si>
    <t>E02337</t>
  </si>
  <si>
    <t>Emma Cao</t>
  </si>
  <si>
    <t>E04927</t>
  </si>
  <si>
    <t>Ezekiel Bryant</t>
  </si>
  <si>
    <t>E03799</t>
  </si>
  <si>
    <t>Natalie Hwang</t>
  </si>
  <si>
    <t>E04538</t>
  </si>
  <si>
    <t>Adeline Yang</t>
  </si>
  <si>
    <t>E02633</t>
  </si>
  <si>
    <t>Allison Roberts</t>
  </si>
  <si>
    <t>E02965</t>
  </si>
  <si>
    <t>Andrew Do</t>
  </si>
  <si>
    <t>E04345</t>
  </si>
  <si>
    <t>Eliana Grant</t>
  </si>
  <si>
    <t>E02895</t>
  </si>
  <si>
    <t>Mila Soto</t>
  </si>
  <si>
    <t>Gabriella Johnson</t>
  </si>
  <si>
    <t>E00758</t>
  </si>
  <si>
    <t>Jonathan Khan</t>
  </si>
  <si>
    <t>E03750</t>
  </si>
  <si>
    <t>Elias Dang</t>
  </si>
  <si>
    <t>E00144</t>
  </si>
  <si>
    <t>Theodore Ngo</t>
  </si>
  <si>
    <t>E02943</t>
  </si>
  <si>
    <t>Bella Lopez</t>
  </si>
  <si>
    <t>E03901</t>
  </si>
  <si>
    <t>Luca Truong</t>
  </si>
  <si>
    <t>E03461</t>
  </si>
  <si>
    <t>Nathan Lau</t>
  </si>
  <si>
    <t>E03490</t>
  </si>
  <si>
    <t>Henry Campos</t>
  </si>
  <si>
    <t>E04466</t>
  </si>
  <si>
    <t>Connor Bell</t>
  </si>
  <si>
    <t>E03226</t>
  </si>
  <si>
    <t>Angel Stewart</t>
  </si>
  <si>
    <t>E04607</t>
  </si>
  <si>
    <t>Landon Brown</t>
  </si>
  <si>
    <t>E02678</t>
  </si>
  <si>
    <t>Nicholas Rivera</t>
  </si>
  <si>
    <t>E02190</t>
  </si>
  <si>
    <t>Gabriel Carter</t>
  </si>
  <si>
    <t>E00747</t>
  </si>
  <si>
    <t>Leilani Baker</t>
  </si>
  <si>
    <t>E00268</t>
  </si>
  <si>
    <t>Ian Flores</t>
  </si>
  <si>
    <t>E01416</t>
  </si>
  <si>
    <t>Hudson Thompson</t>
  </si>
  <si>
    <t>E01524</t>
  </si>
  <si>
    <t>Ian Miller</t>
  </si>
  <si>
    <t>Harper Chin</t>
  </si>
  <si>
    <t>E02801</t>
  </si>
  <si>
    <t>Santiago f Brooks</t>
  </si>
  <si>
    <t>E04155</t>
  </si>
  <si>
    <t>Dylan Dominguez</t>
  </si>
  <si>
    <t>E01952</t>
  </si>
  <si>
    <t>Everett Lee</t>
  </si>
  <si>
    <t>E00116</t>
  </si>
  <si>
    <t>Madelyn Mehta</t>
  </si>
  <si>
    <t>E04811</t>
  </si>
  <si>
    <t>Athena Vasquez</t>
  </si>
  <si>
    <t>E00624</t>
  </si>
  <si>
    <t>William Watson</t>
  </si>
  <si>
    <t>E03404</t>
  </si>
  <si>
    <t>Everleigh Nunez</t>
  </si>
  <si>
    <t>E01845</t>
  </si>
  <si>
    <t>Leo Fernandez</t>
  </si>
  <si>
    <t>E04784</t>
  </si>
  <si>
    <t>Joshua Lin</t>
  </si>
  <si>
    <t>E00145</t>
  </si>
  <si>
    <t>Alexander Rivera</t>
  </si>
  <si>
    <t>E00218</t>
  </si>
  <si>
    <t>David Desai</t>
  </si>
  <si>
    <t>Aubrey Yoon</t>
  </si>
  <si>
    <t>Grayson Brown</t>
  </si>
  <si>
    <t>Noah Chen</t>
  </si>
  <si>
    <t>E00784</t>
  </si>
  <si>
    <t>Ella Nguyen</t>
  </si>
  <si>
    <t>E04925</t>
  </si>
  <si>
    <t>Athena Jordan</t>
  </si>
  <si>
    <t>E04448</t>
  </si>
  <si>
    <t>Adrian Ruiz</t>
  </si>
  <si>
    <t>E04817</t>
  </si>
  <si>
    <t>Zoe Sanchez</t>
  </si>
  <si>
    <t>E00325</t>
  </si>
  <si>
    <t>Jameson Chen</t>
  </si>
  <si>
    <t>E00403</t>
  </si>
  <si>
    <t>Liliana Soto</t>
  </si>
  <si>
    <t>Lincoln Reyes</t>
  </si>
  <si>
    <t>E04358</t>
  </si>
  <si>
    <t>Grayson Soto</t>
  </si>
  <si>
    <t>E04662</t>
  </si>
  <si>
    <t>Julia Morris</t>
  </si>
  <si>
    <t>E01496</t>
  </si>
  <si>
    <t>Ava Ortiz</t>
  </si>
  <si>
    <t>E01870</t>
  </si>
  <si>
    <t>Carson Chau</t>
  </si>
  <si>
    <t>E03971</t>
  </si>
  <si>
    <t>Lillian Chen</t>
  </si>
  <si>
    <t>E03616</t>
  </si>
  <si>
    <t>Josiah Lewis</t>
  </si>
  <si>
    <t>E00153</t>
  </si>
  <si>
    <t>Claire Jones</t>
  </si>
  <si>
    <t>E02313</t>
  </si>
  <si>
    <t>Jeremiah Lu</t>
  </si>
  <si>
    <t>E02960</t>
  </si>
  <si>
    <t>Nova Hill</t>
  </si>
  <si>
    <t>E00096</t>
  </si>
  <si>
    <t>Peyton Cruz</t>
  </si>
  <si>
    <t>E02140</t>
  </si>
  <si>
    <t>Naomi Zhao</t>
  </si>
  <si>
    <t>E00826</t>
  </si>
  <si>
    <t>Rylee Bui</t>
  </si>
  <si>
    <t>E03881</t>
  </si>
  <si>
    <t>Andrew Reed</t>
  </si>
  <si>
    <t>E02604</t>
  </si>
  <si>
    <t>Brooklyn Collins</t>
  </si>
  <si>
    <t>E02613</t>
  </si>
  <si>
    <t>John Jung</t>
  </si>
  <si>
    <t>E00864</t>
  </si>
  <si>
    <t>Samantha Aguilar</t>
  </si>
  <si>
    <t>E01760</t>
  </si>
  <si>
    <t>Madeline Acosta</t>
  </si>
  <si>
    <t>E03223</t>
  </si>
  <si>
    <t>Ethan Joseph</t>
  </si>
  <si>
    <t>E01262</t>
  </si>
  <si>
    <t>E01075</t>
  </si>
  <si>
    <t>Joshua Juarez</t>
  </si>
  <si>
    <t>E00364</t>
  </si>
  <si>
    <t>Matthew Howard</t>
  </si>
  <si>
    <t>E04108</t>
  </si>
  <si>
    <t>Jade Figueroa</t>
  </si>
  <si>
    <t>E02917</t>
  </si>
  <si>
    <t>Everett Morales</t>
  </si>
  <si>
    <t>Genesis Hunter</t>
  </si>
  <si>
    <t>E03393</t>
  </si>
  <si>
    <t>Henry Figueroa</t>
  </si>
  <si>
    <t>E02977</t>
  </si>
  <si>
    <t>Nicholas Song</t>
  </si>
  <si>
    <t>E03371</t>
  </si>
  <si>
    <t>Jack Alexander</t>
  </si>
  <si>
    <t>E02531</t>
  </si>
  <si>
    <t>Jameson Foster</t>
  </si>
  <si>
    <t>E02473</t>
  </si>
  <si>
    <t>Leonardo Lo</t>
  </si>
  <si>
    <t>E02468</t>
  </si>
  <si>
    <t>Ella Huang</t>
  </si>
  <si>
    <t>Liam Jordan</t>
  </si>
  <si>
    <t>E03697</t>
  </si>
  <si>
    <t>Isaac Woods</t>
  </si>
  <si>
    <t>city_mpg</t>
  </si>
  <si>
    <t>class</t>
  </si>
  <si>
    <t>combination_mpg</t>
  </si>
  <si>
    <t>cylinders</t>
  </si>
  <si>
    <t>displacement</t>
  </si>
  <si>
    <t>drive</t>
  </si>
  <si>
    <t>fuel_type</t>
  </si>
  <si>
    <t>highway_mpg</t>
  </si>
  <si>
    <t>make</t>
  </si>
  <si>
    <t>model</t>
  </si>
  <si>
    <t>transmission</t>
  </si>
  <si>
    <t>year</t>
  </si>
  <si>
    <t>midsize car</t>
  </si>
  <si>
    <t>fwd</t>
  </si>
  <si>
    <t>gas</t>
  </si>
  <si>
    <t>mazda</t>
  </si>
  <si>
    <t>m</t>
  </si>
  <si>
    <t>a</t>
  </si>
  <si>
    <t>small sport utility vehicle</t>
  </si>
  <si>
    <t>cx-5 2wd</t>
  </si>
  <si>
    <t>4wd</t>
  </si>
  <si>
    <t>cx-5 4wd</t>
  </si>
  <si>
    <t>subcompact car</t>
  </si>
  <si>
    <t>rwd</t>
  </si>
  <si>
    <t>ford</t>
  </si>
  <si>
    <t>mustang</t>
  </si>
  <si>
    <t>awd</t>
  </si>
  <si>
    <t>subaru</t>
  </si>
  <si>
    <t>forester awd</t>
  </si>
  <si>
    <t>mustang convertible</t>
  </si>
  <si>
    <t>nissan</t>
  </si>
  <si>
    <t>gt-r</t>
  </si>
  <si>
    <t>large car</t>
  </si>
  <si>
    <t>diesel</t>
  </si>
  <si>
    <t>audi</t>
  </si>
  <si>
    <t>a8 l</t>
  </si>
  <si>
    <t>kia</t>
  </si>
  <si>
    <t>sorento 2wd</t>
  </si>
  <si>
    <t>sorento 4wd</t>
  </si>
  <si>
    <t>murano crosscabriolet</t>
  </si>
  <si>
    <t>two seater</t>
  </si>
  <si>
    <t>r8 spyder</t>
  </si>
  <si>
    <t>r8</t>
  </si>
  <si>
    <t>minicompact car</t>
  </si>
  <si>
    <t>aston martin</t>
  </si>
  <si>
    <t>db9</t>
  </si>
  <si>
    <t>vanquish</t>
  </si>
  <si>
    <t>rapide s</t>
  </si>
  <si>
    <t>roush performance</t>
  </si>
  <si>
    <t>stage 3 mustang</t>
  </si>
  <si>
    <t>jeep</t>
  </si>
  <si>
    <t>compass fwd</t>
  </si>
  <si>
    <t>patriot fwd</t>
  </si>
  <si>
    <t>compass 4wd</t>
  </si>
  <si>
    <t>patriot 4wd</t>
  </si>
  <si>
    <t>standard sport utility vehicle</t>
  </si>
  <si>
    <t>grand cherokee srt8</t>
  </si>
  <si>
    <t>porsche</t>
  </si>
  <si>
    <t>cayenne turbo</t>
  </si>
  <si>
    <t>compact car</t>
  </si>
  <si>
    <t>volvo</t>
  </si>
  <si>
    <t>s60 awd</t>
  </si>
  <si>
    <t>k900</t>
  </si>
  <si>
    <t>sorento fwd</t>
  </si>
  <si>
    <t>sorento awd</t>
  </si>
  <si>
    <t>xc60 awd</t>
  </si>
  <si>
    <t>xc70 awd</t>
  </si>
  <si>
    <t>tt roadster quattro</t>
  </si>
  <si>
    <t>tt coupe quattro</t>
  </si>
  <si>
    <t>wrx</t>
  </si>
  <si>
    <t>s80 awd</t>
  </si>
  <si>
    <t>small station wagon</t>
  </si>
  <si>
    <t>v60 awd</t>
  </si>
  <si>
    <t>standard pickup truck</t>
  </si>
  <si>
    <t>chevrolet</t>
  </si>
  <si>
    <t>silverado c15 2wd</t>
  </si>
  <si>
    <t>gmc</t>
  </si>
  <si>
    <t>sierra c15 2wd</t>
  </si>
  <si>
    <t>silverado k15 4wd</t>
  </si>
  <si>
    <t>sierra k15 4wd</t>
  </si>
  <si>
    <t>cadillac</t>
  </si>
  <si>
    <t>escalade 2wd</t>
  </si>
  <si>
    <t>escalade esv 2wd</t>
  </si>
  <si>
    <t>tahoe c1500 2wd</t>
  </si>
  <si>
    <t>suburban c1500 2wd</t>
  </si>
  <si>
    <t>yukon c1500 2wd</t>
  </si>
  <si>
    <t>yukon c1500 xl 2wd</t>
  </si>
  <si>
    <t>escalade 4wd</t>
  </si>
  <si>
    <t>escalade esv 4wd</t>
  </si>
  <si>
    <t>tahoe k1500 4wd</t>
  </si>
  <si>
    <t>suburban k1500 4wd</t>
  </si>
  <si>
    <t>yukon k1500 xl 4wd</t>
  </si>
  <si>
    <t>yukon k1500 4wd</t>
  </si>
  <si>
    <t>jaguar</t>
  </si>
  <si>
    <t>f-type v8 s convertible</t>
  </si>
  <si>
    <t>f-type r coupe</t>
  </si>
  <si>
    <t>f-type convertible</t>
  </si>
  <si>
    <t>f-type coupe</t>
  </si>
  <si>
    <t>sorento fe awd</t>
  </si>
  <si>
    <t>a7 quattro</t>
  </si>
  <si>
    <t>a6 quattro</t>
  </si>
  <si>
    <t>honda</t>
  </si>
  <si>
    <t>hr-v 2wd</t>
  </si>
  <si>
    <t>hr-v 4wd</t>
  </si>
  <si>
    <t>f-type s coupe</t>
  </si>
  <si>
    <t>f-type s convertible</t>
  </si>
  <si>
    <t>bentley</t>
  </si>
  <si>
    <t>mulsanne</t>
  </si>
  <si>
    <t>hyundai</t>
  </si>
  <si>
    <t>veloster</t>
  </si>
  <si>
    <t>elantra gt</t>
  </si>
  <si>
    <t>electricity</t>
  </si>
  <si>
    <t>mitsubishi</t>
  </si>
  <si>
    <t>i-miev</t>
  </si>
  <si>
    <t>f-type s awd coupe</t>
  </si>
  <si>
    <t>f-type s awd convertible</t>
  </si>
  <si>
    <t>acura</t>
  </si>
  <si>
    <t>ilx</t>
  </si>
  <si>
    <t>f-type r convertible</t>
  </si>
  <si>
    <t>f-type r awd coupe</t>
  </si>
  <si>
    <t>f-type r awd convertible</t>
  </si>
  <si>
    <t>xj</t>
  </si>
  <si>
    <t>xjl</t>
  </si>
  <si>
    <t>rlx</t>
  </si>
  <si>
    <t>rlx hybrid</t>
  </si>
  <si>
    <t>equus</t>
  </si>
  <si>
    <t>minivan</t>
  </si>
  <si>
    <t>sedona</t>
  </si>
  <si>
    <t>sedona sx</t>
  </si>
  <si>
    <t>sedona sxl</t>
  </si>
  <si>
    <t>cayenne</t>
  </si>
  <si>
    <t>bmw</t>
  </si>
  <si>
    <t>z4 sdrive28i</t>
  </si>
  <si>
    <t>santa fe sport fwd</t>
  </si>
  <si>
    <t>santa fe sport ultimate fwd</t>
  </si>
  <si>
    <t>santa fe sport awd</t>
  </si>
  <si>
    <t>santa fe sport ultimate awd</t>
  </si>
  <si>
    <t>q7</t>
  </si>
  <si>
    <t>elantra se</t>
  </si>
  <si>
    <t>elantra</t>
  </si>
  <si>
    <t>santa fe fwd</t>
  </si>
  <si>
    <t>santa fe ultimate fwd</t>
  </si>
  <si>
    <t>santa fe awd</t>
  </si>
  <si>
    <t>santa fe ultimate awd</t>
  </si>
  <si>
    <t>sportage fwd</t>
  </si>
  <si>
    <t>sportage fe fwd</t>
  </si>
  <si>
    <t>sportage awd</t>
  </si>
  <si>
    <t>sportage fe awd</t>
  </si>
  <si>
    <t>xt5</t>
  </si>
  <si>
    <t>xt5 awd</t>
  </si>
  <si>
    <t>mirage</t>
  </si>
  <si>
    <t>chrysler</t>
  </si>
  <si>
    <t>pacifica</t>
  </si>
  <si>
    <t>a4 quattro</t>
  </si>
  <si>
    <t>a4</t>
  </si>
  <si>
    <t>740i xdrive</t>
  </si>
  <si>
    <t>rdx fwd</t>
  </si>
  <si>
    <t>rdx awd</t>
  </si>
  <si>
    <t>volt</t>
  </si>
  <si>
    <t>mini</t>
  </si>
  <si>
    <t>john cooper works convertible</t>
  </si>
  <si>
    <t>equinox fwd</t>
  </si>
  <si>
    <t>equinox awd</t>
  </si>
  <si>
    <t>a5 cabriolet quattro</t>
  </si>
  <si>
    <t>a5 quattro</t>
  </si>
  <si>
    <t>a5 sportback quattro</t>
  </si>
  <si>
    <t>genesis</t>
  </si>
  <si>
    <t>g80 awd</t>
  </si>
  <si>
    <t>g80 rwd</t>
  </si>
  <si>
    <t>q5</t>
  </si>
  <si>
    <t>s5</t>
  </si>
  <si>
    <t>s5 cabriolet</t>
  </si>
  <si>
    <t>s4</t>
  </si>
  <si>
    <t>s5 sportback</t>
  </si>
  <si>
    <t>sq5</t>
  </si>
  <si>
    <t>bentayga</t>
  </si>
  <si>
    <t>430i convertible</t>
  </si>
  <si>
    <t>430i xdrive convertible</t>
  </si>
  <si>
    <t>440i convertible</t>
  </si>
  <si>
    <t>440i xdrive convertible</t>
  </si>
  <si>
    <t>m4 convertible</t>
  </si>
  <si>
    <t>640i convertible</t>
  </si>
  <si>
    <t>640i xdrive convertible</t>
  </si>
  <si>
    <t>650i convertible</t>
  </si>
  <si>
    <t>650i xdrive convertible</t>
  </si>
  <si>
    <t>m6 convertible</t>
  </si>
  <si>
    <t>430i coupe</t>
  </si>
  <si>
    <t>430i xdrive coupe</t>
  </si>
  <si>
    <t>430i gran coupe</t>
  </si>
  <si>
    <t>430i xdrive gran coupe</t>
  </si>
  <si>
    <t>440i coupe</t>
  </si>
  <si>
    <t>440i xdrive coupe</t>
  </si>
  <si>
    <t>440i gran coupe</t>
  </si>
  <si>
    <t>440i xdrive gran coupe</t>
  </si>
  <si>
    <t>m4 coupe</t>
  </si>
  <si>
    <t>640i gran coupe</t>
  </si>
  <si>
    <t>640i xdrive gran coupe</t>
  </si>
  <si>
    <t>650i gran coupe</t>
  </si>
  <si>
    <t>650i xdrive gran coupe</t>
  </si>
  <si>
    <t>alpina b6 xdrive gran coupe</t>
  </si>
  <si>
    <t>cherokee fwd</t>
  </si>
  <si>
    <t>cherokee 4wd</t>
  </si>
  <si>
    <t>cherokee 4wd active drive ii</t>
  </si>
  <si>
    <t>cherokee trailhawk 4wd</t>
  </si>
  <si>
    <t>corvette</t>
  </si>
  <si>
    <t>corvette z06</t>
  </si>
  <si>
    <t>volkswagen</t>
  </si>
  <si>
    <t>jetta</t>
  </si>
  <si>
    <t>infiniti</t>
  </si>
  <si>
    <t>qx50</t>
  </si>
  <si>
    <t>qx50 awd</t>
  </si>
  <si>
    <t>g70 awd</t>
  </si>
  <si>
    <t>g70 rwd</t>
  </si>
  <si>
    <t>buick</t>
  </si>
  <si>
    <t>envision awd</t>
  </si>
  <si>
    <t>small pickup truck</t>
  </si>
  <si>
    <t>ridgeline fwd</t>
  </si>
  <si>
    <t>ridgeline awd</t>
  </si>
  <si>
    <t>xc40 awd</t>
  </si>
  <si>
    <t>ram</t>
  </si>
  <si>
    <t>1500 2wd</t>
  </si>
  <si>
    <t>1500 4wd</t>
  </si>
  <si>
    <t>envision fwd</t>
  </si>
  <si>
    <t>tlx fwd a-spec</t>
  </si>
  <si>
    <t>tlx awd</t>
  </si>
  <si>
    <t>tlx awd a-spec</t>
  </si>
  <si>
    <t>corvette zr1</t>
  </si>
  <si>
    <t>cooper convertible</t>
  </si>
  <si>
    <t>cooper s convertible</t>
  </si>
  <si>
    <t>toyota</t>
  </si>
  <si>
    <t>corolla</t>
  </si>
  <si>
    <t>corolla hybrid</t>
  </si>
  <si>
    <t>corolla xse</t>
  </si>
  <si>
    <t>corolla xle</t>
  </si>
  <si>
    <t>soul</t>
  </si>
  <si>
    <t>soul eco dynamics</t>
  </si>
  <si>
    <t>telluride fwd</t>
  </si>
  <si>
    <t>telluride awd</t>
  </si>
  <si>
    <t>mercedes-benz</t>
  </si>
  <si>
    <t>gle350 4matic</t>
  </si>
  <si>
    <t>gle450 4matic</t>
  </si>
  <si>
    <t>xe</t>
  </si>
  <si>
    <t>xe 30t</t>
  </si>
  <si>
    <t>xe awd</t>
  </si>
  <si>
    <t>xe awd 30t</t>
  </si>
  <si>
    <t>xf</t>
  </si>
  <si>
    <t>xf 30t</t>
  </si>
  <si>
    <t>xf awd</t>
  </si>
  <si>
    <t>xf awd 30t</t>
  </si>
  <si>
    <t>midsize station wagon</t>
  </si>
  <si>
    <t>xf sportbrake awd</t>
  </si>
  <si>
    <t>e-pace</t>
  </si>
  <si>
    <t>e-pace p300</t>
  </si>
  <si>
    <t>f-pace</t>
  </si>
  <si>
    <t>f-pace 30t</t>
  </si>
  <si>
    <t>land rover</t>
  </si>
  <si>
    <t>range rover velar</t>
  </si>
  <si>
    <t>range rover velar p300</t>
  </si>
  <si>
    <t>evoque</t>
  </si>
  <si>
    <t>palisade awd</t>
  </si>
  <si>
    <t>230i coupe</t>
  </si>
  <si>
    <t>seltos fwd</t>
  </si>
  <si>
    <t>seltos awd</t>
  </si>
  <si>
    <t>atlas</t>
  </si>
  <si>
    <t>atlas 4motion</t>
  </si>
  <si>
    <t>trailblazer awd</t>
  </si>
  <si>
    <t>encore gx fwd</t>
  </si>
  <si>
    <t>trailblazer fwd</t>
  </si>
  <si>
    <t>cooper hardtop 2 door</t>
  </si>
  <si>
    <t>cooper hardtop 4 door</t>
  </si>
  <si>
    <t>cooper s hardtop 2 door</t>
  </si>
  <si>
    <t>cooper s hardtop 4 door</t>
  </si>
  <si>
    <t>john cooper works hardtop</t>
  </si>
  <si>
    <t>john cooper works gp</t>
  </si>
  <si>
    <t>insight touring</t>
  </si>
  <si>
    <t>insight</t>
  </si>
  <si>
    <t>750i xdrive</t>
  </si>
  <si>
    <t>alpina b7</t>
  </si>
  <si>
    <t>colorado 2wd</t>
  </si>
  <si>
    <t>canyon 2wd</t>
  </si>
  <si>
    <t>colorado 4wd</t>
  </si>
  <si>
    <t>odyssey</t>
  </si>
  <si>
    <t>stinger awd</t>
  </si>
  <si>
    <t>stinger rwd</t>
  </si>
  <si>
    <t>carnival</t>
  </si>
  <si>
    <t>mdx fwd</t>
  </si>
  <si>
    <t>tucson fwd</t>
  </si>
  <si>
    <t>eclipse cross 2wd</t>
  </si>
  <si>
    <t>eclipse cross es 2wd</t>
  </si>
  <si>
    <t>mdx awd</t>
  </si>
  <si>
    <t>eclipse cross 4wd</t>
  </si>
  <si>
    <t>eclipse cross es 4wd</t>
  </si>
  <si>
    <t>outlander 2wd</t>
  </si>
  <si>
    <t>gv70 awd</t>
  </si>
  <si>
    <t>tucson awd</t>
  </si>
  <si>
    <t>outlander 4wd</t>
  </si>
  <si>
    <t>kona fwd</t>
  </si>
  <si>
    <t>kona awd</t>
  </si>
  <si>
    <t>m8 competition coupe</t>
  </si>
  <si>
    <t>m8 competition convertible</t>
  </si>
  <si>
    <t>john cooper works hardtop 2 door</t>
  </si>
  <si>
    <t>x2 xdrive28i</t>
  </si>
  <si>
    <t>x2 m35i</t>
  </si>
  <si>
    <t>m5 cs sedan</t>
  </si>
  <si>
    <t>m8 competition gran coupe</t>
  </si>
  <si>
    <t>cooper countryman</t>
  </si>
  <si>
    <t>cooper countryman all4</t>
  </si>
  <si>
    <t>cooper s clubman</t>
  </si>
  <si>
    <t>tucson hybrid</t>
  </si>
  <si>
    <t>tucson hybrid blue</t>
  </si>
  <si>
    <t>m850i xdrive coupe</t>
  </si>
  <si>
    <t>m850i xdrive convertible</t>
  </si>
  <si>
    <t>defender 90</t>
  </si>
  <si>
    <t>discovery</t>
  </si>
  <si>
    <t>discovery mhev</t>
  </si>
  <si>
    <t>defender 110</t>
  </si>
  <si>
    <t>defender 110 mhev</t>
  </si>
  <si>
    <t>defender 90 mhev</t>
  </si>
  <si>
    <t>range rover evoque</t>
  </si>
  <si>
    <t>discovery sport</t>
  </si>
  <si>
    <t>f-type p450 rwd coupe</t>
  </si>
  <si>
    <t>f-type p450 rwd convertible</t>
  </si>
  <si>
    <t>f-type p450 awd r-dynamic coupe</t>
  </si>
  <si>
    <t>f-type p450 awd r-dynamic convertible</t>
  </si>
  <si>
    <t>range rover evoque mhev</t>
  </si>
  <si>
    <t>sportage hybrid awd</t>
  </si>
  <si>
    <t>sportage hybrid fwd</t>
  </si>
  <si>
    <t>gv80 awd</t>
  </si>
  <si>
    <t>m850i xdrive gran coupe</t>
  </si>
  <si>
    <t>alpina b8 gran coupe</t>
  </si>
  <si>
    <t>trax</t>
  </si>
  <si>
    <t>m4 competition coupe</t>
  </si>
  <si>
    <t>m4 competition m xdrive coupe</t>
  </si>
  <si>
    <t>m4 competition m xdrive convertible</t>
  </si>
  <si>
    <t>840i coupe</t>
  </si>
  <si>
    <t>840i xdrive coupe</t>
  </si>
  <si>
    <t>840i convertible</t>
  </si>
  <si>
    <t>840i xdrive convertible</t>
  </si>
  <si>
    <t>840i gran coupe</t>
  </si>
  <si>
    <t>840i xdrive gran coupe</t>
  </si>
  <si>
    <t>IT Employees</t>
  </si>
  <si>
    <t>Senior Manager from US</t>
  </si>
  <si>
    <t>COUNTIF/COUNTIFS</t>
  </si>
  <si>
    <t>Row Labels</t>
  </si>
  <si>
    <t>Grand Total</t>
  </si>
  <si>
    <t>Sum of displacement</t>
  </si>
  <si>
    <t>Sum of highway_mpg</t>
  </si>
  <si>
    <t>Column Labels</t>
  </si>
  <si>
    <t>Sum of combination_mpg</t>
  </si>
  <si>
    <t>Sum of cylinders</t>
  </si>
  <si>
    <t>Sum of year</t>
  </si>
  <si>
    <t>SUM</t>
  </si>
  <si>
    <t>Sum of Annual Salary</t>
  </si>
  <si>
    <t>AVERAGE</t>
  </si>
  <si>
    <t>Average of Bonus Percentage</t>
  </si>
  <si>
    <t>COUNT</t>
  </si>
  <si>
    <t>Count of Data</t>
  </si>
  <si>
    <t>213-32-1216</t>
  </si>
  <si>
    <t>A</t>
  </si>
  <si>
    <t>Yangon</t>
  </si>
  <si>
    <t>Normal</t>
  </si>
  <si>
    <t>Electronic accessories</t>
  </si>
  <si>
    <t>1/23/2019</t>
  </si>
  <si>
    <t>Cash</t>
  </si>
  <si>
    <t>747-58-7183</t>
  </si>
  <si>
    <t>B</t>
  </si>
  <si>
    <t>Mandalay</t>
  </si>
  <si>
    <t>Fashion accessories</t>
  </si>
  <si>
    <t>Ewallet</t>
  </si>
  <si>
    <t>582-52-8065</t>
  </si>
  <si>
    <t>2/22/2019</t>
  </si>
  <si>
    <t>210-57-1719</t>
  </si>
  <si>
    <t>Health and beauty</t>
  </si>
  <si>
    <t>399-69-4630</t>
  </si>
  <si>
    <t>C</t>
  </si>
  <si>
    <t>Naypyitaw</t>
  </si>
  <si>
    <t>Credit card</t>
  </si>
  <si>
    <t>134-75-2619</t>
  </si>
  <si>
    <t>Member</t>
  </si>
  <si>
    <t>3/25/2019</t>
  </si>
  <si>
    <t>356-44-8813</t>
  </si>
  <si>
    <t>Home and lifestyle</t>
  </si>
  <si>
    <t>1/20/2019</t>
  </si>
  <si>
    <t>198-66-9832</t>
  </si>
  <si>
    <t>283-26-5248</t>
  </si>
  <si>
    <t>Food and beverages</t>
  </si>
  <si>
    <t>1/30/2019</t>
  </si>
  <si>
    <t>712-39-0363</t>
  </si>
  <si>
    <t>218-59-9410</t>
  </si>
  <si>
    <t>3/29/2019</t>
  </si>
  <si>
    <t>174-75-0888</t>
  </si>
  <si>
    <t>3/14/2019</t>
  </si>
  <si>
    <t>866-99-7614</t>
  </si>
  <si>
    <t>134-54-4720</t>
  </si>
  <si>
    <t>760-90-2357</t>
  </si>
  <si>
    <t>3/20/2019</t>
  </si>
  <si>
    <t>514-37-2845</t>
  </si>
  <si>
    <t>698-98-5964</t>
  </si>
  <si>
    <t>1/17/2019</t>
  </si>
  <si>
    <t>718-57-9773</t>
  </si>
  <si>
    <t>Sports and travel</t>
  </si>
  <si>
    <t>651-88-7328</t>
  </si>
  <si>
    <t>241-11-2261</t>
  </si>
  <si>
    <t>408-26-9866</t>
  </si>
  <si>
    <t>834-83-1826</t>
  </si>
  <si>
    <t>2/25/2019</t>
  </si>
  <si>
    <t>343-61-3544</t>
  </si>
  <si>
    <t>1/29/2019</t>
  </si>
  <si>
    <t>239-48-4278</t>
  </si>
  <si>
    <t>355-34-6244</t>
  </si>
  <si>
    <t>1/13/2019</t>
  </si>
  <si>
    <t>550-84-8664</t>
  </si>
  <si>
    <t>3/22/2019</t>
  </si>
  <si>
    <t>339-96-8318</t>
  </si>
  <si>
    <t>458-61-0011</t>
  </si>
  <si>
    <t>2/20/2019</t>
  </si>
  <si>
    <t>592-34-6155</t>
  </si>
  <si>
    <t>1/14/2019</t>
  </si>
  <si>
    <t>797-88-0493</t>
  </si>
  <si>
    <t>3/26/2019</t>
  </si>
  <si>
    <t>207-73-1363</t>
  </si>
  <si>
    <t>390-31-6381</t>
  </si>
  <si>
    <t>443-82-0585</t>
  </si>
  <si>
    <t>339-18-7061</t>
  </si>
  <si>
    <t>2/13/2019</t>
  </si>
  <si>
    <t>359-90-3665</t>
  </si>
  <si>
    <t>375-72-3056</t>
  </si>
  <si>
    <t>1/19/2019</t>
  </si>
  <si>
    <t>127-47-6963</t>
  </si>
  <si>
    <t>278-86-2735</t>
  </si>
  <si>
    <t>3/27/2019</t>
  </si>
  <si>
    <t>695-28-6250</t>
  </si>
  <si>
    <t>379-17-6588</t>
  </si>
  <si>
    <t>227-50-3718</t>
  </si>
  <si>
    <t>302-15-2162</t>
  </si>
  <si>
    <t>788-07-8452</t>
  </si>
  <si>
    <t>1/27/2019</t>
  </si>
  <si>
    <t>560-49-6611</t>
  </si>
  <si>
    <t>880-35-0356</t>
  </si>
  <si>
    <t>585-11-6748</t>
  </si>
  <si>
    <t>3/15/2019</t>
  </si>
  <si>
    <t>470-31-3286</t>
  </si>
  <si>
    <t>152-68-2907</t>
  </si>
  <si>
    <t>2/15/2019</t>
  </si>
  <si>
    <t>123-35-4896</t>
  </si>
  <si>
    <t>2/17/2019</t>
  </si>
  <si>
    <t>258-69-7810</t>
  </si>
  <si>
    <t>1/26/2019</t>
  </si>
  <si>
    <t>334-64-2006</t>
  </si>
  <si>
    <t>3/24/2019</t>
  </si>
  <si>
    <t>219-61-4139</t>
  </si>
  <si>
    <t>881-41-7302</t>
  </si>
  <si>
    <t>373-09-4567</t>
  </si>
  <si>
    <t>642-30-6693</t>
  </si>
  <si>
    <t>3/17/2019</t>
  </si>
  <si>
    <t>484-22-8230</t>
  </si>
  <si>
    <t>830-58-2383</t>
  </si>
  <si>
    <t>559-98-9873</t>
  </si>
  <si>
    <t>544-32-5024</t>
  </si>
  <si>
    <t>3/28/2019</t>
  </si>
  <si>
    <t>318-12-0304</t>
  </si>
  <si>
    <t>349-97-8902</t>
  </si>
  <si>
    <t>421-95-9805</t>
  </si>
  <si>
    <t>277-35-5865</t>
  </si>
  <si>
    <t>789-23-8625</t>
  </si>
  <si>
    <t>1/24/2019</t>
  </si>
  <si>
    <t>284-54-4231</t>
  </si>
  <si>
    <t>443-59-0061</t>
  </si>
  <si>
    <t>509-29-3912</t>
  </si>
  <si>
    <t>327-40-9673</t>
  </si>
  <si>
    <t>840-19-2096</t>
  </si>
  <si>
    <t>828-46-6863</t>
  </si>
  <si>
    <t>641-96-3695</t>
  </si>
  <si>
    <t>420-97-3340</t>
  </si>
  <si>
    <t>436-54-4512</t>
  </si>
  <si>
    <t>670-79-6321</t>
  </si>
  <si>
    <t>852-62-7105</t>
  </si>
  <si>
    <t>598-06-7312</t>
  </si>
  <si>
    <t>2/16/2019</t>
  </si>
  <si>
    <t>135-13-8269</t>
  </si>
  <si>
    <t>816-57-2053</t>
  </si>
  <si>
    <t>628-90-8624</t>
  </si>
  <si>
    <t>856-66-2701</t>
  </si>
  <si>
    <t>1/25/2019</t>
  </si>
  <si>
    <t>308-39-1707</t>
  </si>
  <si>
    <t>149-61-1929</t>
  </si>
  <si>
    <t>655-07-2265</t>
  </si>
  <si>
    <t>589-02-8023</t>
  </si>
  <si>
    <t>1/15/2019</t>
  </si>
  <si>
    <t>420-04-7590</t>
  </si>
  <si>
    <t>3/18/2019</t>
  </si>
  <si>
    <t>182-88-2763</t>
  </si>
  <si>
    <t>188-55-0967</t>
  </si>
  <si>
    <t>610-46-4100</t>
  </si>
  <si>
    <t>318-81-2368</t>
  </si>
  <si>
    <t>3/19/2019</t>
  </si>
  <si>
    <t>364-33-8584</t>
  </si>
  <si>
    <t>665-63-9737</t>
  </si>
  <si>
    <t>2/27/2019</t>
  </si>
  <si>
    <t>695-09-5146</t>
  </si>
  <si>
    <t>2/23/2019</t>
  </si>
  <si>
    <t>155-45-3814</t>
  </si>
  <si>
    <t>794-32-2436</t>
  </si>
  <si>
    <t>131-15-8856</t>
  </si>
  <si>
    <t>3/30/2019</t>
  </si>
  <si>
    <t>273-84-2164</t>
  </si>
  <si>
    <t>706-36-6154</t>
  </si>
  <si>
    <t>1/18/2019</t>
  </si>
  <si>
    <t>778-89-7974</t>
  </si>
  <si>
    <t>574-31-8277</t>
  </si>
  <si>
    <t>859-71-0933</t>
  </si>
  <si>
    <t>1/16/2019</t>
  </si>
  <si>
    <t>740-11-5257</t>
  </si>
  <si>
    <t>2/24/2019</t>
  </si>
  <si>
    <t>369-82-2676</t>
  </si>
  <si>
    <t>563-47-4072</t>
  </si>
  <si>
    <t>1/22/2019</t>
  </si>
  <si>
    <t>742-04-5161</t>
  </si>
  <si>
    <t>149-15-7606</t>
  </si>
  <si>
    <t>133-77-3154</t>
  </si>
  <si>
    <t>169-52-4504</t>
  </si>
  <si>
    <t>250-81-7186</t>
  </si>
  <si>
    <t>562-12-5430</t>
  </si>
  <si>
    <t>816-72-8853</t>
  </si>
  <si>
    <t>491-38-3499</t>
  </si>
  <si>
    <t>2/26/2019</t>
  </si>
  <si>
    <t>322-02-2271</t>
  </si>
  <si>
    <t>842-29-4695</t>
  </si>
  <si>
    <t>725-67-2480</t>
  </si>
  <si>
    <t>641-51-2661</t>
  </si>
  <si>
    <t>714-02-3114</t>
  </si>
  <si>
    <t>2/21/2019</t>
  </si>
  <si>
    <t>518-17-2983</t>
  </si>
  <si>
    <t>779-42-2410</t>
  </si>
  <si>
    <t>190-14-3147</t>
  </si>
  <si>
    <t>408-66-6712</t>
  </si>
  <si>
    <t>679-22-6530</t>
  </si>
  <si>
    <t>588-47-8641</t>
  </si>
  <si>
    <t>642-61-4706</t>
  </si>
  <si>
    <t>576-31-4774</t>
  </si>
  <si>
    <t>556-41-6224</t>
  </si>
  <si>
    <t>811-03-8790</t>
  </si>
  <si>
    <t>242-11-3142</t>
  </si>
  <si>
    <t>752-23-3760</t>
  </si>
  <si>
    <t>2/19/2019</t>
  </si>
  <si>
    <t>274-05-5470</t>
  </si>
  <si>
    <t>648-94-3045</t>
  </si>
  <si>
    <t>130-67-4723</t>
  </si>
  <si>
    <t>528-87-5606</t>
  </si>
  <si>
    <t>320-85-2052</t>
  </si>
  <si>
    <t>370-96-0655</t>
  </si>
  <si>
    <t>105-10-6182</t>
  </si>
  <si>
    <t>510-79-0415</t>
  </si>
  <si>
    <t>241-96-5076</t>
  </si>
  <si>
    <t>767-97-4650</t>
  </si>
  <si>
    <t>648-83-1321</t>
  </si>
  <si>
    <t>173-57-2300</t>
  </si>
  <si>
    <t>3/13/2019</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</si>
  <si>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</si>
  <si>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</si>
  <si>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</si>
  <si>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</si>
  <si>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</si>
  <si>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</si>
  <si>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</si>
  <si>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</si>
  <si>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</si>
  <si>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</si>
  <si>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</si>
  <si>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</si>
  <si>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</si>
  <si>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</si>
  <si>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</si>
  <si>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</si>
  <si>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</si>
  <si>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</si>
  <si>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1/31/2019</t>
  </si>
  <si>
    <t>162-65-8559</t>
  </si>
  <si>
    <t>1/21/2019</t>
  </si>
  <si>
    <t>760-27-5490</t>
  </si>
  <si>
    <t>445-30-9252</t>
  </si>
  <si>
    <t>786-94-2700</t>
  </si>
  <si>
    <t>2/28/2019</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</si>
  <si>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</si>
  <si>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</si>
  <si>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</si>
  <si>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</si>
  <si>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</si>
  <si>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</si>
  <si>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</si>
  <si>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</si>
  <si>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</si>
  <si>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</si>
  <si>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</si>
  <si>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</si>
  <si>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</si>
  <si>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</si>
  <si>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</si>
  <si>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</si>
  <si>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</si>
  <si>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</si>
  <si>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3/16/2019</t>
  </si>
  <si>
    <t>299-29-0180</t>
  </si>
  <si>
    <t>247-11-2470</t>
  </si>
  <si>
    <t>635-28-5728</t>
  </si>
  <si>
    <t>756-49-0168</t>
  </si>
  <si>
    <t>438-23-1242</t>
  </si>
  <si>
    <t>238-45-6950</t>
  </si>
  <si>
    <t>607-65-2441</t>
  </si>
  <si>
    <t>386-27-7606</t>
  </si>
  <si>
    <t>3/23/2019</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</si>
  <si>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</si>
  <si>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</si>
  <si>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</si>
  <si>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</si>
  <si>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</si>
  <si>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</si>
  <si>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</si>
  <si>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</si>
  <si>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</si>
  <si>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</si>
  <si>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</si>
  <si>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</si>
  <si>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</si>
  <si>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</si>
  <si>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</si>
  <si>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</si>
  <si>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</si>
  <si>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</si>
  <si>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</si>
  <si>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</si>
  <si>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</si>
  <si>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</si>
  <si>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</si>
  <si>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</si>
  <si>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</si>
  <si>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</si>
  <si>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</si>
  <si>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</si>
  <si>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</si>
  <si>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</si>
  <si>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</si>
  <si>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</si>
  <si>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</si>
  <si>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</si>
  <si>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</si>
  <si>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</si>
  <si>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</si>
  <si>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</si>
  <si>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</si>
  <si>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</si>
  <si>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</si>
  <si>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</si>
  <si>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</si>
  <si>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</si>
  <si>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</si>
  <si>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</si>
  <si>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</si>
  <si>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</si>
  <si>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</si>
  <si>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</si>
  <si>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</si>
  <si>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</si>
  <si>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</si>
  <si>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</si>
  <si>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</si>
  <si>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</si>
  <si>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</si>
  <si>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</si>
  <si>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</si>
  <si>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</si>
  <si>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</si>
  <si>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</si>
  <si>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</si>
  <si>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</si>
  <si>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</si>
  <si>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</si>
  <si>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</si>
  <si>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</si>
  <si>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</si>
  <si>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</si>
  <si>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</si>
  <si>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</si>
  <si>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</si>
  <si>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</si>
  <si>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</si>
  <si>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</si>
  <si>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</si>
  <si>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</si>
  <si>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</si>
  <si>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</si>
  <si>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</si>
  <si>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</si>
  <si>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</si>
  <si>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</si>
  <si>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</si>
  <si>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</si>
  <si>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</si>
  <si>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</si>
  <si>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2/14/2019</t>
  </si>
  <si>
    <t>569-76-2760</t>
  </si>
  <si>
    <t>222-42-0244</t>
  </si>
  <si>
    <t>1/28/2019</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</si>
  <si>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</si>
  <si>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</si>
  <si>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</si>
  <si>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</si>
  <si>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</si>
  <si>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</si>
  <si>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</si>
  <si>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</si>
  <si>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</si>
  <si>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</si>
  <si>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</si>
  <si>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</si>
  <si>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</si>
  <si>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</si>
  <si>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</si>
  <si>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</si>
  <si>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</si>
  <si>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</si>
  <si>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</si>
  <si>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</si>
  <si>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</si>
  <si>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</si>
  <si>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</si>
  <si>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</si>
  <si>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</si>
  <si>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</si>
  <si>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</si>
  <si>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</si>
  <si>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</si>
  <si>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</si>
  <si>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</si>
  <si>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</si>
  <si>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</si>
  <si>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</si>
  <si>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</si>
  <si>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</si>
  <si>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</si>
  <si>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</si>
  <si>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</si>
  <si>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</si>
  <si>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</si>
  <si>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</si>
  <si>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</si>
  <si>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</si>
  <si>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</si>
  <si>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</si>
  <si>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</si>
  <si>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</si>
  <si>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</si>
  <si>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</si>
  <si>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</si>
  <si>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</si>
  <si>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3/21/2019</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</si>
  <si>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</si>
  <si>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</si>
  <si>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</si>
  <si>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</si>
  <si>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</si>
  <si>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</si>
  <si>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</si>
  <si>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</si>
  <si>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</si>
  <si>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</si>
  <si>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</si>
  <si>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</si>
  <si>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</si>
  <si>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</si>
  <si>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</si>
  <si>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</si>
  <si>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</si>
  <si>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</si>
  <si>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</si>
  <si>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</si>
  <si>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</si>
  <si>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</si>
  <si>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</si>
  <si>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</si>
  <si>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</si>
  <si>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</si>
  <si>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</si>
  <si>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</si>
  <si>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</si>
  <si>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</si>
  <si>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</si>
  <si>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</si>
  <si>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</si>
  <si>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</si>
  <si>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</si>
  <si>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</si>
  <si>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</si>
  <si>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</si>
  <si>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</si>
  <si>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</si>
  <si>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</si>
  <si>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</si>
  <si>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</si>
  <si>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</si>
  <si>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</si>
  <si>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</si>
  <si>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</si>
  <si>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</si>
  <si>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</si>
  <si>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</si>
  <si>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</si>
  <si>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</si>
  <si>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</si>
  <si>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</si>
  <si>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</si>
  <si>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</si>
  <si>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</si>
  <si>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</si>
  <si>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</si>
  <si>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</si>
  <si>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</si>
  <si>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</si>
  <si>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</si>
  <si>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</si>
  <si>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</si>
  <si>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</si>
  <si>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</si>
  <si>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</si>
  <si>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</si>
  <si>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</si>
  <si>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</si>
  <si>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</si>
  <si>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</si>
  <si>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</si>
  <si>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</si>
  <si>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</si>
  <si>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</si>
  <si>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</si>
  <si>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</si>
  <si>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</si>
  <si>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</si>
  <si>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</si>
  <si>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</si>
  <si>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</si>
  <si>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</si>
  <si>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</si>
  <si>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</si>
  <si>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</si>
  <si>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</si>
  <si>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</si>
  <si>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</si>
  <si>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</si>
  <si>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</si>
  <si>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</si>
  <si>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</si>
  <si>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</si>
  <si>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</si>
  <si>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</si>
  <si>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</si>
  <si>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</si>
  <si>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</si>
  <si>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</si>
  <si>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</si>
  <si>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</si>
  <si>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</si>
  <si>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</si>
  <si>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</si>
  <si>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</si>
  <si>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2/18/2019</t>
  </si>
  <si>
    <t>552-44-5977</t>
  </si>
  <si>
    <t>267-62-7380</t>
  </si>
  <si>
    <t>430-53-4718</t>
  </si>
  <si>
    <t>886-18-2897</t>
  </si>
  <si>
    <t>602-16-6955</t>
  </si>
  <si>
    <t>745-74-0715</t>
  </si>
  <si>
    <t>690-01-6631</t>
  </si>
  <si>
    <t>652-49-6720</t>
  </si>
  <si>
    <t>233-67-5758</t>
  </si>
  <si>
    <t>303-96-2227</t>
  </si>
  <si>
    <t>727-02-1313</t>
  </si>
  <si>
    <t>347-56-2442</t>
  </si>
  <si>
    <t>849-09-3807</t>
  </si>
  <si>
    <t>Invoice ID</t>
  </si>
  <si>
    <t>Branch</t>
  </si>
  <si>
    <t>Customer type</t>
  </si>
  <si>
    <t>Product line</t>
  </si>
  <si>
    <t>Unit price</t>
  </si>
  <si>
    <t>Quantity</t>
  </si>
  <si>
    <t>Tax 5%</t>
  </si>
  <si>
    <t>Total</t>
  </si>
  <si>
    <t>Date</t>
  </si>
  <si>
    <t>Time</t>
  </si>
  <si>
    <t>Payment</t>
  </si>
  <si>
    <t>Rating</t>
  </si>
  <si>
    <t>COGS</t>
  </si>
  <si>
    <t>Gross Margin Percentage</t>
  </si>
  <si>
    <t>Gross Income</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</si>
  <si>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</si>
  <si>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</si>
  <si>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</si>
  <si>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</si>
  <si>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</si>
  <si>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</si>
  <si>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</si>
  <si>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</si>
  <si>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</si>
  <si>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</si>
  <si>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</si>
  <si>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</si>
  <si>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</si>
  <si>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</si>
  <si>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</si>
  <si>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</si>
  <si>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</si>
  <si>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</si>
  <si>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</si>
  <si>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</si>
  <si>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</si>
  <si>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</si>
  <si>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</si>
  <si>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</si>
  <si>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</si>
  <si>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</si>
  <si>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</si>
  <si>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</si>
  <si>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</si>
  <si>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</si>
  <si>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</si>
  <si>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</si>
  <si>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</si>
  <si>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</si>
  <si>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</si>
  <si>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</si>
  <si>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</si>
  <si>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</si>
  <si>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</si>
  <si>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</si>
  <si>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</si>
  <si>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</si>
  <si>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</si>
  <si>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</si>
  <si>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</si>
  <si>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</si>
  <si>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</si>
  <si>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</si>
  <si>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</si>
  <si>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</si>
  <si>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</si>
  <si>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</si>
  <si>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</si>
  <si>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</si>
  <si>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</si>
  <si>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</si>
  <si>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</si>
  <si>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</si>
  <si>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</si>
  <si>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</si>
  <si>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Average Order Quantity</t>
  </si>
  <si>
    <t>Average Order Value</t>
  </si>
  <si>
    <t>Min Order Value</t>
  </si>
  <si>
    <t>Max Order Value</t>
  </si>
  <si>
    <t># of Orders</t>
  </si>
  <si>
    <t>Quantity Ordered</t>
  </si>
  <si>
    <t>Order Value</t>
  </si>
  <si>
    <t>Countifs</t>
  </si>
  <si>
    <t>Averageif, Minifs, Maxifs</t>
  </si>
  <si>
    <t>Countif, Sumif</t>
  </si>
  <si>
    <t>VLOOKUP</t>
  </si>
  <si>
    <t>XLOOKUP</t>
  </si>
  <si>
    <t>Order ID</t>
  </si>
  <si>
    <t>Customer ID</t>
  </si>
  <si>
    <t>Product</t>
  </si>
  <si>
    <t>Unit Price</t>
  </si>
  <si>
    <t>OrderValue</t>
  </si>
  <si>
    <t>Using Index with Other Functions</t>
  </si>
  <si>
    <r>
      <t xml:space="preserve">With Average Function- </t>
    </r>
    <r>
      <rPr>
        <b/>
        <sz val="11"/>
        <color rgb="FFFF0000"/>
        <rFont val="Calibri"/>
        <family val="2"/>
        <scheme val="minor"/>
      </rPr>
      <t>To find Average based on Demand</t>
    </r>
  </si>
  <si>
    <t>Column Number</t>
  </si>
  <si>
    <t>Average</t>
  </si>
  <si>
    <t>Calculate average of the top N items in the list</t>
  </si>
  <si>
    <t>Average of first N Items</t>
  </si>
  <si>
    <t>First N Items</t>
  </si>
  <si>
    <t>Average Of Column Number</t>
  </si>
  <si>
    <t>Sum items between the specified two items</t>
  </si>
  <si>
    <t xml:space="preserve">First Item </t>
  </si>
  <si>
    <t>Second Item</t>
  </si>
  <si>
    <t>Column</t>
  </si>
  <si>
    <t>Sum</t>
  </si>
  <si>
    <t>Index and Match</t>
  </si>
  <si>
    <t>Delhi</t>
  </si>
  <si>
    <t>Bangalore</t>
  </si>
  <si>
    <t>Kolkata</t>
  </si>
  <si>
    <t>Gurgaon</t>
  </si>
  <si>
    <t>Noida</t>
  </si>
  <si>
    <t>Las Vegas</t>
  </si>
  <si>
    <t>Patna</t>
  </si>
  <si>
    <t>Varanasi</t>
  </si>
  <si>
    <t>Highlights the total value in the data which are &gt; 500</t>
  </si>
  <si>
    <t>Print product line and quantity in the sheet</t>
  </si>
  <si>
    <t>Print average rating for each product line in the sheet</t>
  </si>
  <si>
    <t>Product Line</t>
  </si>
  <si>
    <t>Average Rating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</si>
</sst>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quot;₹&quot;\ * #,##0.00_ ;_ &quot;₹&quot;\ * \-#,##0.00_ ;_ &quot;₹&quot;\ * &quot;-&quot;??_ ;_ @_ "/>
    <numFmt numFmtId="43" formatCode="_ * #,##0.00_ ;_ * \-#,##0.00_ ;_ * &quot;-&quot;??_ ;_ @_ "/>
    <numFmt numFmtId="164" formatCode="&quot;$&quot;#,##0_);\(&quot;$&quot;#,##0\);&quot;$&quot;0_)"/>
    <numFmt numFmtId="165" formatCode="#,##0%_);\(#,##0%\);0%_)"/>
    <numFmt numFmtId="166" formatCode="_-[$$-409]* #,##0.00_ ;_-[$$-409]* \-#,##0.00\ ;_-[$$-409]* &quot;-&quot;??_ ;_-@_ "/>
    <numFmt numFmtId="167" formatCode="0.0000%"/>
    <numFmt numFmtId="168" formatCode="[$$-C09]#,##0.0"/>
    <numFmt numFmtId="169" formatCode="_(&quot;$&quot;* #,##0.00_);_(&quot;$&quot;* \(#,##0.00\);_(&quot;$&quot;* &quot;-&quot;??_);_(@_)"/>
    <numFmt numFmtId="170" formatCode="[$$-C09]#,##0"/>
  </numFmts>
  <fonts count="13" x14ac:knownFonts="1">
    <font>
      <sz val="11"/>
      <color theme="1"/>
      <name val="Calibri"/>
      <family val="2"/>
      <scheme val="minor"/>
    </font>
    <font>
      <b/>
      <sz val="11"/>
      <color rgb="FFFFFFFF"/>
      <name val="Calibri"/>
      <family val="2"/>
      <scheme val="minor"/>
    </font>
    <font>
      <sz val="11"/>
      <color theme="1"/>
      <name val="Calibri"/>
      <family val="2"/>
      <scheme val="minor"/>
    </font>
    <font>
      <b/>
      <sz val="11"/>
      <color theme="0"/>
      <name val="Calibri"/>
      <family val="2"/>
      <scheme val="minor"/>
    </font>
    <font>
      <b/>
      <sz val="11"/>
      <color theme="2"/>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sz val="12"/>
      <color theme="0"/>
      <name val="Calibri"/>
      <family val="2"/>
      <scheme val="minor"/>
    </font>
    <font>
      <sz val="10"/>
      <name val="Arial"/>
      <family val="2"/>
    </font>
    <font>
      <b/>
      <sz val="11"/>
      <color rgb="FF00B050"/>
      <name val="Calibri"/>
      <family val="2"/>
      <scheme val="minor"/>
    </font>
    <font>
      <b/>
      <sz val="11"/>
      <color rgb="FFFF0000"/>
      <name val="Calibri"/>
      <family val="2"/>
      <scheme val="minor"/>
    </font>
    <font>
      <sz val="11"/>
      <color rgb="FF000000"/>
      <name val="Calibri"/>
      <family val="2"/>
    </font>
  </fonts>
  <fills count="13">
    <fill>
      <patternFill patternType="none"/>
    </fill>
    <fill>
      <patternFill patternType="gray125"/>
    </fill>
    <fill>
      <patternFill patternType="solid">
        <fgColor rgb="FF3DB182"/>
        <bgColor indexed="64"/>
      </patternFill>
    </fill>
    <fill>
      <patternFill patternType="solid">
        <fgColor rgb="FFFFC00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0"/>
        <bgColor indexed="64"/>
      </patternFill>
    </fill>
    <fill>
      <patternFill patternType="solid">
        <fgColor theme="4"/>
        <bgColor theme="4"/>
      </patternFill>
    </fill>
    <fill>
      <patternFill patternType="solid">
        <fgColor theme="1" tint="0.14999847407452621"/>
        <bgColor indexed="64"/>
      </patternFill>
    </fill>
    <fill>
      <patternFill patternType="solid">
        <fgColor theme="5" tint="0.59999389629810485"/>
        <bgColor indexed="64"/>
      </patternFill>
    </fill>
    <fill>
      <patternFill patternType="solid">
        <fgColor rgb="FFFF0000"/>
        <bgColor indexed="64"/>
      </patternFill>
    </fill>
    <fill>
      <patternFill patternType="solid">
        <fgColor theme="1"/>
        <bgColor indexed="64"/>
      </patternFill>
    </fill>
    <fill>
      <patternFill patternType="solid">
        <fgColor rgb="FFE67F7F"/>
        <bgColor indexed="64"/>
      </patternFill>
    </fill>
  </fills>
  <borders count="25">
    <border>
      <left/>
      <right/>
      <top/>
      <bottom/>
      <diagonal/>
    </border>
    <border>
      <left/>
      <right style="medium">
        <color rgb="FFFFFFFF"/>
      </right>
      <top/>
      <bottom/>
      <diagonal/>
    </border>
    <border>
      <left style="medium">
        <color rgb="FFFFFFFF"/>
      </left>
      <right style="medium">
        <color rgb="FFFFFFFF"/>
      </right>
      <top/>
      <bottom/>
      <diagonal/>
    </border>
    <border>
      <left style="medium">
        <color rgb="FFFFFFFF"/>
      </left>
      <right/>
      <top/>
      <bottom/>
      <diagonal/>
    </border>
    <border>
      <left style="thin">
        <color indexed="64"/>
      </left>
      <right style="thin">
        <color indexed="64"/>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1">
    <xf numFmtId="0" fontId="0" fillId="0" borderId="0"/>
    <xf numFmtId="44" fontId="2" fillId="0" borderId="0" applyFont="0" applyFill="0" applyBorder="0" applyAlignment="0" applyProtection="0"/>
    <xf numFmtId="9" fontId="2" fillId="0" borderId="0" applyFont="0" applyFill="0" applyBorder="0" applyAlignment="0" applyProtection="0"/>
    <xf numFmtId="0" fontId="7"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9" fillId="0" borderId="0"/>
    <xf numFmtId="0" fontId="9" fillId="0" borderId="0"/>
    <xf numFmtId="0" fontId="7" fillId="0" borderId="0"/>
    <xf numFmtId="169" fontId="7" fillId="0" borderId="0" applyFont="0" applyFill="0" applyBorder="0" applyAlignment="0" applyProtection="0"/>
  </cellStyleXfs>
  <cellXfs count="75">
    <xf numFmtId="0" fontId="0" fillId="0" borderId="0" xfId="0"/>
    <xf numFmtId="0" fontId="1" fillId="2" borderId="1" xfId="0" applyFont="1" applyFill="1" applyBorder="1" applyAlignment="1">
      <alignment horizontal="center"/>
    </xf>
    <xf numFmtId="0" fontId="0" fillId="0" borderId="0" xfId="0" applyAlignment="1">
      <alignment horizontal="left"/>
    </xf>
    <xf numFmtId="0" fontId="1" fillId="2" borderId="2" xfId="0" applyFont="1" applyFill="1" applyBorder="1" applyAlignment="1">
      <alignment horizontal="center"/>
    </xf>
    <xf numFmtId="14" fontId="1" fillId="2" borderId="3" xfId="0" applyNumberFormat="1" applyFont="1" applyFill="1" applyBorder="1" applyAlignment="1">
      <alignment horizontal="center"/>
    </xf>
    <xf numFmtId="0" fontId="0" fillId="0" borderId="0" xfId="0" applyAlignment="1">
      <alignment horizontal="center"/>
    </xf>
    <xf numFmtId="14" fontId="0" fillId="0" borderId="0" xfId="0" applyNumberFormat="1" applyAlignment="1">
      <alignment horizontal="center"/>
    </xf>
    <xf numFmtId="164" fontId="0" fillId="0" borderId="0" xfId="0" applyNumberFormat="1" applyAlignment="1">
      <alignment horizontal="center"/>
    </xf>
    <xf numFmtId="165" fontId="0" fillId="0" borderId="0" xfId="0" applyNumberFormat="1" applyAlignment="1">
      <alignment horizontal="center"/>
    </xf>
    <xf numFmtId="0" fontId="0" fillId="4" borderId="0" xfId="0" applyFill="1"/>
    <xf numFmtId="0" fontId="0" fillId="4" borderId="0" xfId="0" applyFill="1" applyAlignment="1">
      <alignment horizontal="left"/>
    </xf>
    <xf numFmtId="0" fontId="0" fillId="0" borderId="4" xfId="0" applyBorder="1" applyAlignment="1">
      <alignment horizontal="center"/>
    </xf>
    <xf numFmtId="0" fontId="4" fillId="5" borderId="5" xfId="0" applyFont="1" applyFill="1" applyBorder="1" applyAlignment="1">
      <alignment horizontal="center"/>
    </xf>
    <xf numFmtId="0" fontId="4" fillId="5" borderId="6" xfId="0" applyFont="1" applyFill="1" applyBorder="1" applyAlignment="1">
      <alignment horizontal="center"/>
    </xf>
    <xf numFmtId="0" fontId="0" fillId="6" borderId="0" xfId="0" applyFill="1"/>
    <xf numFmtId="0" fontId="0" fillId="6" borderId="0" xfId="0" applyFill="1" applyAlignment="1">
      <alignment horizontal="left"/>
    </xf>
    <xf numFmtId="0" fontId="0" fillId="3" borderId="0" xfId="0" applyFill="1" applyAlignment="1">
      <alignment horizontal="center"/>
    </xf>
    <xf numFmtId="164" fontId="0" fillId="3" borderId="0" xfId="0" applyNumberFormat="1" applyFill="1" applyAlignment="1">
      <alignment horizontal="center"/>
    </xf>
    <xf numFmtId="165" fontId="0" fillId="3" borderId="0" xfId="0" applyNumberFormat="1" applyFill="1" applyAlignment="1">
      <alignment horizontal="center"/>
    </xf>
    <xf numFmtId="0" fontId="4" fillId="5" borderId="0" xfId="0" applyFont="1" applyFill="1" applyAlignment="1">
      <alignment horizontal="center"/>
    </xf>
    <xf numFmtId="0" fontId="0" fillId="0" borderId="0" xfId="0" pivotButton="1"/>
    <xf numFmtId="0" fontId="0" fillId="0" borderId="7" xfId="0" applyBorder="1" applyAlignment="1">
      <alignment horizontal="center"/>
    </xf>
    <xf numFmtId="0" fontId="0" fillId="0" borderId="8" xfId="0" applyBorder="1" applyAlignment="1">
      <alignment horizontal="center"/>
    </xf>
    <xf numFmtId="166" fontId="0" fillId="0" borderId="8" xfId="0" applyNumberFormat="1" applyBorder="1" applyAlignment="1">
      <alignment horizontal="center"/>
    </xf>
    <xf numFmtId="14" fontId="0" fillId="0" borderId="8" xfId="0" applyNumberFormat="1" applyBorder="1" applyAlignment="1">
      <alignment horizontal="center"/>
    </xf>
    <xf numFmtId="20" fontId="0" fillId="0" borderId="8" xfId="0" applyNumberFormat="1" applyBorder="1" applyAlignment="1">
      <alignment horizontal="center"/>
    </xf>
    <xf numFmtId="166" fontId="0" fillId="0" borderId="8" xfId="1" applyNumberFormat="1" applyFont="1" applyBorder="1" applyAlignment="1">
      <alignment horizontal="center"/>
    </xf>
    <xf numFmtId="167" fontId="0" fillId="0" borderId="8" xfId="2" applyNumberFormat="1" applyFont="1" applyBorder="1" applyAlignment="1">
      <alignment horizontal="center"/>
    </xf>
    <xf numFmtId="0" fontId="0" fillId="0" borderId="9" xfId="0" applyBorder="1" applyAlignment="1">
      <alignment horizontal="center"/>
    </xf>
    <xf numFmtId="0" fontId="3" fillId="7" borderId="7" xfId="0" applyFont="1" applyFill="1" applyBorder="1" applyAlignment="1">
      <alignment horizontal="center"/>
    </xf>
    <xf numFmtId="0" fontId="3" fillId="7" borderId="8" xfId="0" applyFont="1" applyFill="1" applyBorder="1" applyAlignment="1">
      <alignment horizontal="center"/>
    </xf>
    <xf numFmtId="14" fontId="3" fillId="7" borderId="8" xfId="0" applyNumberFormat="1" applyFont="1" applyFill="1" applyBorder="1" applyAlignment="1">
      <alignment horizontal="center"/>
    </xf>
    <xf numFmtId="166" fontId="3" fillId="7" borderId="8" xfId="1" applyNumberFormat="1" applyFont="1" applyFill="1" applyBorder="1" applyAlignment="1">
      <alignment horizontal="center"/>
    </xf>
    <xf numFmtId="166" fontId="3" fillId="7" borderId="8" xfId="0" applyNumberFormat="1" applyFont="1" applyFill="1" applyBorder="1" applyAlignment="1">
      <alignment horizontal="center"/>
    </xf>
    <xf numFmtId="0" fontId="3" fillId="7" borderId="9" xfId="0" applyFont="1" applyFill="1" applyBorder="1" applyAlignment="1">
      <alignment horizontal="center"/>
    </xf>
    <xf numFmtId="0" fontId="8" fillId="8" borderId="0" xfId="3" applyFont="1" applyFill="1" applyAlignment="1">
      <alignment horizontal="right" wrapText="1"/>
    </xf>
    <xf numFmtId="0" fontId="0" fillId="9" borderId="4" xfId="0" applyFill="1" applyBorder="1"/>
    <xf numFmtId="0" fontId="8" fillId="8" borderId="0" xfId="3" applyFont="1" applyFill="1" applyAlignment="1">
      <alignment horizontal="center"/>
    </xf>
    <xf numFmtId="0" fontId="8" fillId="8" borderId="0" xfId="3" applyFont="1" applyFill="1" applyAlignment="1">
      <alignment horizontal="center" wrapText="1"/>
    </xf>
    <xf numFmtId="0" fontId="0" fillId="9" borderId="4" xfId="0" applyFill="1" applyBorder="1" applyAlignment="1">
      <alignment horizontal="center"/>
    </xf>
    <xf numFmtId="168" fontId="0" fillId="9" borderId="4" xfId="0" applyNumberFormat="1" applyFill="1" applyBorder="1" applyAlignment="1">
      <alignment horizontal="center"/>
    </xf>
    <xf numFmtId="0" fontId="3" fillId="7" borderId="0" xfId="0" applyFont="1" applyFill="1" applyAlignment="1">
      <alignment horizontal="center"/>
    </xf>
    <xf numFmtId="166" fontId="0" fillId="0" borderId="0" xfId="0" applyNumberFormat="1" applyAlignment="1">
      <alignment horizontal="center"/>
    </xf>
    <xf numFmtId="0" fontId="0" fillId="0" borderId="11" xfId="0" applyBorder="1" applyAlignment="1">
      <alignment horizontal="center"/>
    </xf>
    <xf numFmtId="166" fontId="0" fillId="0" borderId="12" xfId="0" applyNumberFormat="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166" fontId="0" fillId="0" borderId="18" xfId="0" applyNumberFormat="1" applyBorder="1" applyAlignment="1">
      <alignment horizontal="center"/>
    </xf>
    <xf numFmtId="0" fontId="2" fillId="0" borderId="0" xfId="9" applyFont="1" applyAlignment="1">
      <alignment horizontal="center"/>
    </xf>
    <xf numFmtId="0" fontId="7" fillId="0" borderId="0" xfId="9"/>
    <xf numFmtId="0" fontId="0" fillId="0" borderId="0" xfId="0" applyAlignment="1">
      <alignment horizontal="center" vertical="center"/>
    </xf>
    <xf numFmtId="0" fontId="2" fillId="0" borderId="0" xfId="9" applyFont="1" applyAlignment="1">
      <alignment horizontal="center" vertical="center"/>
    </xf>
    <xf numFmtId="2" fontId="0" fillId="4" borderId="0" xfId="0" applyNumberFormat="1" applyFill="1" applyAlignment="1">
      <alignment horizontal="center" vertical="center"/>
    </xf>
    <xf numFmtId="0" fontId="7" fillId="0" borderId="0" xfId="9" applyAlignment="1">
      <alignment horizontal="center"/>
    </xf>
    <xf numFmtId="0" fontId="0" fillId="4" borderId="0" xfId="0" applyFill="1" applyAlignment="1">
      <alignment horizontal="center"/>
    </xf>
    <xf numFmtId="0" fontId="3" fillId="11" borderId="13" xfId="0" applyFont="1" applyFill="1" applyBorder="1" applyAlignment="1">
      <alignment horizontal="center"/>
    </xf>
    <xf numFmtId="0" fontId="3" fillId="11" borderId="14" xfId="0" applyFont="1" applyFill="1" applyBorder="1" applyAlignment="1">
      <alignment horizontal="center"/>
    </xf>
    <xf numFmtId="0" fontId="3" fillId="11" borderId="15" xfId="0" applyFont="1" applyFill="1" applyBorder="1" applyAlignment="1">
      <alignment horizontal="center"/>
    </xf>
    <xf numFmtId="0" fontId="3" fillId="7" borderId="10" xfId="0" applyFont="1"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164" fontId="0" fillId="0" borderId="22" xfId="0" applyNumberFormat="1" applyBorder="1" applyAlignment="1">
      <alignment horizontal="center"/>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9" borderId="19" xfId="0" applyNumberFormat="1" applyFill="1" applyBorder="1" applyAlignment="1">
      <alignment horizontal="center"/>
    </xf>
    <xf numFmtId="170" fontId="0" fillId="9" borderId="0" xfId="0" applyNumberFormat="1" applyFill="1"/>
    <xf numFmtId="166" fontId="0" fillId="12" borderId="8" xfId="0" applyNumberFormat="1" applyFill="1" applyBorder="1" applyAlignment="1">
      <alignment horizontal="center"/>
    </xf>
    <xf numFmtId="0" fontId="5" fillId="0" borderId="0" xfId="0" applyFont="1" applyAlignment="1">
      <alignment horizontal="center"/>
    </xf>
    <xf numFmtId="0" fontId="6" fillId="10" borderId="0" xfId="0" applyFont="1" applyFill="1" applyAlignment="1">
      <alignment horizontal="center" vertical="center"/>
    </xf>
    <xf numFmtId="0" fontId="6" fillId="10" borderId="0" xfId="0" applyFont="1" applyFill="1" applyAlignment="1">
      <alignment horizontal="center"/>
    </xf>
    <xf numFmtId="0" fontId="10" fillId="0" borderId="0" xfId="0" applyFont="1" applyAlignment="1">
      <alignment horizontal="center"/>
    </xf>
    <xf numFmtId="0" fontId="10" fillId="0" borderId="0" xfId="0" applyFont="1" applyAlignment="1">
      <alignment horizontal="center" vertical="center"/>
    </xf>
    <xf numFmtId="0" fontId="2" fillId="0" borderId="0" xfId="9" applyFont="1" applyAlignment="1">
      <alignment horizontal="center"/>
    </xf>
    <xf numFmtId="0" fontId="0" fillId="0" borderId="0" xfId="0" applyAlignment="1">
      <alignment horizontal="center"/>
    </xf>
    <xf numFmtId="0" fontId="0" fillId="0" borderId="0" xfId="0" applyAlignment="1">
      <alignment horizontal="left"/>
    </xf>
  </cellXfs>
  <cellStyles count="11">
    <cellStyle name="Comma 2" xfId="6" xr:uid="{46710D64-B67E-49DE-A4F9-D5DBC973DB93}"/>
    <cellStyle name="Currency" xfId="1" builtinId="4"/>
    <cellStyle name="Currency 2" xfId="10" xr:uid="{B691D36A-8A7B-4804-B8BF-4B136F3CFECD}"/>
    <cellStyle name="Normal" xfId="0" builtinId="0"/>
    <cellStyle name="Normal 2" xfId="3" xr:uid="{122E6AC4-1FBC-448C-850E-00359E041BBB}"/>
    <cellStyle name="Normal 2 2" xfId="4" xr:uid="{B617A6BA-D87C-4B69-971A-F684B60293A6}"/>
    <cellStyle name="Normal 2 3" xfId="7" xr:uid="{339CB0C2-CDE8-4FD3-A291-E236E1D46914}"/>
    <cellStyle name="Normal 3" xfId="8" xr:uid="{AC70E652-A970-4AA2-B0A8-D6CC7576EABB}"/>
    <cellStyle name="Normal 4" xfId="9" xr:uid="{8C4638A4-5DDA-43AB-9207-7635756DC2DE}"/>
    <cellStyle name="Percent" xfId="2" builtinId="5"/>
    <cellStyle name="Percent 2" xfId="5" xr:uid="{218ECD7F-BCF4-4B63-BF33-91291AA3E752}"/>
  </cellStyles>
  <dxfs count="39">
    <dxf>
      <numFmt numFmtId="166" formatCode="_-[$$-409]* #,##0.00_ ;_-[$$-409]* \-#,##0.00\ ;_-[$$-409]* &quot;-&quot;??_ ;_-@_ "/>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[Excel_Project.xlsm]Dashboard!PivotTable2</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Dashboard!$B$1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DA-476A-97D8-E9654F6C4D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DA-476A-97D8-E9654F6C4D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CDA-476A-97D8-E9654F6C4D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CDA-476A-97D8-E9654F6C4DF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CDA-476A-97D8-E9654F6C4DF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CDA-476A-97D8-E9654F6C4DF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CDA-476A-97D8-E9654F6C4DF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CDA-476A-97D8-E9654F6C4DF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CDA-476A-97D8-E9654F6C4DF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CDA-476A-97D8-E9654F6C4DF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CDA-476A-97D8-E9654F6C4DF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ECDA-476A-97D8-E9654F6C4DF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ECDA-476A-97D8-E9654F6C4DF9}"/>
              </c:ext>
            </c:extLst>
          </c:dPt>
          <c:cat>
            <c:strRef>
              <c:f>Dashboard!$A$2:$A$15</c:f>
              <c:strCache>
                <c:ptCount val="13"/>
                <c:pt idx="0">
                  <c:v>compact car</c:v>
                </c:pt>
                <c:pt idx="1">
                  <c:v>large car</c:v>
                </c:pt>
                <c:pt idx="2">
                  <c:v>midsize car</c:v>
                </c:pt>
                <c:pt idx="3">
                  <c:v>midsize station wagon</c:v>
                </c:pt>
                <c:pt idx="4">
                  <c:v>minicompact car</c:v>
                </c:pt>
                <c:pt idx="5">
                  <c:v>minivan</c:v>
                </c:pt>
                <c:pt idx="6">
                  <c:v>small pickup truck</c:v>
                </c:pt>
                <c:pt idx="7">
                  <c:v>small sport utility vehicle</c:v>
                </c:pt>
                <c:pt idx="8">
                  <c:v>small station wagon</c:v>
                </c:pt>
                <c:pt idx="9">
                  <c:v>standard pickup truck</c:v>
                </c:pt>
                <c:pt idx="10">
                  <c:v>standard sport utility vehicle</c:v>
                </c:pt>
                <c:pt idx="11">
                  <c:v>subcompact car</c:v>
                </c:pt>
                <c:pt idx="12">
                  <c:v>two seater</c:v>
                </c:pt>
              </c:strCache>
            </c:strRef>
          </c:cat>
          <c:val>
            <c:numRef>
              <c:f>Dashboard!$B$2:$B$15</c:f>
              <c:numCache>
                <c:formatCode>General</c:formatCode>
                <c:ptCount val="13"/>
                <c:pt idx="0">
                  <c:v>193.60000000000014</c:v>
                </c:pt>
                <c:pt idx="1">
                  <c:v>52.79999999999999</c:v>
                </c:pt>
                <c:pt idx="2">
                  <c:v>147.80000000000004</c:v>
                </c:pt>
                <c:pt idx="3">
                  <c:v>5</c:v>
                </c:pt>
                <c:pt idx="4">
                  <c:v>45.3</c:v>
                </c:pt>
                <c:pt idx="5">
                  <c:v>27.299999999999997</c:v>
                </c:pt>
                <c:pt idx="6">
                  <c:v>21.8</c:v>
                </c:pt>
                <c:pt idx="7">
                  <c:v>372.00000000000023</c:v>
                </c:pt>
                <c:pt idx="8">
                  <c:v>21.900000000000002</c:v>
                </c:pt>
                <c:pt idx="9">
                  <c:v>36.1</c:v>
                </c:pt>
                <c:pt idx="10">
                  <c:v>157.19999999999999</c:v>
                </c:pt>
                <c:pt idx="11">
                  <c:v>243.60000000000008</c:v>
                </c:pt>
                <c:pt idx="12">
                  <c:v>282.19999999999993</c:v>
                </c:pt>
              </c:numCache>
            </c:numRef>
          </c:val>
          <c:extLst>
            <c:ext xmlns:c16="http://schemas.microsoft.com/office/drawing/2014/chart" uri="{C3380CC4-5D6E-409C-BE32-E72D297353CC}">
              <c16:uniqueId val="{00000000-F211-431F-B95F-614B6E4CDE0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[Excel_Project.xlsm]Dashboard!PivotTable6</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Dashboard!$B$19:$B$20</c:f>
              <c:strCache>
                <c:ptCount val="1"/>
                <c:pt idx="0">
                  <c:v>a</c:v>
                </c:pt>
              </c:strCache>
            </c:strRef>
          </c:tx>
          <c:spPr>
            <a:solidFill>
              <a:schemeClr val="accent1"/>
            </a:solidFill>
            <a:ln>
              <a:noFill/>
            </a:ln>
            <a:effectLst/>
          </c:spPr>
          <c:invertIfNegative val="0"/>
          <c:cat>
            <c:strRef>
              <c:f>Dashboard!$A$21:$A$52</c:f>
              <c:strCache>
                <c:ptCount val="31"/>
                <c:pt idx="0">
                  <c:v>acura</c:v>
                </c:pt>
                <c:pt idx="1">
                  <c:v>aston martin</c:v>
                </c:pt>
                <c:pt idx="2">
                  <c:v>audi</c:v>
                </c:pt>
                <c:pt idx="3">
                  <c:v>bentley</c:v>
                </c:pt>
                <c:pt idx="4">
                  <c:v>bmw</c:v>
                </c:pt>
                <c:pt idx="5">
                  <c:v>buick</c:v>
                </c:pt>
                <c:pt idx="6">
                  <c:v>cadillac</c:v>
                </c:pt>
                <c:pt idx="7">
                  <c:v>chevrolet</c:v>
                </c:pt>
                <c:pt idx="8">
                  <c:v>chrysler</c:v>
                </c:pt>
                <c:pt idx="9">
                  <c:v>ford</c:v>
                </c:pt>
                <c:pt idx="10">
                  <c:v>genesis</c:v>
                </c:pt>
                <c:pt idx="11">
                  <c:v>gmc</c:v>
                </c:pt>
                <c:pt idx="12">
                  <c:v>honda</c:v>
                </c:pt>
                <c:pt idx="13">
                  <c:v>hyundai</c:v>
                </c:pt>
                <c:pt idx="14">
                  <c:v>infiniti</c:v>
                </c:pt>
                <c:pt idx="15">
                  <c:v>jaguar</c:v>
                </c:pt>
                <c:pt idx="16">
                  <c:v>jeep</c:v>
                </c:pt>
                <c:pt idx="17">
                  <c:v>kia</c:v>
                </c:pt>
                <c:pt idx="18">
                  <c:v>land rover</c:v>
                </c:pt>
                <c:pt idx="19">
                  <c:v>mazda</c:v>
                </c:pt>
                <c:pt idx="20">
                  <c:v>mercedes-benz</c:v>
                </c:pt>
                <c:pt idx="21">
                  <c:v>mini</c:v>
                </c:pt>
                <c:pt idx="22">
                  <c:v>mitsubishi</c:v>
                </c:pt>
                <c:pt idx="23">
                  <c:v>nissan</c:v>
                </c:pt>
                <c:pt idx="24">
                  <c:v>porsche</c:v>
                </c:pt>
                <c:pt idx="25">
                  <c:v>ram</c:v>
                </c:pt>
                <c:pt idx="26">
                  <c:v>roush performance</c:v>
                </c:pt>
                <c:pt idx="27">
                  <c:v>subaru</c:v>
                </c:pt>
                <c:pt idx="28">
                  <c:v>toyota</c:v>
                </c:pt>
                <c:pt idx="29">
                  <c:v>volkswagen</c:v>
                </c:pt>
                <c:pt idx="30">
                  <c:v>volvo</c:v>
                </c:pt>
              </c:strCache>
            </c:strRef>
          </c:cat>
          <c:val>
            <c:numRef>
              <c:f>Dashboard!$B$21:$B$52</c:f>
              <c:numCache>
                <c:formatCode>General</c:formatCode>
                <c:ptCount val="31"/>
                <c:pt idx="0">
                  <c:v>22202</c:v>
                </c:pt>
                <c:pt idx="1">
                  <c:v>6042</c:v>
                </c:pt>
                <c:pt idx="2">
                  <c:v>50413</c:v>
                </c:pt>
                <c:pt idx="3">
                  <c:v>4034</c:v>
                </c:pt>
                <c:pt idx="4">
                  <c:v>133391</c:v>
                </c:pt>
                <c:pt idx="5">
                  <c:v>8078</c:v>
                </c:pt>
                <c:pt idx="6">
                  <c:v>12094</c:v>
                </c:pt>
                <c:pt idx="7">
                  <c:v>40371</c:v>
                </c:pt>
                <c:pt idx="8">
                  <c:v>2017</c:v>
                </c:pt>
                <c:pt idx="9">
                  <c:v>6042</c:v>
                </c:pt>
                <c:pt idx="10">
                  <c:v>48505</c:v>
                </c:pt>
                <c:pt idx="11">
                  <c:v>24192</c:v>
                </c:pt>
                <c:pt idx="12">
                  <c:v>20189</c:v>
                </c:pt>
                <c:pt idx="13">
                  <c:v>60564</c:v>
                </c:pt>
                <c:pt idx="14">
                  <c:v>4038</c:v>
                </c:pt>
                <c:pt idx="15">
                  <c:v>135304</c:v>
                </c:pt>
                <c:pt idx="16">
                  <c:v>34288</c:v>
                </c:pt>
                <c:pt idx="17">
                  <c:v>133263</c:v>
                </c:pt>
                <c:pt idx="18">
                  <c:v>32361</c:v>
                </c:pt>
                <c:pt idx="19">
                  <c:v>30224</c:v>
                </c:pt>
                <c:pt idx="20">
                  <c:v>4040</c:v>
                </c:pt>
                <c:pt idx="21">
                  <c:v>52579</c:v>
                </c:pt>
                <c:pt idx="22">
                  <c:v>18182</c:v>
                </c:pt>
                <c:pt idx="23">
                  <c:v>8059</c:v>
                </c:pt>
                <c:pt idx="24">
                  <c:v>4030</c:v>
                </c:pt>
                <c:pt idx="25">
                  <c:v>4038</c:v>
                </c:pt>
                <c:pt idx="26">
                  <c:v>2014</c:v>
                </c:pt>
                <c:pt idx="27">
                  <c:v>8063</c:v>
                </c:pt>
                <c:pt idx="28">
                  <c:v>10100</c:v>
                </c:pt>
                <c:pt idx="29">
                  <c:v>8082</c:v>
                </c:pt>
                <c:pt idx="30">
                  <c:v>16124</c:v>
                </c:pt>
              </c:numCache>
            </c:numRef>
          </c:val>
          <c:extLst>
            <c:ext xmlns:c16="http://schemas.microsoft.com/office/drawing/2014/chart" uri="{C3380CC4-5D6E-409C-BE32-E72D297353CC}">
              <c16:uniqueId val="{00000000-20D5-4F14-8186-ACEC69F18D21}"/>
            </c:ext>
          </c:extLst>
        </c:ser>
        <c:ser>
          <c:idx val="1"/>
          <c:order val="1"/>
          <c:tx>
            <c:strRef>
              <c:f>Dashboard!$C$19:$C$20</c:f>
              <c:strCache>
                <c:ptCount val="1"/>
                <c:pt idx="0">
                  <c:v>m</c:v>
                </c:pt>
              </c:strCache>
            </c:strRef>
          </c:tx>
          <c:spPr>
            <a:solidFill>
              <a:schemeClr val="accent2"/>
            </a:solidFill>
            <a:ln>
              <a:noFill/>
            </a:ln>
            <a:effectLst/>
          </c:spPr>
          <c:invertIfNegative val="0"/>
          <c:cat>
            <c:strRef>
              <c:f>Dashboard!$A$21:$A$52</c:f>
              <c:strCache>
                <c:ptCount val="31"/>
                <c:pt idx="0">
                  <c:v>acura</c:v>
                </c:pt>
                <c:pt idx="1">
                  <c:v>aston martin</c:v>
                </c:pt>
                <c:pt idx="2">
                  <c:v>audi</c:v>
                </c:pt>
                <c:pt idx="3">
                  <c:v>bentley</c:v>
                </c:pt>
                <c:pt idx="4">
                  <c:v>bmw</c:v>
                </c:pt>
                <c:pt idx="5">
                  <c:v>buick</c:v>
                </c:pt>
                <c:pt idx="6">
                  <c:v>cadillac</c:v>
                </c:pt>
                <c:pt idx="7">
                  <c:v>chevrolet</c:v>
                </c:pt>
                <c:pt idx="8">
                  <c:v>chrysler</c:v>
                </c:pt>
                <c:pt idx="9">
                  <c:v>ford</c:v>
                </c:pt>
                <c:pt idx="10">
                  <c:v>genesis</c:v>
                </c:pt>
                <c:pt idx="11">
                  <c:v>gmc</c:v>
                </c:pt>
                <c:pt idx="12">
                  <c:v>honda</c:v>
                </c:pt>
                <c:pt idx="13">
                  <c:v>hyundai</c:v>
                </c:pt>
                <c:pt idx="14">
                  <c:v>infiniti</c:v>
                </c:pt>
                <c:pt idx="15">
                  <c:v>jaguar</c:v>
                </c:pt>
                <c:pt idx="16">
                  <c:v>jeep</c:v>
                </c:pt>
                <c:pt idx="17">
                  <c:v>kia</c:v>
                </c:pt>
                <c:pt idx="18">
                  <c:v>land rover</c:v>
                </c:pt>
                <c:pt idx="19">
                  <c:v>mazda</c:v>
                </c:pt>
                <c:pt idx="20">
                  <c:v>mercedes-benz</c:v>
                </c:pt>
                <c:pt idx="21">
                  <c:v>mini</c:v>
                </c:pt>
                <c:pt idx="22">
                  <c:v>mitsubishi</c:v>
                </c:pt>
                <c:pt idx="23">
                  <c:v>nissan</c:v>
                </c:pt>
                <c:pt idx="24">
                  <c:v>porsche</c:v>
                </c:pt>
                <c:pt idx="25">
                  <c:v>ram</c:v>
                </c:pt>
                <c:pt idx="26">
                  <c:v>roush performance</c:v>
                </c:pt>
                <c:pt idx="27">
                  <c:v>subaru</c:v>
                </c:pt>
                <c:pt idx="28">
                  <c:v>toyota</c:v>
                </c:pt>
                <c:pt idx="29">
                  <c:v>volkswagen</c:v>
                </c:pt>
                <c:pt idx="30">
                  <c:v>volvo</c:v>
                </c:pt>
              </c:strCache>
            </c:strRef>
          </c:cat>
          <c:val>
            <c:numRef>
              <c:f>Dashboard!$C$21:$C$52</c:f>
              <c:numCache>
                <c:formatCode>General</c:formatCode>
                <c:ptCount val="31"/>
                <c:pt idx="2">
                  <c:v>12092</c:v>
                </c:pt>
                <c:pt idx="4">
                  <c:v>12114</c:v>
                </c:pt>
                <c:pt idx="7">
                  <c:v>6057</c:v>
                </c:pt>
                <c:pt idx="9">
                  <c:v>6042</c:v>
                </c:pt>
                <c:pt idx="10">
                  <c:v>4040</c:v>
                </c:pt>
                <c:pt idx="12">
                  <c:v>2016</c:v>
                </c:pt>
                <c:pt idx="13">
                  <c:v>16145</c:v>
                </c:pt>
                <c:pt idx="15">
                  <c:v>8068</c:v>
                </c:pt>
                <c:pt idx="16">
                  <c:v>10070</c:v>
                </c:pt>
                <c:pt idx="17">
                  <c:v>6055</c:v>
                </c:pt>
                <c:pt idx="19">
                  <c:v>12090</c:v>
                </c:pt>
                <c:pt idx="21">
                  <c:v>50552</c:v>
                </c:pt>
                <c:pt idx="22">
                  <c:v>2017</c:v>
                </c:pt>
                <c:pt idx="26">
                  <c:v>2014</c:v>
                </c:pt>
                <c:pt idx="27">
                  <c:v>12096</c:v>
                </c:pt>
                <c:pt idx="28">
                  <c:v>4040</c:v>
                </c:pt>
                <c:pt idx="29">
                  <c:v>2019</c:v>
                </c:pt>
              </c:numCache>
            </c:numRef>
          </c:val>
          <c:extLst>
            <c:ext xmlns:c16="http://schemas.microsoft.com/office/drawing/2014/chart" uri="{C3380CC4-5D6E-409C-BE32-E72D297353CC}">
              <c16:uniqueId val="{00000001-20D5-4F14-8186-ACEC69F18D21}"/>
            </c:ext>
          </c:extLst>
        </c:ser>
        <c:dLbls>
          <c:showLegendKey val="0"/>
          <c:showVal val="0"/>
          <c:showCatName val="0"/>
          <c:showSerName val="0"/>
          <c:showPercent val="0"/>
          <c:showBubbleSize val="0"/>
        </c:dLbls>
        <c:gapWidth val="219"/>
        <c:overlap val="-27"/>
        <c:axId val="632418655"/>
        <c:axId val="632444575"/>
      </c:barChart>
      <c:catAx>
        <c:axId val="632418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444575"/>
        <c:crosses val="autoZero"/>
        <c:auto val="1"/>
        <c:lblAlgn val="ctr"/>
        <c:lblOffset val="100"/>
        <c:noMultiLvlLbl val="0"/>
      </c:catAx>
      <c:valAx>
        <c:axId val="632444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418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14</xdr:col>
      <xdr:colOff>0</xdr:colOff>
      <xdr:row>20</xdr:row>
      <xdr:rowOff>107950</xdr:rowOff>
    </xdr:from>
    <xdr:to>
      <xdr:col>15</xdr:col>
      <xdr:colOff>107950</xdr:colOff>
      <xdr:row>34</xdr:row>
      <xdr:rowOff>53975</xdr:rowOff>
    </xdr:to>
    <mc:AlternateContent xmlns:mc="http://schemas.openxmlformats.org/markup-compatibility/2006" xmlns:a14="http://schemas.microsoft.com/office/drawing/2010/main">
      <mc:Choice Requires="a14">
        <xdr:graphicFrame macro="">
          <xdr:nvGraphicFramePr>
            <xdr:cNvPr id="2" name="class">
              <a:extLst>
                <a:ext uri="{FF2B5EF4-FFF2-40B4-BE49-F238E27FC236}">
                  <a16:creationId xmlns:a16="http://schemas.microsoft.com/office/drawing/2014/main" id="{B18A34E5-09BA-5C2B-543B-5EB53A9A9A8B}"/>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14312900" y="37909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107950</xdr:colOff>
      <xdr:row>4</xdr:row>
      <xdr:rowOff>171450</xdr:rowOff>
    </xdr:from>
    <xdr:to>
      <xdr:col>20</xdr:col>
      <xdr:colOff>920750</xdr:colOff>
      <xdr:row>18</xdr:row>
      <xdr:rowOff>117475</xdr:rowOff>
    </xdr:to>
    <mc:AlternateContent xmlns:mc="http://schemas.openxmlformats.org/markup-compatibility/2006" xmlns:a14="http://schemas.microsoft.com/office/drawing/2010/main">
      <mc:Choice Requires="a14">
        <xdr:graphicFrame macro="">
          <xdr:nvGraphicFramePr>
            <xdr:cNvPr id="4" name="make">
              <a:extLst>
                <a:ext uri="{FF2B5EF4-FFF2-40B4-BE49-F238E27FC236}">
                  <a16:creationId xmlns:a16="http://schemas.microsoft.com/office/drawing/2014/main" id="{F2425A3F-9738-774A-7F9E-BD66D2BAB2C3}"/>
                </a:ext>
              </a:extLst>
            </xdr:cNvPr>
            <xdr:cNvGraphicFramePr/>
          </xdr:nvGraphicFramePr>
          <xdr:xfrm>
            <a:off x="0" y="0"/>
            <a:ext cx="0" cy="0"/>
          </xdr:xfrm>
          <a:graphic>
            <a:graphicData uri="http://schemas.microsoft.com/office/drawing/2010/slicer">
              <sle:slicer xmlns:sle="http://schemas.microsoft.com/office/drawing/2010/slicer" name="make"/>
            </a:graphicData>
          </a:graphic>
        </xdr:graphicFrame>
      </mc:Choice>
      <mc:Fallback xmlns="">
        <xdr:sp macro="" textlink="">
          <xdr:nvSpPr>
            <xdr:cNvPr id="0" name=""/>
            <xdr:cNvSpPr>
              <a:spLocks noTextEdit="1"/>
            </xdr:cNvSpPr>
          </xdr:nvSpPr>
          <xdr:spPr>
            <a:xfrm>
              <a:off x="21189950" y="9080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136524</xdr:colOff>
      <xdr:row>0</xdr:row>
      <xdr:rowOff>146050</xdr:rowOff>
    </xdr:from>
    <xdr:to>
      <xdr:col>18</xdr:col>
      <xdr:colOff>63499</xdr:colOff>
      <xdr:row>17</xdr:row>
      <xdr:rowOff>25400</xdr:rowOff>
    </xdr:to>
    <xdr:graphicFrame macro="">
      <xdr:nvGraphicFramePr>
        <xdr:cNvPr id="9" name="Chart 8">
          <a:extLst>
            <a:ext uri="{FF2B5EF4-FFF2-40B4-BE49-F238E27FC236}">
              <a16:creationId xmlns:a16="http://schemas.microsoft.com/office/drawing/2014/main" id="{11FA16B4-A665-ABA0-F851-1ABA4ADD56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47624</xdr:colOff>
      <xdr:row>18</xdr:row>
      <xdr:rowOff>6350</xdr:rowOff>
    </xdr:from>
    <xdr:to>
      <xdr:col>32</xdr:col>
      <xdr:colOff>400049</xdr:colOff>
      <xdr:row>39</xdr:row>
      <xdr:rowOff>50800</xdr:rowOff>
    </xdr:to>
    <xdr:graphicFrame macro="">
      <xdr:nvGraphicFramePr>
        <xdr:cNvPr id="10" name="Chart 9">
          <a:extLst>
            <a:ext uri="{FF2B5EF4-FFF2-40B4-BE49-F238E27FC236}">
              <a16:creationId xmlns:a16="http://schemas.microsoft.com/office/drawing/2014/main" id="{2EFAAD58-F4B4-5217-5C94-827FF7410A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63500</xdr:colOff>
      <xdr:row>8</xdr:row>
      <xdr:rowOff>38100</xdr:rowOff>
    </xdr:from>
    <xdr:to>
      <xdr:col>17</xdr:col>
      <xdr:colOff>184150</xdr:colOff>
      <xdr:row>13</xdr:row>
      <xdr:rowOff>107950</xdr:rowOff>
    </xdr:to>
    <xdr:cxnSp macro="">
      <xdr:nvCxnSpPr>
        <xdr:cNvPr id="3" name="Straight Arrow Connector 2">
          <a:extLst>
            <a:ext uri="{FF2B5EF4-FFF2-40B4-BE49-F238E27FC236}">
              <a16:creationId xmlns:a16="http://schemas.microsoft.com/office/drawing/2014/main" id="{31A37498-8444-EB62-2FDA-DDF8022C1FE9}"/>
            </a:ext>
          </a:extLst>
        </xdr:cNvPr>
        <xdr:cNvCxnSpPr/>
      </xdr:nvCxnSpPr>
      <xdr:spPr>
        <a:xfrm flipV="1">
          <a:off x="13341350" y="1530350"/>
          <a:ext cx="1581150" cy="103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12700</xdr:colOff>
          <xdr:row>6</xdr:row>
          <xdr:rowOff>12700</xdr:rowOff>
        </xdr:from>
        <xdr:to>
          <xdr:col>21</xdr:col>
          <xdr:colOff>425450</xdr:colOff>
          <xdr:row>8</xdr:row>
          <xdr:rowOff>127000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TotalValue &gt; 500</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679450</xdr:colOff>
          <xdr:row>6</xdr:row>
          <xdr:rowOff>6350</xdr:rowOff>
        </xdr:from>
        <xdr:to>
          <xdr:col>26</xdr:col>
          <xdr:colOff>355600</xdr:colOff>
          <xdr:row>9</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PrintQuantity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368300</xdr:colOff>
          <xdr:row>5</xdr:row>
          <xdr:rowOff>107950</xdr:rowOff>
        </xdr:from>
        <xdr:to>
          <xdr:col>29</xdr:col>
          <xdr:colOff>787400</xdr:colOff>
          <xdr:row>8</xdr:row>
          <xdr:rowOff>63500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AverageRating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isha" refreshedDate="45589.494716203706" createdVersion="8" refreshedVersion="8" minRefreshableVersion="3" recordCount="550" xr:uid="{606A0959-FE32-4655-839A-F6CF239D2ED9}">
  <cacheSource type="worksheet">
    <worksheetSource ref="B4:M554" sheet="Pivot"/>
  </cacheSource>
  <cacheFields count="12">
    <cacheField name="city_mpg" numFmtId="0">
      <sharedItems containsSemiMixedTypes="0" containsString="0" containsNumber="1" containsInteger="1" minValue="11" maxValue="126" count="31">
        <n v="25"/>
        <n v="26"/>
        <n v="24"/>
        <n v="19"/>
        <n v="15"/>
        <n v="18"/>
        <n v="22"/>
        <n v="23"/>
        <n v="16"/>
        <n v="20"/>
        <n v="17"/>
        <n v="13"/>
        <n v="14"/>
        <n v="12"/>
        <n v="11"/>
        <n v="21"/>
        <n v="28"/>
        <n v="27"/>
        <n v="126"/>
        <n v="29"/>
        <n v="33"/>
        <n v="37"/>
        <n v="121"/>
        <n v="43"/>
        <n v="30"/>
        <n v="31"/>
        <n v="53"/>
        <n v="51"/>
        <n v="55"/>
        <n v="38"/>
        <n v="42"/>
      </sharedItems>
    </cacheField>
    <cacheField name="class" numFmtId="0">
      <sharedItems count="13">
        <s v="midsize car"/>
        <s v="small sport utility vehicle"/>
        <s v="subcompact car"/>
        <s v="large car"/>
        <s v="two seater"/>
        <s v="minicompact car"/>
        <s v="standard sport utility vehicle"/>
        <s v="compact car"/>
        <s v="small station wagon"/>
        <s v="standard pickup truck"/>
        <s v="minivan"/>
        <s v="small pickup truck"/>
        <s v="midsize station wagon"/>
      </sharedItems>
    </cacheField>
    <cacheField name="combination_mpg" numFmtId="0">
      <sharedItems containsSemiMixedTypes="0" containsString="0" containsNumber="1" containsInteger="1" minValue="14" maxValue="112" count="30">
        <n v="29"/>
        <n v="30"/>
        <n v="27"/>
        <n v="28"/>
        <n v="26"/>
        <n v="22"/>
        <n v="23"/>
        <n v="18"/>
        <n v="20"/>
        <n v="24"/>
        <n v="25"/>
        <n v="19"/>
        <n v="21"/>
        <n v="16"/>
        <n v="17"/>
        <n v="14"/>
        <n v="15"/>
        <n v="32"/>
        <n v="31"/>
        <n v="112"/>
        <n v="33"/>
        <n v="36"/>
        <n v="39"/>
        <n v="42"/>
        <n v="34"/>
        <n v="52"/>
        <n v="48"/>
        <n v="37"/>
        <n v="38"/>
        <n v="43"/>
      </sharedItems>
    </cacheField>
    <cacheField name="cylinders" numFmtId="0">
      <sharedItems containsString="0" containsBlank="1" containsNumber="1" containsInteger="1" minValue="3" maxValue="12" count="8">
        <n v="4"/>
        <n v="6"/>
        <n v="8"/>
        <n v="10"/>
        <n v="12"/>
        <n v="5"/>
        <m/>
        <n v="3"/>
      </sharedItems>
    </cacheField>
    <cacheField name="displacement" numFmtId="0">
      <sharedItems containsString="0" containsBlank="1" containsNumber="1" minValue="1.2" maxValue="6.8" count="30">
        <n v="2.5"/>
        <n v="2"/>
        <n v="3.7"/>
        <n v="5.8"/>
        <n v="5"/>
        <n v="3.8"/>
        <n v="3"/>
        <n v="2.4"/>
        <n v="3.3"/>
        <n v="3.5"/>
        <n v="5.2"/>
        <n v="4.2"/>
        <n v="5.9"/>
        <n v="6.4"/>
        <n v="4.8"/>
        <n v="5.3"/>
        <n v="6.2"/>
        <n v="1.8"/>
        <n v="6.8"/>
        <n v="1.6"/>
        <m/>
        <n v="3.6"/>
        <n v="1.2"/>
        <n v="1.5"/>
        <n v="6"/>
        <n v="4.4000000000000004"/>
        <n v="3.2"/>
        <n v="1.4"/>
        <n v="5.7"/>
        <n v="1.3"/>
      </sharedItems>
    </cacheField>
    <cacheField name="drive" numFmtId="0">
      <sharedItems/>
    </cacheField>
    <cacheField name="fuel_type" numFmtId="0">
      <sharedItems/>
    </cacheField>
    <cacheField name="highway_mpg" numFmtId="0">
      <sharedItems containsSemiMixedTypes="0" containsString="0" containsNumber="1" containsInteger="1" minValue="18" maxValue="102"/>
    </cacheField>
    <cacheField name="make" numFmtId="0">
      <sharedItems count="31">
        <s v="mazda"/>
        <s v="ford"/>
        <s v="subaru"/>
        <s v="nissan"/>
        <s v="audi"/>
        <s v="kia"/>
        <s v="aston martin"/>
        <s v="roush performance"/>
        <s v="jeep"/>
        <s v="porsche"/>
        <s v="volvo"/>
        <s v="chevrolet"/>
        <s v="gmc"/>
        <s v="cadillac"/>
        <s v="jaguar"/>
        <s v="honda"/>
        <s v="bentley"/>
        <s v="hyundai"/>
        <s v="mitsubishi"/>
        <s v="acura"/>
        <s v="bmw"/>
        <s v="chrysler"/>
        <s v="mini"/>
        <s v="genesis"/>
        <s v="volkswagen"/>
        <s v="infiniti"/>
        <s v="buick"/>
        <s v="ram"/>
        <s v="toyota"/>
        <s v="mercedes-benz"/>
        <s v="land rover"/>
      </sharedItems>
    </cacheField>
    <cacheField name="model" numFmtId="0">
      <sharedItems containsMixedTypes="1" containsNumber="1" containsInteger="1" minValue="6" maxValue="6" count="276">
        <n v="6"/>
        <s v="cx-5 2wd"/>
        <s v="cx-5 4wd"/>
        <s v="mustang"/>
        <s v="forester awd"/>
        <s v="mustang convertible"/>
        <s v="gt-r"/>
        <s v="a8 l"/>
        <s v="sorento 2wd"/>
        <s v="sorento 4wd"/>
        <s v="murano crosscabriolet"/>
        <s v="r8 spyder"/>
        <s v="r8"/>
        <s v="db9"/>
        <s v="vanquish"/>
        <s v="rapide s"/>
        <s v="stage 3 mustang"/>
        <s v="compass fwd"/>
        <s v="patriot fwd"/>
        <s v="compass 4wd"/>
        <s v="patriot 4wd"/>
        <s v="grand cherokee srt8"/>
        <s v="cayenne turbo"/>
        <s v="s60 awd"/>
        <s v="k900"/>
        <s v="sorento fwd"/>
        <s v="sorento awd"/>
        <s v="xc60 awd"/>
        <s v="xc70 awd"/>
        <s v="tt roadster quattro"/>
        <s v="tt coupe quattro"/>
        <s v="wrx"/>
        <s v="s80 awd"/>
        <s v="v60 awd"/>
        <s v="silverado c15 2wd"/>
        <s v="sierra c15 2wd"/>
        <s v="silverado k15 4wd"/>
        <s v="sierra k15 4wd"/>
        <s v="escalade 2wd"/>
        <s v="escalade esv 2wd"/>
        <s v="tahoe c1500 2wd"/>
        <s v="suburban c1500 2wd"/>
        <s v="yukon c1500 2wd"/>
        <s v="yukon c1500 xl 2wd"/>
        <s v="escalade 4wd"/>
        <s v="escalade esv 4wd"/>
        <s v="tahoe k1500 4wd"/>
        <s v="suburban k1500 4wd"/>
        <s v="yukon k1500 xl 4wd"/>
        <s v="yukon k1500 4wd"/>
        <s v="f-type v8 s convertible"/>
        <s v="f-type r coupe"/>
        <s v="f-type convertible"/>
        <s v="f-type coupe"/>
        <s v="sorento fe awd"/>
        <s v="a7 quattro"/>
        <s v="a6 quattro"/>
        <s v="hr-v 2wd"/>
        <s v="hr-v 4wd"/>
        <s v="f-type s coupe"/>
        <s v="f-type s convertible"/>
        <s v="mulsanne"/>
        <s v="veloster"/>
        <s v="elantra gt"/>
        <s v="i-miev"/>
        <s v="f-type s awd coupe"/>
        <s v="f-type s awd convertible"/>
        <s v="ilx"/>
        <s v="f-type r convertible"/>
        <s v="f-type r awd coupe"/>
        <s v="f-type r awd convertible"/>
        <s v="xj"/>
        <s v="xjl"/>
        <s v="rlx"/>
        <s v="rlx hybrid"/>
        <s v="equus"/>
        <s v="sedona"/>
        <s v="sedona sx"/>
        <s v="sedona sxl"/>
        <s v="cayenne"/>
        <s v="z4 sdrive28i"/>
        <s v="santa fe sport fwd"/>
        <s v="santa fe sport ultimate fwd"/>
        <s v="santa fe sport awd"/>
        <s v="santa fe sport ultimate awd"/>
        <s v="q7"/>
        <s v="elantra se"/>
        <s v="elantra"/>
        <s v="santa fe fwd"/>
        <s v="santa fe ultimate fwd"/>
        <s v="santa fe awd"/>
        <s v="santa fe ultimate awd"/>
        <s v="sportage fwd"/>
        <s v="sportage fe fwd"/>
        <s v="sportage awd"/>
        <s v="sportage fe awd"/>
        <s v="xt5"/>
        <s v="xt5 awd"/>
        <s v="mirage"/>
        <s v="pacifica"/>
        <s v="a4 quattro"/>
        <s v="a4"/>
        <s v="740i xdrive"/>
        <s v="rdx fwd"/>
        <s v="rdx awd"/>
        <s v="volt"/>
        <s v="john cooper works convertible"/>
        <s v="equinox fwd"/>
        <s v="equinox awd"/>
        <s v="a5 cabriolet quattro"/>
        <s v="a5 quattro"/>
        <s v="a5 sportback quattro"/>
        <s v="g80 awd"/>
        <s v="g80 rwd"/>
        <s v="q5"/>
        <s v="s5"/>
        <s v="s5 cabriolet"/>
        <s v="s4"/>
        <s v="s5 sportback"/>
        <s v="sq5"/>
        <s v="bentayga"/>
        <s v="430i convertible"/>
        <s v="430i xdrive convertible"/>
        <s v="440i convertible"/>
        <s v="440i xdrive convertible"/>
        <s v="m4 convertible"/>
        <s v="640i convertible"/>
        <s v="640i xdrive convertible"/>
        <s v="650i convertible"/>
        <s v="650i xdrive convertible"/>
        <s v="m6 convertible"/>
        <s v="430i coupe"/>
        <s v="430i xdrive coupe"/>
        <s v="430i gran coupe"/>
        <s v="430i xdrive gran coupe"/>
        <s v="440i coupe"/>
        <s v="440i xdrive coupe"/>
        <s v="440i gran coupe"/>
        <s v="440i xdrive gran coupe"/>
        <s v="m4 coupe"/>
        <s v="640i gran coupe"/>
        <s v="640i xdrive gran coupe"/>
        <s v="650i gran coupe"/>
        <s v="650i xdrive gran coupe"/>
        <s v="alpina b6 xdrive gran coupe"/>
        <s v="cherokee fwd"/>
        <s v="cherokee 4wd"/>
        <s v="cherokee 4wd active drive ii"/>
        <s v="cherokee trailhawk 4wd"/>
        <s v="corvette"/>
        <s v="corvette z06"/>
        <s v="jetta"/>
        <s v="qx50"/>
        <s v="qx50 awd"/>
        <s v="g70 awd"/>
        <s v="g70 rwd"/>
        <s v="envision awd"/>
        <s v="ridgeline fwd"/>
        <s v="ridgeline awd"/>
        <s v="xc40 awd"/>
        <s v="1500 2wd"/>
        <s v="1500 4wd"/>
        <s v="envision fwd"/>
        <s v="tlx fwd a-spec"/>
        <s v="tlx awd"/>
        <s v="tlx awd a-spec"/>
        <s v="corvette zr1"/>
        <s v="cooper convertible"/>
        <s v="cooper s convertible"/>
        <s v="corolla"/>
        <s v="corolla hybrid"/>
        <s v="corolla xse"/>
        <s v="corolla xle"/>
        <s v="soul"/>
        <s v="soul eco dynamics"/>
        <s v="telluride fwd"/>
        <s v="telluride awd"/>
        <s v="gle350 4matic"/>
        <s v="gle450 4matic"/>
        <s v="xe"/>
        <s v="xe 30t"/>
        <s v="xe awd"/>
        <s v="xe awd 30t"/>
        <s v="xf"/>
        <s v="xf 30t"/>
        <s v="xf awd"/>
        <s v="xf awd 30t"/>
        <s v="xf sportbrake awd"/>
        <s v="e-pace"/>
        <s v="e-pace p300"/>
        <s v="f-pace"/>
        <s v="f-pace 30t"/>
        <s v="range rover velar"/>
        <s v="range rover velar p300"/>
        <s v="evoque"/>
        <s v="palisade awd"/>
        <s v="230i coupe"/>
        <s v="seltos fwd"/>
        <s v="seltos awd"/>
        <s v="atlas"/>
        <s v="atlas 4motion"/>
        <s v="trailblazer awd"/>
        <s v="encore gx fwd"/>
        <s v="trailblazer fwd"/>
        <s v="cooper hardtop 2 door"/>
        <s v="cooper hardtop 4 door"/>
        <s v="cooper s hardtop 2 door"/>
        <s v="cooper s hardtop 4 door"/>
        <s v="john cooper works hardtop"/>
        <s v="john cooper works gp"/>
        <s v="insight touring"/>
        <s v="insight"/>
        <s v="750i xdrive"/>
        <s v="alpina b7"/>
        <s v="colorado 2wd"/>
        <s v="canyon 2wd"/>
        <s v="colorado 4wd"/>
        <s v="odyssey"/>
        <s v="stinger awd"/>
        <s v="stinger rwd"/>
        <s v="carnival"/>
        <s v="mdx fwd"/>
        <s v="tucson fwd"/>
        <s v="eclipse cross 2wd"/>
        <s v="eclipse cross es 2wd"/>
        <s v="mdx awd"/>
        <s v="eclipse cross 4wd"/>
        <s v="eclipse cross es 4wd"/>
        <s v="outlander 2wd"/>
        <s v="gv70 awd"/>
        <s v="tucson awd"/>
        <s v="outlander 4wd"/>
        <s v="kona fwd"/>
        <s v="kona awd"/>
        <s v="m8 competition coupe"/>
        <s v="m8 competition convertible"/>
        <s v="john cooper works hardtop 2 door"/>
        <s v="x2 xdrive28i"/>
        <s v="x2 m35i"/>
        <s v="m5 cs sedan"/>
        <s v="m8 competition gran coupe"/>
        <s v="cooper countryman"/>
        <s v="cooper countryman all4"/>
        <s v="cooper s clubman"/>
        <s v="tucson hybrid"/>
        <s v="tucson hybrid blue"/>
        <s v="m850i xdrive coupe"/>
        <s v="m850i xdrive convertible"/>
        <s v="defender 90"/>
        <s v="discovery"/>
        <s v="discovery mhev"/>
        <s v="defender 110"/>
        <s v="defender 110 mhev"/>
        <s v="defender 90 mhev"/>
        <s v="range rover evoque"/>
        <s v="discovery sport"/>
        <s v="f-type p450 rwd coupe"/>
        <s v="f-type p450 rwd convertible"/>
        <s v="f-type p450 awd r-dynamic coupe"/>
        <s v="f-type p450 awd r-dynamic convertible"/>
        <s v="range rover evoque mhev"/>
        <s v="sportage hybrid awd"/>
        <s v="sportage hybrid fwd"/>
        <s v="gv80 awd"/>
        <s v="m850i xdrive gran coupe"/>
        <s v="alpina b8 gran coupe"/>
        <s v="trax"/>
        <s v="m4 competition coupe"/>
        <s v="m4 competition m xdrive coupe"/>
        <s v="m4 competition m xdrive convertible"/>
        <s v="840i coupe"/>
        <s v="840i xdrive coupe"/>
        <s v="840i convertible"/>
        <s v="840i xdrive convertible"/>
        <s v="840i gran coupe"/>
        <s v="840i xdrive gran coupe"/>
      </sharedItems>
    </cacheField>
    <cacheField name="transmission" numFmtId="0">
      <sharedItems/>
    </cacheField>
    <cacheField name="year" numFmtId="0">
      <sharedItems containsSemiMixedTypes="0" containsString="0" containsNumber="1" containsInteger="1" minValue="2014" maxValue="2024"/>
    </cacheField>
  </cacheFields>
  <extLst>
    <ext xmlns:x14="http://schemas.microsoft.com/office/spreadsheetml/2009/9/main" uri="{725AE2AE-9491-48be-B2B4-4EB974FC3084}">
      <x14:pivotCacheDefinition pivotCacheId="105897099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isha" refreshedDate="45589.672809490738" createdVersion="8" refreshedVersion="8" minRefreshableVersion="3" recordCount="550" xr:uid="{160B6AC5-298C-4653-B012-6E1E6BF21A23}">
  <cacheSource type="worksheet">
    <worksheetSource ref="B4:M554" sheet="Pivot"/>
  </cacheSource>
  <cacheFields count="12">
    <cacheField name="city_mpg" numFmtId="0">
      <sharedItems containsSemiMixedTypes="0" containsString="0" containsNumber="1" containsInteger="1" minValue="11" maxValue="126"/>
    </cacheField>
    <cacheField name="class" numFmtId="0">
      <sharedItems/>
    </cacheField>
    <cacheField name="combination_mpg" numFmtId="0">
      <sharedItems containsSemiMixedTypes="0" containsString="0" containsNumber="1" containsInteger="1" minValue="14" maxValue="112"/>
    </cacheField>
    <cacheField name="cylinders" numFmtId="0">
      <sharedItems containsString="0" containsBlank="1" containsNumber="1" containsInteger="1" minValue="3" maxValue="12"/>
    </cacheField>
    <cacheField name="displacement" numFmtId="0">
      <sharedItems containsString="0" containsBlank="1" containsNumber="1" minValue="1.2" maxValue="6.8"/>
    </cacheField>
    <cacheField name="drive" numFmtId="0">
      <sharedItems/>
    </cacheField>
    <cacheField name="fuel_type" numFmtId="0">
      <sharedItems/>
    </cacheField>
    <cacheField name="highway_mpg" numFmtId="0">
      <sharedItems containsSemiMixedTypes="0" containsString="0" containsNumber="1" containsInteger="1" minValue="18" maxValue="102"/>
    </cacheField>
    <cacheField name="make" numFmtId="0">
      <sharedItems count="31">
        <s v="mazda"/>
        <s v="ford"/>
        <s v="subaru"/>
        <s v="nissan"/>
        <s v="audi"/>
        <s v="kia"/>
        <s v="aston martin"/>
        <s v="roush performance"/>
        <s v="jeep"/>
        <s v="porsche"/>
        <s v="volvo"/>
        <s v="chevrolet"/>
        <s v="gmc"/>
        <s v="cadillac"/>
        <s v="jaguar"/>
        <s v="honda"/>
        <s v="bentley"/>
        <s v="hyundai"/>
        <s v="mitsubishi"/>
        <s v="acura"/>
        <s v="bmw"/>
        <s v="chrysler"/>
        <s v="mini"/>
        <s v="genesis"/>
        <s v="volkswagen"/>
        <s v="infiniti"/>
        <s v="buick"/>
        <s v="ram"/>
        <s v="toyota"/>
        <s v="mercedes-benz"/>
        <s v="land rover"/>
      </sharedItems>
    </cacheField>
    <cacheField name="model" numFmtId="0">
      <sharedItems containsMixedTypes="1" containsNumber="1" containsInteger="1" minValue="6" maxValue="6" count="276">
        <n v="6"/>
        <s v="cx-5 2wd"/>
        <s v="cx-5 4wd"/>
        <s v="mustang"/>
        <s v="forester awd"/>
        <s v="mustang convertible"/>
        <s v="gt-r"/>
        <s v="a8 l"/>
        <s v="sorento 2wd"/>
        <s v="sorento 4wd"/>
        <s v="murano crosscabriolet"/>
        <s v="r8 spyder"/>
        <s v="r8"/>
        <s v="db9"/>
        <s v="vanquish"/>
        <s v="rapide s"/>
        <s v="stage 3 mustang"/>
        <s v="compass fwd"/>
        <s v="patriot fwd"/>
        <s v="compass 4wd"/>
        <s v="patriot 4wd"/>
        <s v="grand cherokee srt8"/>
        <s v="cayenne turbo"/>
        <s v="s60 awd"/>
        <s v="k900"/>
        <s v="sorento fwd"/>
        <s v="sorento awd"/>
        <s v="xc60 awd"/>
        <s v="xc70 awd"/>
        <s v="tt roadster quattro"/>
        <s v="tt coupe quattro"/>
        <s v="wrx"/>
        <s v="s80 awd"/>
        <s v="v60 awd"/>
        <s v="silverado c15 2wd"/>
        <s v="sierra c15 2wd"/>
        <s v="silverado k15 4wd"/>
        <s v="sierra k15 4wd"/>
        <s v="escalade 2wd"/>
        <s v="escalade esv 2wd"/>
        <s v="tahoe c1500 2wd"/>
        <s v="suburban c1500 2wd"/>
        <s v="yukon c1500 2wd"/>
        <s v="yukon c1500 xl 2wd"/>
        <s v="escalade 4wd"/>
        <s v="escalade esv 4wd"/>
        <s v="tahoe k1500 4wd"/>
        <s v="suburban k1500 4wd"/>
        <s v="yukon k1500 xl 4wd"/>
        <s v="yukon k1500 4wd"/>
        <s v="f-type v8 s convertible"/>
        <s v="f-type r coupe"/>
        <s v="f-type convertible"/>
        <s v="f-type coupe"/>
        <s v="sorento fe awd"/>
        <s v="a7 quattro"/>
        <s v="a6 quattro"/>
        <s v="hr-v 2wd"/>
        <s v="hr-v 4wd"/>
        <s v="f-type s coupe"/>
        <s v="f-type s convertible"/>
        <s v="mulsanne"/>
        <s v="veloster"/>
        <s v="elantra gt"/>
        <s v="i-miev"/>
        <s v="f-type s awd coupe"/>
        <s v="f-type s awd convertible"/>
        <s v="ilx"/>
        <s v="f-type r convertible"/>
        <s v="f-type r awd coupe"/>
        <s v="f-type r awd convertible"/>
        <s v="xj"/>
        <s v="xjl"/>
        <s v="rlx"/>
        <s v="rlx hybrid"/>
        <s v="equus"/>
        <s v="sedona"/>
        <s v="sedona sx"/>
        <s v="sedona sxl"/>
        <s v="cayenne"/>
        <s v="z4 sdrive28i"/>
        <s v="santa fe sport fwd"/>
        <s v="santa fe sport ultimate fwd"/>
        <s v="santa fe sport awd"/>
        <s v="santa fe sport ultimate awd"/>
        <s v="q7"/>
        <s v="elantra se"/>
        <s v="elantra"/>
        <s v="santa fe fwd"/>
        <s v="santa fe ultimate fwd"/>
        <s v="santa fe awd"/>
        <s v="santa fe ultimate awd"/>
        <s v="sportage fwd"/>
        <s v="sportage fe fwd"/>
        <s v="sportage awd"/>
        <s v="sportage fe awd"/>
        <s v="xt5"/>
        <s v="xt5 awd"/>
        <s v="mirage"/>
        <s v="pacifica"/>
        <s v="a4 quattro"/>
        <s v="a4"/>
        <s v="740i xdrive"/>
        <s v="rdx fwd"/>
        <s v="rdx awd"/>
        <s v="volt"/>
        <s v="john cooper works convertible"/>
        <s v="equinox fwd"/>
        <s v="equinox awd"/>
        <s v="a5 cabriolet quattro"/>
        <s v="a5 quattro"/>
        <s v="a5 sportback quattro"/>
        <s v="g80 awd"/>
        <s v="g80 rwd"/>
        <s v="q5"/>
        <s v="s5"/>
        <s v="s5 cabriolet"/>
        <s v="s4"/>
        <s v="s5 sportback"/>
        <s v="sq5"/>
        <s v="bentayga"/>
        <s v="430i convertible"/>
        <s v="430i xdrive convertible"/>
        <s v="440i convertible"/>
        <s v="440i xdrive convertible"/>
        <s v="m4 convertible"/>
        <s v="640i convertible"/>
        <s v="640i xdrive convertible"/>
        <s v="650i convertible"/>
        <s v="650i xdrive convertible"/>
        <s v="m6 convertible"/>
        <s v="430i coupe"/>
        <s v="430i xdrive coupe"/>
        <s v="430i gran coupe"/>
        <s v="430i xdrive gran coupe"/>
        <s v="440i coupe"/>
        <s v="440i xdrive coupe"/>
        <s v="440i gran coupe"/>
        <s v="440i xdrive gran coupe"/>
        <s v="m4 coupe"/>
        <s v="640i gran coupe"/>
        <s v="640i xdrive gran coupe"/>
        <s v="650i gran coupe"/>
        <s v="650i xdrive gran coupe"/>
        <s v="alpina b6 xdrive gran coupe"/>
        <s v="cherokee fwd"/>
        <s v="cherokee 4wd"/>
        <s v="cherokee 4wd active drive ii"/>
        <s v="cherokee trailhawk 4wd"/>
        <s v="corvette"/>
        <s v="corvette z06"/>
        <s v="jetta"/>
        <s v="qx50"/>
        <s v="qx50 awd"/>
        <s v="g70 awd"/>
        <s v="g70 rwd"/>
        <s v="envision awd"/>
        <s v="ridgeline fwd"/>
        <s v="ridgeline awd"/>
        <s v="xc40 awd"/>
        <s v="1500 2wd"/>
        <s v="1500 4wd"/>
        <s v="envision fwd"/>
        <s v="tlx fwd a-spec"/>
        <s v="tlx awd"/>
        <s v="tlx awd a-spec"/>
        <s v="corvette zr1"/>
        <s v="cooper convertible"/>
        <s v="cooper s convertible"/>
        <s v="corolla"/>
        <s v="corolla hybrid"/>
        <s v="corolla xse"/>
        <s v="corolla xle"/>
        <s v="soul"/>
        <s v="soul eco dynamics"/>
        <s v="telluride fwd"/>
        <s v="telluride awd"/>
        <s v="gle350 4matic"/>
        <s v="gle450 4matic"/>
        <s v="xe"/>
        <s v="xe 30t"/>
        <s v="xe awd"/>
        <s v="xe awd 30t"/>
        <s v="xf"/>
        <s v="xf 30t"/>
        <s v="xf awd"/>
        <s v="xf awd 30t"/>
        <s v="xf sportbrake awd"/>
        <s v="e-pace"/>
        <s v="e-pace p300"/>
        <s v="f-pace"/>
        <s v="f-pace 30t"/>
        <s v="range rover velar"/>
        <s v="range rover velar p300"/>
        <s v="evoque"/>
        <s v="palisade awd"/>
        <s v="230i coupe"/>
        <s v="seltos fwd"/>
        <s v="seltos awd"/>
        <s v="atlas"/>
        <s v="atlas 4motion"/>
        <s v="trailblazer awd"/>
        <s v="encore gx fwd"/>
        <s v="trailblazer fwd"/>
        <s v="cooper hardtop 2 door"/>
        <s v="cooper hardtop 4 door"/>
        <s v="cooper s hardtop 2 door"/>
        <s v="cooper s hardtop 4 door"/>
        <s v="john cooper works hardtop"/>
        <s v="john cooper works gp"/>
        <s v="insight touring"/>
        <s v="insight"/>
        <s v="750i xdrive"/>
        <s v="alpina b7"/>
        <s v="colorado 2wd"/>
        <s v="canyon 2wd"/>
        <s v="colorado 4wd"/>
        <s v="odyssey"/>
        <s v="stinger awd"/>
        <s v="stinger rwd"/>
        <s v="carnival"/>
        <s v="mdx fwd"/>
        <s v="tucson fwd"/>
        <s v="eclipse cross 2wd"/>
        <s v="eclipse cross es 2wd"/>
        <s v="mdx awd"/>
        <s v="eclipse cross 4wd"/>
        <s v="eclipse cross es 4wd"/>
        <s v="outlander 2wd"/>
        <s v="gv70 awd"/>
        <s v="tucson awd"/>
        <s v="outlander 4wd"/>
        <s v="kona fwd"/>
        <s v="kona awd"/>
        <s v="m8 competition coupe"/>
        <s v="m8 competition convertible"/>
        <s v="john cooper works hardtop 2 door"/>
        <s v="x2 xdrive28i"/>
        <s v="x2 m35i"/>
        <s v="m5 cs sedan"/>
        <s v="m8 competition gran coupe"/>
        <s v="cooper countryman"/>
        <s v="cooper countryman all4"/>
        <s v="cooper s clubman"/>
        <s v="tucson hybrid"/>
        <s v="tucson hybrid blue"/>
        <s v="m850i xdrive coupe"/>
        <s v="m850i xdrive convertible"/>
        <s v="defender 90"/>
        <s v="discovery"/>
        <s v="discovery mhev"/>
        <s v="defender 110"/>
        <s v="defender 110 mhev"/>
        <s v="defender 90 mhev"/>
        <s v="range rover evoque"/>
        <s v="discovery sport"/>
        <s v="f-type p450 rwd coupe"/>
        <s v="f-type p450 rwd convertible"/>
        <s v="f-type p450 awd r-dynamic coupe"/>
        <s v="f-type p450 awd r-dynamic convertible"/>
        <s v="range rover evoque mhev"/>
        <s v="sportage hybrid awd"/>
        <s v="sportage hybrid fwd"/>
        <s v="gv80 awd"/>
        <s v="m850i xdrive gran coupe"/>
        <s v="alpina b8 gran coupe"/>
        <s v="trax"/>
        <s v="m4 competition coupe"/>
        <s v="m4 competition m xdrive coupe"/>
        <s v="m4 competition m xdrive convertible"/>
        <s v="840i coupe"/>
        <s v="840i xdrive coupe"/>
        <s v="840i convertible"/>
        <s v="840i xdrive convertible"/>
        <s v="840i gran coupe"/>
        <s v="840i xdrive gran coupe"/>
      </sharedItems>
    </cacheField>
    <cacheField name="transmission" numFmtId="0">
      <sharedItems count="2">
        <s v="m"/>
        <s v="a"/>
      </sharedItems>
    </cacheField>
    <cacheField name="year" numFmtId="0">
      <sharedItems containsSemiMixedTypes="0" containsString="0" containsNumber="1" containsInteger="1" minValue="2014" maxValue="202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
  <r>
    <x v="0"/>
    <x v="0"/>
    <x v="0"/>
    <x v="0"/>
    <x v="0"/>
    <s v="fwd"/>
    <s v="gas"/>
    <n v="36"/>
    <x v="0"/>
    <x v="0"/>
    <s v="m"/>
    <n v="2014"/>
  </r>
  <r>
    <x v="1"/>
    <x v="0"/>
    <x v="1"/>
    <x v="0"/>
    <x v="0"/>
    <s v="fwd"/>
    <s v="gas"/>
    <n v="37"/>
    <x v="0"/>
    <x v="0"/>
    <s v="a"/>
    <n v="2014"/>
  </r>
  <r>
    <x v="0"/>
    <x v="1"/>
    <x v="2"/>
    <x v="0"/>
    <x v="0"/>
    <s v="fwd"/>
    <s v="gas"/>
    <n v="31"/>
    <x v="0"/>
    <x v="1"/>
    <s v="a"/>
    <n v="2014"/>
  </r>
  <r>
    <x v="1"/>
    <x v="1"/>
    <x v="0"/>
    <x v="0"/>
    <x v="1"/>
    <s v="fwd"/>
    <s v="gas"/>
    <n v="34"/>
    <x v="0"/>
    <x v="1"/>
    <s v="m"/>
    <n v="2014"/>
  </r>
  <r>
    <x v="1"/>
    <x v="1"/>
    <x v="3"/>
    <x v="0"/>
    <x v="1"/>
    <s v="fwd"/>
    <s v="gas"/>
    <n v="32"/>
    <x v="0"/>
    <x v="1"/>
    <s v="a"/>
    <n v="2014"/>
  </r>
  <r>
    <x v="2"/>
    <x v="1"/>
    <x v="4"/>
    <x v="0"/>
    <x v="0"/>
    <s v="4wd"/>
    <s v="gas"/>
    <n v="29"/>
    <x v="0"/>
    <x v="2"/>
    <s v="a"/>
    <n v="2014"/>
  </r>
  <r>
    <x v="0"/>
    <x v="1"/>
    <x v="2"/>
    <x v="0"/>
    <x v="1"/>
    <s v="4wd"/>
    <s v="gas"/>
    <n v="30"/>
    <x v="0"/>
    <x v="2"/>
    <s v="a"/>
    <n v="2014"/>
  </r>
  <r>
    <x v="3"/>
    <x v="2"/>
    <x v="5"/>
    <x v="1"/>
    <x v="2"/>
    <s v="rwd"/>
    <s v="gas"/>
    <n v="29"/>
    <x v="1"/>
    <x v="3"/>
    <s v="m"/>
    <n v="2014"/>
  </r>
  <r>
    <x v="3"/>
    <x v="2"/>
    <x v="6"/>
    <x v="1"/>
    <x v="2"/>
    <s v="rwd"/>
    <s v="gas"/>
    <n v="30"/>
    <x v="1"/>
    <x v="3"/>
    <s v="a"/>
    <n v="2014"/>
  </r>
  <r>
    <x v="4"/>
    <x v="2"/>
    <x v="7"/>
    <x v="2"/>
    <x v="3"/>
    <s v="rwd"/>
    <s v="gas"/>
    <n v="24"/>
    <x v="1"/>
    <x v="3"/>
    <s v="m"/>
    <n v="2014"/>
  </r>
  <r>
    <x v="5"/>
    <x v="2"/>
    <x v="8"/>
    <x v="2"/>
    <x v="4"/>
    <s v="rwd"/>
    <s v="gas"/>
    <n v="25"/>
    <x v="1"/>
    <x v="3"/>
    <s v="a"/>
    <n v="2014"/>
  </r>
  <r>
    <x v="6"/>
    <x v="1"/>
    <x v="9"/>
    <x v="0"/>
    <x v="0"/>
    <s v="awd"/>
    <s v="gas"/>
    <n v="28"/>
    <x v="2"/>
    <x v="4"/>
    <s v="m"/>
    <n v="2014"/>
  </r>
  <r>
    <x v="2"/>
    <x v="1"/>
    <x v="2"/>
    <x v="0"/>
    <x v="0"/>
    <s v="awd"/>
    <s v="gas"/>
    <n v="31"/>
    <x v="2"/>
    <x v="4"/>
    <s v="a"/>
    <n v="2014"/>
  </r>
  <r>
    <x v="7"/>
    <x v="1"/>
    <x v="10"/>
    <x v="0"/>
    <x v="1"/>
    <s v="awd"/>
    <s v="gas"/>
    <n v="27"/>
    <x v="2"/>
    <x v="4"/>
    <s v="a"/>
    <n v="2014"/>
  </r>
  <r>
    <x v="3"/>
    <x v="2"/>
    <x v="6"/>
    <x v="1"/>
    <x v="2"/>
    <s v="rwd"/>
    <s v="gas"/>
    <n v="29"/>
    <x v="1"/>
    <x v="5"/>
    <s v="a"/>
    <n v="2014"/>
  </r>
  <r>
    <x v="8"/>
    <x v="2"/>
    <x v="11"/>
    <x v="2"/>
    <x v="4"/>
    <s v="rwd"/>
    <s v="gas"/>
    <n v="25"/>
    <x v="1"/>
    <x v="3"/>
    <s v="m"/>
    <n v="2014"/>
  </r>
  <r>
    <x v="8"/>
    <x v="2"/>
    <x v="11"/>
    <x v="1"/>
    <x v="5"/>
    <s v="awd"/>
    <s v="gas"/>
    <n v="23"/>
    <x v="3"/>
    <x v="6"/>
    <s v="a"/>
    <n v="2014"/>
  </r>
  <r>
    <x v="2"/>
    <x v="3"/>
    <x v="3"/>
    <x v="1"/>
    <x v="6"/>
    <s v="awd"/>
    <s v="diesel"/>
    <n v="36"/>
    <x v="4"/>
    <x v="7"/>
    <s v="a"/>
    <n v="2014"/>
  </r>
  <r>
    <x v="9"/>
    <x v="1"/>
    <x v="5"/>
    <x v="0"/>
    <x v="7"/>
    <s v="fwd"/>
    <s v="gas"/>
    <n v="26"/>
    <x v="5"/>
    <x v="8"/>
    <s v="a"/>
    <n v="2014"/>
  </r>
  <r>
    <x v="3"/>
    <x v="1"/>
    <x v="12"/>
    <x v="0"/>
    <x v="7"/>
    <s v="fwd"/>
    <s v="gas"/>
    <n v="27"/>
    <x v="5"/>
    <x v="8"/>
    <s v="m"/>
    <n v="2014"/>
  </r>
  <r>
    <x v="5"/>
    <x v="1"/>
    <x v="12"/>
    <x v="1"/>
    <x v="8"/>
    <s v="fwd"/>
    <s v="gas"/>
    <n v="25"/>
    <x v="5"/>
    <x v="8"/>
    <s v="a"/>
    <n v="2014"/>
  </r>
  <r>
    <x v="3"/>
    <x v="1"/>
    <x v="12"/>
    <x v="0"/>
    <x v="7"/>
    <s v="4wd"/>
    <s v="gas"/>
    <n v="24"/>
    <x v="5"/>
    <x v="9"/>
    <s v="a"/>
    <n v="2014"/>
  </r>
  <r>
    <x v="5"/>
    <x v="1"/>
    <x v="8"/>
    <x v="1"/>
    <x v="8"/>
    <s v="4wd"/>
    <s v="gas"/>
    <n v="23"/>
    <x v="5"/>
    <x v="9"/>
    <s v="a"/>
    <n v="2014"/>
  </r>
  <r>
    <x v="10"/>
    <x v="1"/>
    <x v="11"/>
    <x v="1"/>
    <x v="9"/>
    <s v="awd"/>
    <s v="gas"/>
    <n v="22"/>
    <x v="3"/>
    <x v="10"/>
    <s v="a"/>
    <n v="2014"/>
  </r>
  <r>
    <x v="11"/>
    <x v="4"/>
    <x v="13"/>
    <x v="3"/>
    <x v="10"/>
    <s v="awd"/>
    <s v="gas"/>
    <n v="22"/>
    <x v="4"/>
    <x v="11"/>
    <s v="a"/>
    <n v="2014"/>
  </r>
  <r>
    <x v="11"/>
    <x v="4"/>
    <x v="13"/>
    <x v="3"/>
    <x v="10"/>
    <s v="awd"/>
    <s v="gas"/>
    <n v="22"/>
    <x v="4"/>
    <x v="12"/>
    <s v="a"/>
    <n v="2014"/>
  </r>
  <r>
    <x v="12"/>
    <x v="4"/>
    <x v="14"/>
    <x v="2"/>
    <x v="11"/>
    <s v="awd"/>
    <s v="gas"/>
    <n v="23"/>
    <x v="4"/>
    <x v="11"/>
    <s v="a"/>
    <n v="2014"/>
  </r>
  <r>
    <x v="12"/>
    <x v="4"/>
    <x v="14"/>
    <x v="2"/>
    <x v="11"/>
    <s v="awd"/>
    <s v="gas"/>
    <n v="23"/>
    <x v="4"/>
    <x v="12"/>
    <s v="a"/>
    <n v="2014"/>
  </r>
  <r>
    <x v="13"/>
    <x v="4"/>
    <x v="15"/>
    <x v="3"/>
    <x v="10"/>
    <s v="awd"/>
    <s v="gas"/>
    <n v="19"/>
    <x v="4"/>
    <x v="11"/>
    <s v="m"/>
    <n v="2014"/>
  </r>
  <r>
    <x v="13"/>
    <x v="4"/>
    <x v="15"/>
    <x v="3"/>
    <x v="10"/>
    <s v="awd"/>
    <s v="gas"/>
    <n v="19"/>
    <x v="4"/>
    <x v="12"/>
    <s v="m"/>
    <n v="2014"/>
  </r>
  <r>
    <x v="14"/>
    <x v="4"/>
    <x v="15"/>
    <x v="2"/>
    <x v="11"/>
    <s v="awd"/>
    <s v="gas"/>
    <n v="20"/>
    <x v="4"/>
    <x v="11"/>
    <s v="m"/>
    <n v="2014"/>
  </r>
  <r>
    <x v="14"/>
    <x v="4"/>
    <x v="15"/>
    <x v="2"/>
    <x v="11"/>
    <s v="awd"/>
    <s v="gas"/>
    <n v="20"/>
    <x v="4"/>
    <x v="12"/>
    <s v="m"/>
    <n v="2014"/>
  </r>
  <r>
    <x v="11"/>
    <x v="5"/>
    <x v="16"/>
    <x v="4"/>
    <x v="12"/>
    <s v="rwd"/>
    <s v="gas"/>
    <n v="19"/>
    <x v="6"/>
    <x v="13"/>
    <s v="a"/>
    <n v="2014"/>
  </r>
  <r>
    <x v="11"/>
    <x v="5"/>
    <x v="16"/>
    <x v="4"/>
    <x v="12"/>
    <s v="rwd"/>
    <s v="gas"/>
    <n v="19"/>
    <x v="6"/>
    <x v="14"/>
    <s v="a"/>
    <n v="2014"/>
  </r>
  <r>
    <x v="11"/>
    <x v="2"/>
    <x v="16"/>
    <x v="4"/>
    <x v="12"/>
    <s v="rwd"/>
    <s v="gas"/>
    <n v="19"/>
    <x v="6"/>
    <x v="15"/>
    <s v="a"/>
    <n v="2014"/>
  </r>
  <r>
    <x v="12"/>
    <x v="2"/>
    <x v="14"/>
    <x v="2"/>
    <x v="4"/>
    <s v="rwd"/>
    <s v="gas"/>
    <n v="22"/>
    <x v="7"/>
    <x v="16"/>
    <s v="m"/>
    <n v="2014"/>
  </r>
  <r>
    <x v="15"/>
    <x v="1"/>
    <x v="9"/>
    <x v="0"/>
    <x v="7"/>
    <s v="fwd"/>
    <s v="gas"/>
    <n v="28"/>
    <x v="8"/>
    <x v="17"/>
    <s v="a"/>
    <n v="2014"/>
  </r>
  <r>
    <x v="15"/>
    <x v="1"/>
    <x v="9"/>
    <x v="0"/>
    <x v="7"/>
    <s v="fwd"/>
    <s v="gas"/>
    <n v="28"/>
    <x v="8"/>
    <x v="18"/>
    <s v="a"/>
    <n v="2014"/>
  </r>
  <r>
    <x v="15"/>
    <x v="1"/>
    <x v="9"/>
    <x v="0"/>
    <x v="1"/>
    <s v="fwd"/>
    <s v="gas"/>
    <n v="28"/>
    <x v="8"/>
    <x v="17"/>
    <s v="a"/>
    <n v="2014"/>
  </r>
  <r>
    <x v="15"/>
    <x v="1"/>
    <x v="9"/>
    <x v="0"/>
    <x v="1"/>
    <s v="fwd"/>
    <s v="gas"/>
    <n v="28"/>
    <x v="8"/>
    <x v="18"/>
    <s v="a"/>
    <n v="2014"/>
  </r>
  <r>
    <x v="7"/>
    <x v="1"/>
    <x v="10"/>
    <x v="0"/>
    <x v="7"/>
    <s v="fwd"/>
    <s v="gas"/>
    <n v="28"/>
    <x v="8"/>
    <x v="18"/>
    <s v="m"/>
    <n v="2014"/>
  </r>
  <r>
    <x v="7"/>
    <x v="1"/>
    <x v="10"/>
    <x v="0"/>
    <x v="7"/>
    <s v="fwd"/>
    <s v="gas"/>
    <n v="28"/>
    <x v="8"/>
    <x v="17"/>
    <s v="m"/>
    <n v="2014"/>
  </r>
  <r>
    <x v="7"/>
    <x v="1"/>
    <x v="10"/>
    <x v="0"/>
    <x v="1"/>
    <s v="fwd"/>
    <s v="gas"/>
    <n v="30"/>
    <x v="8"/>
    <x v="17"/>
    <s v="m"/>
    <n v="2014"/>
  </r>
  <r>
    <x v="15"/>
    <x v="1"/>
    <x v="6"/>
    <x v="0"/>
    <x v="7"/>
    <s v="4wd"/>
    <s v="gas"/>
    <n v="27"/>
    <x v="8"/>
    <x v="19"/>
    <s v="a"/>
    <n v="2014"/>
  </r>
  <r>
    <x v="15"/>
    <x v="1"/>
    <x v="6"/>
    <x v="0"/>
    <x v="7"/>
    <s v="4wd"/>
    <s v="gas"/>
    <n v="27"/>
    <x v="8"/>
    <x v="20"/>
    <s v="a"/>
    <n v="2014"/>
  </r>
  <r>
    <x v="7"/>
    <x v="1"/>
    <x v="10"/>
    <x v="0"/>
    <x v="7"/>
    <s v="4wd"/>
    <s v="gas"/>
    <n v="28"/>
    <x v="8"/>
    <x v="19"/>
    <s v="m"/>
    <n v="2014"/>
  </r>
  <r>
    <x v="7"/>
    <x v="1"/>
    <x v="10"/>
    <x v="0"/>
    <x v="7"/>
    <s v="4wd"/>
    <s v="gas"/>
    <n v="28"/>
    <x v="8"/>
    <x v="20"/>
    <s v="m"/>
    <n v="2014"/>
  </r>
  <r>
    <x v="11"/>
    <x v="6"/>
    <x v="16"/>
    <x v="2"/>
    <x v="13"/>
    <s v="4wd"/>
    <s v="gas"/>
    <n v="19"/>
    <x v="8"/>
    <x v="21"/>
    <s v="a"/>
    <n v="2014"/>
  </r>
  <r>
    <x v="12"/>
    <x v="6"/>
    <x v="14"/>
    <x v="2"/>
    <x v="14"/>
    <s v="awd"/>
    <s v="gas"/>
    <n v="21"/>
    <x v="9"/>
    <x v="22"/>
    <s v="a"/>
    <n v="2014"/>
  </r>
  <r>
    <x v="4"/>
    <x v="2"/>
    <x v="14"/>
    <x v="2"/>
    <x v="4"/>
    <s v="rwd"/>
    <s v="gas"/>
    <n v="22"/>
    <x v="7"/>
    <x v="16"/>
    <s v="a"/>
    <n v="2014"/>
  </r>
  <r>
    <x v="8"/>
    <x v="2"/>
    <x v="11"/>
    <x v="1"/>
    <x v="5"/>
    <s v="awd"/>
    <s v="gas"/>
    <n v="23"/>
    <x v="3"/>
    <x v="6"/>
    <s v="a"/>
    <n v="2015"/>
  </r>
  <r>
    <x v="9"/>
    <x v="7"/>
    <x v="6"/>
    <x v="5"/>
    <x v="0"/>
    <s v="awd"/>
    <s v="gas"/>
    <n v="28"/>
    <x v="10"/>
    <x v="23"/>
    <s v="a"/>
    <n v="2015"/>
  </r>
  <r>
    <x v="1"/>
    <x v="0"/>
    <x v="1"/>
    <x v="0"/>
    <x v="0"/>
    <s v="fwd"/>
    <s v="gas"/>
    <n v="37"/>
    <x v="0"/>
    <x v="0"/>
    <s v="a"/>
    <n v="2015"/>
  </r>
  <r>
    <x v="16"/>
    <x v="0"/>
    <x v="17"/>
    <x v="0"/>
    <x v="0"/>
    <s v="fwd"/>
    <s v="gas"/>
    <n v="39"/>
    <x v="0"/>
    <x v="0"/>
    <s v="a"/>
    <n v="2015"/>
  </r>
  <r>
    <x v="0"/>
    <x v="0"/>
    <x v="0"/>
    <x v="0"/>
    <x v="0"/>
    <s v="fwd"/>
    <s v="gas"/>
    <n v="35"/>
    <x v="0"/>
    <x v="0"/>
    <s v="m"/>
    <n v="2015"/>
  </r>
  <r>
    <x v="5"/>
    <x v="3"/>
    <x v="12"/>
    <x v="1"/>
    <x v="5"/>
    <s v="rwd"/>
    <s v="gas"/>
    <n v="26"/>
    <x v="5"/>
    <x v="24"/>
    <s v="a"/>
    <n v="2015"/>
  </r>
  <r>
    <x v="4"/>
    <x v="3"/>
    <x v="7"/>
    <x v="2"/>
    <x v="4"/>
    <s v="rwd"/>
    <s v="gas"/>
    <n v="23"/>
    <x v="5"/>
    <x v="24"/>
    <s v="a"/>
    <n v="2015"/>
  </r>
  <r>
    <x v="5"/>
    <x v="1"/>
    <x v="12"/>
    <x v="1"/>
    <x v="8"/>
    <s v="fwd"/>
    <s v="gas"/>
    <n v="25"/>
    <x v="5"/>
    <x v="25"/>
    <s v="a"/>
    <n v="2015"/>
  </r>
  <r>
    <x v="1"/>
    <x v="1"/>
    <x v="3"/>
    <x v="0"/>
    <x v="1"/>
    <s v="fwd"/>
    <s v="gas"/>
    <n v="32"/>
    <x v="0"/>
    <x v="1"/>
    <s v="a"/>
    <n v="2015"/>
  </r>
  <r>
    <x v="1"/>
    <x v="1"/>
    <x v="0"/>
    <x v="0"/>
    <x v="1"/>
    <s v="fwd"/>
    <s v="gas"/>
    <n v="34"/>
    <x v="0"/>
    <x v="1"/>
    <s v="m"/>
    <n v="2015"/>
  </r>
  <r>
    <x v="0"/>
    <x v="1"/>
    <x v="2"/>
    <x v="0"/>
    <x v="0"/>
    <s v="fwd"/>
    <s v="gas"/>
    <n v="31"/>
    <x v="0"/>
    <x v="1"/>
    <s v="a"/>
    <n v="2015"/>
  </r>
  <r>
    <x v="3"/>
    <x v="1"/>
    <x v="12"/>
    <x v="0"/>
    <x v="7"/>
    <s v="awd"/>
    <s v="gas"/>
    <n v="25"/>
    <x v="5"/>
    <x v="26"/>
    <s v="a"/>
    <n v="2015"/>
  </r>
  <r>
    <x v="5"/>
    <x v="1"/>
    <x v="8"/>
    <x v="1"/>
    <x v="8"/>
    <s v="awd"/>
    <s v="gas"/>
    <n v="23"/>
    <x v="5"/>
    <x v="26"/>
    <s v="a"/>
    <n v="2015"/>
  </r>
  <r>
    <x v="0"/>
    <x v="1"/>
    <x v="2"/>
    <x v="0"/>
    <x v="1"/>
    <s v="4wd"/>
    <s v="gas"/>
    <n v="30"/>
    <x v="0"/>
    <x v="2"/>
    <s v="a"/>
    <n v="2015"/>
  </r>
  <r>
    <x v="2"/>
    <x v="1"/>
    <x v="4"/>
    <x v="0"/>
    <x v="0"/>
    <s v="4wd"/>
    <s v="gas"/>
    <n v="29"/>
    <x v="0"/>
    <x v="2"/>
    <s v="a"/>
    <n v="2015"/>
  </r>
  <r>
    <x v="10"/>
    <x v="1"/>
    <x v="8"/>
    <x v="1"/>
    <x v="6"/>
    <s v="awd"/>
    <s v="gas"/>
    <n v="24"/>
    <x v="10"/>
    <x v="27"/>
    <s v="a"/>
    <n v="2015"/>
  </r>
  <r>
    <x v="10"/>
    <x v="1"/>
    <x v="8"/>
    <x v="1"/>
    <x v="6"/>
    <s v="awd"/>
    <s v="gas"/>
    <n v="24"/>
    <x v="10"/>
    <x v="28"/>
    <s v="a"/>
    <n v="2015"/>
  </r>
  <r>
    <x v="6"/>
    <x v="4"/>
    <x v="4"/>
    <x v="0"/>
    <x v="1"/>
    <s v="awd"/>
    <s v="gas"/>
    <n v="31"/>
    <x v="4"/>
    <x v="29"/>
    <s v="a"/>
    <n v="2015"/>
  </r>
  <r>
    <x v="6"/>
    <x v="2"/>
    <x v="4"/>
    <x v="0"/>
    <x v="1"/>
    <s v="awd"/>
    <s v="gas"/>
    <n v="31"/>
    <x v="4"/>
    <x v="30"/>
    <s v="a"/>
    <n v="2015"/>
  </r>
  <r>
    <x v="15"/>
    <x v="7"/>
    <x v="9"/>
    <x v="0"/>
    <x v="1"/>
    <s v="awd"/>
    <s v="gas"/>
    <n v="28"/>
    <x v="2"/>
    <x v="31"/>
    <s v="m"/>
    <n v="2015"/>
  </r>
  <r>
    <x v="10"/>
    <x v="7"/>
    <x v="11"/>
    <x v="0"/>
    <x v="0"/>
    <s v="awd"/>
    <s v="gas"/>
    <n v="23"/>
    <x v="2"/>
    <x v="31"/>
    <s v="m"/>
    <n v="2015"/>
  </r>
  <r>
    <x v="3"/>
    <x v="7"/>
    <x v="5"/>
    <x v="1"/>
    <x v="6"/>
    <s v="awd"/>
    <s v="gas"/>
    <n v="28"/>
    <x v="10"/>
    <x v="23"/>
    <s v="a"/>
    <n v="2015"/>
  </r>
  <r>
    <x v="3"/>
    <x v="0"/>
    <x v="5"/>
    <x v="1"/>
    <x v="6"/>
    <s v="awd"/>
    <s v="gas"/>
    <n v="28"/>
    <x v="10"/>
    <x v="32"/>
    <s v="a"/>
    <n v="2015"/>
  </r>
  <r>
    <x v="9"/>
    <x v="8"/>
    <x v="6"/>
    <x v="5"/>
    <x v="0"/>
    <s v="awd"/>
    <s v="gas"/>
    <n v="28"/>
    <x v="10"/>
    <x v="33"/>
    <s v="a"/>
    <n v="2015"/>
  </r>
  <r>
    <x v="3"/>
    <x v="8"/>
    <x v="5"/>
    <x v="1"/>
    <x v="6"/>
    <s v="awd"/>
    <s v="gas"/>
    <n v="28"/>
    <x v="10"/>
    <x v="33"/>
    <s v="a"/>
    <n v="2015"/>
  </r>
  <r>
    <x v="8"/>
    <x v="9"/>
    <x v="11"/>
    <x v="2"/>
    <x v="15"/>
    <s v="rwd"/>
    <s v="gas"/>
    <n v="23"/>
    <x v="11"/>
    <x v="34"/>
    <s v="a"/>
    <n v="2015"/>
  </r>
  <r>
    <x v="8"/>
    <x v="9"/>
    <x v="11"/>
    <x v="2"/>
    <x v="15"/>
    <s v="rwd"/>
    <s v="gas"/>
    <n v="23"/>
    <x v="12"/>
    <x v="35"/>
    <s v="a"/>
    <n v="2015"/>
  </r>
  <r>
    <x v="8"/>
    <x v="9"/>
    <x v="7"/>
    <x v="2"/>
    <x v="15"/>
    <s v="4wd"/>
    <s v="gas"/>
    <n v="22"/>
    <x v="11"/>
    <x v="36"/>
    <s v="a"/>
    <n v="2015"/>
  </r>
  <r>
    <x v="8"/>
    <x v="9"/>
    <x v="7"/>
    <x v="2"/>
    <x v="15"/>
    <s v="4wd"/>
    <s v="gas"/>
    <n v="22"/>
    <x v="12"/>
    <x v="37"/>
    <s v="a"/>
    <n v="2015"/>
  </r>
  <r>
    <x v="9"/>
    <x v="1"/>
    <x v="6"/>
    <x v="0"/>
    <x v="7"/>
    <s v="fwd"/>
    <s v="gas"/>
    <n v="27"/>
    <x v="5"/>
    <x v="25"/>
    <s v="a"/>
    <n v="2015"/>
  </r>
  <r>
    <x v="4"/>
    <x v="6"/>
    <x v="14"/>
    <x v="2"/>
    <x v="16"/>
    <s v="rwd"/>
    <s v="gas"/>
    <n v="21"/>
    <x v="13"/>
    <x v="38"/>
    <s v="a"/>
    <n v="2015"/>
  </r>
  <r>
    <x v="4"/>
    <x v="6"/>
    <x v="14"/>
    <x v="2"/>
    <x v="16"/>
    <s v="rwd"/>
    <s v="gas"/>
    <n v="21"/>
    <x v="13"/>
    <x v="39"/>
    <s v="a"/>
    <n v="2015"/>
  </r>
  <r>
    <x v="8"/>
    <x v="6"/>
    <x v="7"/>
    <x v="2"/>
    <x v="15"/>
    <s v="rwd"/>
    <s v="gas"/>
    <n v="23"/>
    <x v="11"/>
    <x v="40"/>
    <s v="a"/>
    <n v="2015"/>
  </r>
  <r>
    <x v="8"/>
    <x v="6"/>
    <x v="7"/>
    <x v="2"/>
    <x v="15"/>
    <s v="rwd"/>
    <s v="gas"/>
    <n v="23"/>
    <x v="11"/>
    <x v="41"/>
    <s v="a"/>
    <n v="2015"/>
  </r>
  <r>
    <x v="4"/>
    <x v="6"/>
    <x v="14"/>
    <x v="2"/>
    <x v="16"/>
    <s v="rwd"/>
    <s v="gas"/>
    <n v="21"/>
    <x v="12"/>
    <x v="42"/>
    <s v="a"/>
    <n v="2015"/>
  </r>
  <r>
    <x v="4"/>
    <x v="6"/>
    <x v="14"/>
    <x v="2"/>
    <x v="16"/>
    <s v="rwd"/>
    <s v="gas"/>
    <n v="21"/>
    <x v="12"/>
    <x v="43"/>
    <s v="a"/>
    <n v="2015"/>
  </r>
  <r>
    <x v="8"/>
    <x v="6"/>
    <x v="7"/>
    <x v="2"/>
    <x v="15"/>
    <s v="rwd"/>
    <s v="gas"/>
    <n v="23"/>
    <x v="12"/>
    <x v="42"/>
    <s v="a"/>
    <n v="2015"/>
  </r>
  <r>
    <x v="8"/>
    <x v="6"/>
    <x v="7"/>
    <x v="2"/>
    <x v="15"/>
    <s v="rwd"/>
    <s v="gas"/>
    <n v="23"/>
    <x v="12"/>
    <x v="43"/>
    <s v="a"/>
    <n v="2015"/>
  </r>
  <r>
    <x v="12"/>
    <x v="6"/>
    <x v="13"/>
    <x v="2"/>
    <x v="16"/>
    <s v="4wd"/>
    <s v="gas"/>
    <n v="21"/>
    <x v="13"/>
    <x v="44"/>
    <s v="a"/>
    <n v="2015"/>
  </r>
  <r>
    <x v="12"/>
    <x v="6"/>
    <x v="13"/>
    <x v="2"/>
    <x v="16"/>
    <s v="4wd"/>
    <s v="gas"/>
    <n v="20"/>
    <x v="13"/>
    <x v="45"/>
    <s v="a"/>
    <n v="2015"/>
  </r>
  <r>
    <x v="8"/>
    <x v="6"/>
    <x v="7"/>
    <x v="2"/>
    <x v="15"/>
    <s v="4wd"/>
    <s v="gas"/>
    <n v="22"/>
    <x v="11"/>
    <x v="46"/>
    <s v="a"/>
    <n v="2015"/>
  </r>
  <r>
    <x v="4"/>
    <x v="6"/>
    <x v="7"/>
    <x v="2"/>
    <x v="15"/>
    <s v="4wd"/>
    <s v="gas"/>
    <n v="22"/>
    <x v="11"/>
    <x v="47"/>
    <s v="a"/>
    <n v="2015"/>
  </r>
  <r>
    <x v="12"/>
    <x v="6"/>
    <x v="13"/>
    <x v="2"/>
    <x v="16"/>
    <s v="4wd"/>
    <s v="gas"/>
    <n v="20"/>
    <x v="12"/>
    <x v="48"/>
    <s v="a"/>
    <n v="2015"/>
  </r>
  <r>
    <x v="12"/>
    <x v="6"/>
    <x v="13"/>
    <x v="2"/>
    <x v="16"/>
    <s v="4wd"/>
    <s v="gas"/>
    <n v="21"/>
    <x v="12"/>
    <x v="49"/>
    <s v="a"/>
    <n v="2015"/>
  </r>
  <r>
    <x v="4"/>
    <x v="6"/>
    <x v="7"/>
    <x v="2"/>
    <x v="15"/>
    <s v="4wd"/>
    <s v="gas"/>
    <n v="22"/>
    <x v="12"/>
    <x v="48"/>
    <s v="a"/>
    <n v="2015"/>
  </r>
  <r>
    <x v="8"/>
    <x v="6"/>
    <x v="7"/>
    <x v="2"/>
    <x v="15"/>
    <s v="4wd"/>
    <s v="gas"/>
    <n v="22"/>
    <x v="12"/>
    <x v="49"/>
    <s v="a"/>
    <n v="2015"/>
  </r>
  <r>
    <x v="8"/>
    <x v="4"/>
    <x v="7"/>
    <x v="2"/>
    <x v="4"/>
    <s v="rwd"/>
    <s v="gas"/>
    <n v="23"/>
    <x v="14"/>
    <x v="50"/>
    <s v="a"/>
    <n v="2015"/>
  </r>
  <r>
    <x v="8"/>
    <x v="4"/>
    <x v="7"/>
    <x v="2"/>
    <x v="4"/>
    <s v="rwd"/>
    <s v="gas"/>
    <n v="23"/>
    <x v="14"/>
    <x v="51"/>
    <s v="a"/>
    <n v="2015"/>
  </r>
  <r>
    <x v="9"/>
    <x v="4"/>
    <x v="6"/>
    <x v="1"/>
    <x v="6"/>
    <s v="rwd"/>
    <s v="gas"/>
    <n v="28"/>
    <x v="14"/>
    <x v="52"/>
    <s v="a"/>
    <n v="2015"/>
  </r>
  <r>
    <x v="9"/>
    <x v="4"/>
    <x v="6"/>
    <x v="1"/>
    <x v="6"/>
    <s v="rwd"/>
    <s v="gas"/>
    <n v="28"/>
    <x v="14"/>
    <x v="53"/>
    <s v="a"/>
    <n v="2015"/>
  </r>
  <r>
    <x v="1"/>
    <x v="0"/>
    <x v="1"/>
    <x v="0"/>
    <x v="0"/>
    <s v="fwd"/>
    <s v="gas"/>
    <n v="37"/>
    <x v="0"/>
    <x v="0"/>
    <s v="a"/>
    <n v="2016"/>
  </r>
  <r>
    <x v="16"/>
    <x v="0"/>
    <x v="17"/>
    <x v="0"/>
    <x v="0"/>
    <s v="fwd"/>
    <s v="gas"/>
    <n v="38"/>
    <x v="0"/>
    <x v="0"/>
    <s v="a"/>
    <n v="2016"/>
  </r>
  <r>
    <x v="0"/>
    <x v="0"/>
    <x v="0"/>
    <x v="0"/>
    <x v="0"/>
    <s v="fwd"/>
    <s v="gas"/>
    <n v="36"/>
    <x v="0"/>
    <x v="0"/>
    <s v="m"/>
    <n v="2016"/>
  </r>
  <r>
    <x v="5"/>
    <x v="1"/>
    <x v="12"/>
    <x v="1"/>
    <x v="8"/>
    <s v="awd"/>
    <s v="gas"/>
    <n v="25"/>
    <x v="5"/>
    <x v="54"/>
    <s v="a"/>
    <n v="2016"/>
  </r>
  <r>
    <x v="9"/>
    <x v="1"/>
    <x v="6"/>
    <x v="0"/>
    <x v="1"/>
    <s v="fwd"/>
    <s v="gas"/>
    <n v="27"/>
    <x v="5"/>
    <x v="25"/>
    <s v="a"/>
    <n v="2016"/>
  </r>
  <r>
    <x v="15"/>
    <x v="1"/>
    <x v="9"/>
    <x v="0"/>
    <x v="7"/>
    <s v="fwd"/>
    <s v="gas"/>
    <n v="28"/>
    <x v="5"/>
    <x v="25"/>
    <s v="a"/>
    <n v="2016"/>
  </r>
  <r>
    <x v="5"/>
    <x v="1"/>
    <x v="8"/>
    <x v="1"/>
    <x v="8"/>
    <s v="fwd"/>
    <s v="gas"/>
    <n v="25"/>
    <x v="5"/>
    <x v="25"/>
    <s v="a"/>
    <n v="2016"/>
  </r>
  <r>
    <x v="1"/>
    <x v="1"/>
    <x v="0"/>
    <x v="0"/>
    <x v="1"/>
    <s v="fwd"/>
    <s v="gas"/>
    <n v="34"/>
    <x v="0"/>
    <x v="1"/>
    <s v="m"/>
    <n v="2016"/>
  </r>
  <r>
    <x v="1"/>
    <x v="1"/>
    <x v="0"/>
    <x v="0"/>
    <x v="0"/>
    <s v="fwd"/>
    <s v="gas"/>
    <n v="33"/>
    <x v="0"/>
    <x v="1"/>
    <s v="a"/>
    <n v="2016"/>
  </r>
  <r>
    <x v="3"/>
    <x v="1"/>
    <x v="12"/>
    <x v="0"/>
    <x v="1"/>
    <s v="awd"/>
    <s v="gas"/>
    <n v="25"/>
    <x v="5"/>
    <x v="26"/>
    <s v="a"/>
    <n v="2016"/>
  </r>
  <r>
    <x v="15"/>
    <x v="1"/>
    <x v="5"/>
    <x v="0"/>
    <x v="7"/>
    <s v="awd"/>
    <s v="gas"/>
    <n v="25"/>
    <x v="5"/>
    <x v="26"/>
    <s v="a"/>
    <n v="2016"/>
  </r>
  <r>
    <x v="10"/>
    <x v="1"/>
    <x v="11"/>
    <x v="1"/>
    <x v="8"/>
    <s v="awd"/>
    <s v="gas"/>
    <n v="23"/>
    <x v="5"/>
    <x v="26"/>
    <s v="a"/>
    <n v="2016"/>
  </r>
  <r>
    <x v="2"/>
    <x v="1"/>
    <x v="4"/>
    <x v="0"/>
    <x v="0"/>
    <s v="4wd"/>
    <s v="gas"/>
    <n v="29"/>
    <x v="0"/>
    <x v="2"/>
    <s v="a"/>
    <n v="2016"/>
  </r>
  <r>
    <x v="9"/>
    <x v="0"/>
    <x v="9"/>
    <x v="1"/>
    <x v="6"/>
    <s v="awd"/>
    <s v="gas"/>
    <n v="29"/>
    <x v="4"/>
    <x v="55"/>
    <s v="a"/>
    <n v="2016"/>
  </r>
  <r>
    <x v="9"/>
    <x v="0"/>
    <x v="9"/>
    <x v="1"/>
    <x v="6"/>
    <s v="awd"/>
    <s v="gas"/>
    <n v="29"/>
    <x v="4"/>
    <x v="56"/>
    <s v="a"/>
    <n v="2016"/>
  </r>
  <r>
    <x v="0"/>
    <x v="1"/>
    <x v="3"/>
    <x v="0"/>
    <x v="17"/>
    <s v="fwd"/>
    <s v="gas"/>
    <n v="33"/>
    <x v="15"/>
    <x v="57"/>
    <s v="m"/>
    <n v="2016"/>
  </r>
  <r>
    <x v="16"/>
    <x v="1"/>
    <x v="18"/>
    <x v="0"/>
    <x v="17"/>
    <s v="fwd"/>
    <s v="gas"/>
    <n v="34"/>
    <x v="15"/>
    <x v="57"/>
    <s v="a"/>
    <n v="2016"/>
  </r>
  <r>
    <x v="16"/>
    <x v="1"/>
    <x v="18"/>
    <x v="0"/>
    <x v="17"/>
    <s v="fwd"/>
    <s v="gas"/>
    <n v="34"/>
    <x v="15"/>
    <x v="57"/>
    <s v="a"/>
    <n v="2016"/>
  </r>
  <r>
    <x v="17"/>
    <x v="1"/>
    <x v="0"/>
    <x v="0"/>
    <x v="17"/>
    <s v="awd"/>
    <s v="gas"/>
    <n v="32"/>
    <x v="15"/>
    <x v="58"/>
    <s v="a"/>
    <n v="2016"/>
  </r>
  <r>
    <x v="17"/>
    <x v="1"/>
    <x v="0"/>
    <x v="0"/>
    <x v="17"/>
    <s v="awd"/>
    <s v="gas"/>
    <n v="32"/>
    <x v="15"/>
    <x v="58"/>
    <s v="a"/>
    <n v="2016"/>
  </r>
  <r>
    <x v="3"/>
    <x v="4"/>
    <x v="5"/>
    <x v="1"/>
    <x v="6"/>
    <s v="rwd"/>
    <s v="gas"/>
    <n v="27"/>
    <x v="14"/>
    <x v="53"/>
    <s v="a"/>
    <n v="2016"/>
  </r>
  <r>
    <x v="3"/>
    <x v="4"/>
    <x v="5"/>
    <x v="1"/>
    <x v="6"/>
    <s v="rwd"/>
    <s v="gas"/>
    <n v="27"/>
    <x v="14"/>
    <x v="52"/>
    <s v="a"/>
    <n v="2016"/>
  </r>
  <r>
    <x v="3"/>
    <x v="4"/>
    <x v="5"/>
    <x v="1"/>
    <x v="6"/>
    <s v="rwd"/>
    <s v="gas"/>
    <n v="27"/>
    <x v="14"/>
    <x v="59"/>
    <s v="a"/>
    <n v="2016"/>
  </r>
  <r>
    <x v="3"/>
    <x v="4"/>
    <x v="5"/>
    <x v="1"/>
    <x v="6"/>
    <s v="rwd"/>
    <s v="gas"/>
    <n v="27"/>
    <x v="14"/>
    <x v="60"/>
    <s v="a"/>
    <n v="2016"/>
  </r>
  <r>
    <x v="14"/>
    <x v="0"/>
    <x v="15"/>
    <x v="2"/>
    <x v="18"/>
    <s v="rwd"/>
    <s v="gas"/>
    <n v="18"/>
    <x v="16"/>
    <x v="61"/>
    <s v="a"/>
    <n v="2016"/>
  </r>
  <r>
    <x v="16"/>
    <x v="7"/>
    <x v="18"/>
    <x v="0"/>
    <x v="19"/>
    <s v="fwd"/>
    <s v="gas"/>
    <n v="35"/>
    <x v="17"/>
    <x v="62"/>
    <s v="a"/>
    <n v="2016"/>
  </r>
  <r>
    <x v="17"/>
    <x v="7"/>
    <x v="1"/>
    <x v="0"/>
    <x v="19"/>
    <s v="fwd"/>
    <s v="gas"/>
    <n v="34"/>
    <x v="17"/>
    <x v="62"/>
    <s v="m"/>
    <n v="2016"/>
  </r>
  <r>
    <x v="2"/>
    <x v="0"/>
    <x v="2"/>
    <x v="0"/>
    <x v="1"/>
    <s v="fwd"/>
    <s v="gas"/>
    <n v="32"/>
    <x v="17"/>
    <x v="63"/>
    <s v="m"/>
    <n v="2016"/>
  </r>
  <r>
    <x v="18"/>
    <x v="2"/>
    <x v="19"/>
    <x v="6"/>
    <x v="20"/>
    <s v="rwd"/>
    <s v="electricity"/>
    <n v="99"/>
    <x v="18"/>
    <x v="64"/>
    <s v="a"/>
    <n v="2016"/>
  </r>
  <r>
    <x v="5"/>
    <x v="4"/>
    <x v="12"/>
    <x v="1"/>
    <x v="6"/>
    <s v="awd"/>
    <s v="gas"/>
    <n v="26"/>
    <x v="14"/>
    <x v="65"/>
    <s v="a"/>
    <n v="2016"/>
  </r>
  <r>
    <x v="5"/>
    <x v="4"/>
    <x v="12"/>
    <x v="1"/>
    <x v="6"/>
    <s v="awd"/>
    <s v="gas"/>
    <n v="26"/>
    <x v="14"/>
    <x v="66"/>
    <s v="a"/>
    <n v="2016"/>
  </r>
  <r>
    <x v="0"/>
    <x v="7"/>
    <x v="0"/>
    <x v="0"/>
    <x v="7"/>
    <s v="fwd"/>
    <s v="gas"/>
    <n v="35"/>
    <x v="19"/>
    <x v="67"/>
    <s v="a"/>
    <n v="2016"/>
  </r>
  <r>
    <x v="2"/>
    <x v="0"/>
    <x v="2"/>
    <x v="0"/>
    <x v="1"/>
    <s v="fwd"/>
    <s v="gas"/>
    <n v="32"/>
    <x v="17"/>
    <x v="63"/>
    <s v="a"/>
    <n v="2016"/>
  </r>
  <r>
    <x v="8"/>
    <x v="4"/>
    <x v="7"/>
    <x v="2"/>
    <x v="4"/>
    <s v="rwd"/>
    <s v="gas"/>
    <n v="23"/>
    <x v="14"/>
    <x v="68"/>
    <s v="a"/>
    <n v="2016"/>
  </r>
  <r>
    <x v="4"/>
    <x v="4"/>
    <x v="7"/>
    <x v="2"/>
    <x v="4"/>
    <s v="awd"/>
    <s v="gas"/>
    <n v="23"/>
    <x v="14"/>
    <x v="69"/>
    <s v="a"/>
    <n v="2016"/>
  </r>
  <r>
    <x v="4"/>
    <x v="4"/>
    <x v="7"/>
    <x v="2"/>
    <x v="4"/>
    <s v="awd"/>
    <s v="gas"/>
    <n v="23"/>
    <x v="14"/>
    <x v="70"/>
    <s v="a"/>
    <n v="2016"/>
  </r>
  <r>
    <x v="4"/>
    <x v="3"/>
    <x v="7"/>
    <x v="2"/>
    <x v="4"/>
    <s v="rwd"/>
    <s v="gas"/>
    <n v="23"/>
    <x v="14"/>
    <x v="71"/>
    <s v="a"/>
    <n v="2016"/>
  </r>
  <r>
    <x v="4"/>
    <x v="3"/>
    <x v="7"/>
    <x v="2"/>
    <x v="4"/>
    <s v="rwd"/>
    <s v="gas"/>
    <n v="23"/>
    <x v="14"/>
    <x v="72"/>
    <s v="a"/>
    <n v="2016"/>
  </r>
  <r>
    <x v="9"/>
    <x v="0"/>
    <x v="6"/>
    <x v="1"/>
    <x v="9"/>
    <s v="fwd"/>
    <s v="gas"/>
    <n v="30"/>
    <x v="19"/>
    <x v="73"/>
    <s v="a"/>
    <n v="2016"/>
  </r>
  <r>
    <x v="16"/>
    <x v="0"/>
    <x v="1"/>
    <x v="1"/>
    <x v="9"/>
    <s v="awd"/>
    <s v="gas"/>
    <n v="31"/>
    <x v="19"/>
    <x v="74"/>
    <s v="a"/>
    <n v="2016"/>
  </r>
  <r>
    <x v="8"/>
    <x v="2"/>
    <x v="11"/>
    <x v="1"/>
    <x v="5"/>
    <s v="awd"/>
    <s v="gas"/>
    <n v="22"/>
    <x v="3"/>
    <x v="6"/>
    <s v="a"/>
    <n v="2016"/>
  </r>
  <r>
    <x v="1"/>
    <x v="7"/>
    <x v="0"/>
    <x v="0"/>
    <x v="19"/>
    <s v="fwd"/>
    <s v="gas"/>
    <n v="32"/>
    <x v="17"/>
    <x v="62"/>
    <s v="a"/>
    <n v="2016"/>
  </r>
  <r>
    <x v="0"/>
    <x v="7"/>
    <x v="3"/>
    <x v="0"/>
    <x v="19"/>
    <s v="fwd"/>
    <s v="gas"/>
    <n v="33"/>
    <x v="17"/>
    <x v="62"/>
    <s v="m"/>
    <n v="2016"/>
  </r>
  <r>
    <x v="0"/>
    <x v="0"/>
    <x v="1"/>
    <x v="1"/>
    <x v="6"/>
    <s v="awd"/>
    <s v="diesel"/>
    <n v="38"/>
    <x v="4"/>
    <x v="56"/>
    <s v="a"/>
    <n v="2016"/>
  </r>
  <r>
    <x v="4"/>
    <x v="3"/>
    <x v="7"/>
    <x v="2"/>
    <x v="4"/>
    <s v="rwd"/>
    <s v="gas"/>
    <n v="23"/>
    <x v="17"/>
    <x v="75"/>
    <s v="a"/>
    <n v="2016"/>
  </r>
  <r>
    <x v="5"/>
    <x v="10"/>
    <x v="8"/>
    <x v="1"/>
    <x v="8"/>
    <s v="fwd"/>
    <s v="gas"/>
    <n v="24"/>
    <x v="5"/>
    <x v="76"/>
    <s v="a"/>
    <n v="2016"/>
  </r>
  <r>
    <x v="5"/>
    <x v="10"/>
    <x v="12"/>
    <x v="1"/>
    <x v="8"/>
    <s v="fwd"/>
    <s v="gas"/>
    <n v="25"/>
    <x v="5"/>
    <x v="77"/>
    <s v="a"/>
    <n v="2016"/>
  </r>
  <r>
    <x v="10"/>
    <x v="10"/>
    <x v="11"/>
    <x v="1"/>
    <x v="8"/>
    <s v="fwd"/>
    <s v="gas"/>
    <n v="22"/>
    <x v="5"/>
    <x v="78"/>
    <s v="a"/>
    <n v="2016"/>
  </r>
  <r>
    <x v="10"/>
    <x v="6"/>
    <x v="8"/>
    <x v="1"/>
    <x v="21"/>
    <s v="awd"/>
    <s v="gas"/>
    <n v="24"/>
    <x v="9"/>
    <x v="79"/>
    <s v="a"/>
    <n v="2016"/>
  </r>
  <r>
    <x v="6"/>
    <x v="4"/>
    <x v="4"/>
    <x v="0"/>
    <x v="1"/>
    <s v="rwd"/>
    <s v="gas"/>
    <n v="32"/>
    <x v="20"/>
    <x v="80"/>
    <s v="a"/>
    <n v="2016"/>
  </r>
  <r>
    <x v="9"/>
    <x v="1"/>
    <x v="6"/>
    <x v="0"/>
    <x v="1"/>
    <s v="fwd"/>
    <s v="gas"/>
    <n v="28"/>
    <x v="17"/>
    <x v="81"/>
    <s v="a"/>
    <n v="2017"/>
  </r>
  <r>
    <x v="9"/>
    <x v="1"/>
    <x v="6"/>
    <x v="0"/>
    <x v="1"/>
    <s v="fwd"/>
    <s v="gas"/>
    <n v="27"/>
    <x v="17"/>
    <x v="82"/>
    <s v="a"/>
    <n v="2017"/>
  </r>
  <r>
    <x v="3"/>
    <x v="1"/>
    <x v="5"/>
    <x v="0"/>
    <x v="1"/>
    <s v="awd"/>
    <s v="gas"/>
    <n v="26"/>
    <x v="17"/>
    <x v="83"/>
    <s v="a"/>
    <n v="2017"/>
  </r>
  <r>
    <x v="3"/>
    <x v="1"/>
    <x v="12"/>
    <x v="0"/>
    <x v="1"/>
    <s v="awd"/>
    <s v="gas"/>
    <n v="24"/>
    <x v="17"/>
    <x v="84"/>
    <s v="a"/>
    <n v="2017"/>
  </r>
  <r>
    <x v="3"/>
    <x v="6"/>
    <x v="12"/>
    <x v="1"/>
    <x v="6"/>
    <s v="awd"/>
    <s v="gas"/>
    <n v="25"/>
    <x v="4"/>
    <x v="85"/>
    <s v="a"/>
    <n v="2017"/>
  </r>
  <r>
    <x v="19"/>
    <x v="0"/>
    <x v="20"/>
    <x v="0"/>
    <x v="1"/>
    <s v="fwd"/>
    <s v="gas"/>
    <n v="38"/>
    <x v="17"/>
    <x v="86"/>
    <s v="a"/>
    <n v="2017"/>
  </r>
  <r>
    <x v="16"/>
    <x v="0"/>
    <x v="17"/>
    <x v="0"/>
    <x v="1"/>
    <s v="fwd"/>
    <s v="gas"/>
    <n v="37"/>
    <x v="17"/>
    <x v="87"/>
    <s v="a"/>
    <n v="2017"/>
  </r>
  <r>
    <x v="1"/>
    <x v="0"/>
    <x v="0"/>
    <x v="0"/>
    <x v="1"/>
    <s v="fwd"/>
    <s v="gas"/>
    <n v="36"/>
    <x v="17"/>
    <x v="87"/>
    <s v="m"/>
    <n v="2017"/>
  </r>
  <r>
    <x v="5"/>
    <x v="1"/>
    <x v="12"/>
    <x v="1"/>
    <x v="8"/>
    <s v="fwd"/>
    <s v="gas"/>
    <n v="25"/>
    <x v="17"/>
    <x v="88"/>
    <s v="a"/>
    <n v="2017"/>
  </r>
  <r>
    <x v="10"/>
    <x v="1"/>
    <x v="8"/>
    <x v="1"/>
    <x v="8"/>
    <s v="fwd"/>
    <s v="gas"/>
    <n v="23"/>
    <x v="17"/>
    <x v="89"/>
    <s v="a"/>
    <n v="2017"/>
  </r>
  <r>
    <x v="5"/>
    <x v="1"/>
    <x v="8"/>
    <x v="1"/>
    <x v="8"/>
    <s v="awd"/>
    <s v="gas"/>
    <n v="24"/>
    <x v="17"/>
    <x v="90"/>
    <s v="a"/>
    <n v="2017"/>
  </r>
  <r>
    <x v="10"/>
    <x v="1"/>
    <x v="11"/>
    <x v="1"/>
    <x v="8"/>
    <s v="awd"/>
    <s v="gas"/>
    <n v="22"/>
    <x v="17"/>
    <x v="91"/>
    <s v="a"/>
    <n v="2017"/>
  </r>
  <r>
    <x v="15"/>
    <x v="1"/>
    <x v="9"/>
    <x v="0"/>
    <x v="7"/>
    <s v="fwd"/>
    <s v="gas"/>
    <n v="27"/>
    <x v="17"/>
    <x v="81"/>
    <s v="a"/>
    <n v="2017"/>
  </r>
  <r>
    <x v="9"/>
    <x v="1"/>
    <x v="5"/>
    <x v="0"/>
    <x v="7"/>
    <s v="awd"/>
    <s v="gas"/>
    <n v="26"/>
    <x v="17"/>
    <x v="83"/>
    <s v="a"/>
    <n v="2017"/>
  </r>
  <r>
    <x v="6"/>
    <x v="1"/>
    <x v="10"/>
    <x v="0"/>
    <x v="7"/>
    <s v="fwd"/>
    <s v="gas"/>
    <n v="29"/>
    <x v="5"/>
    <x v="92"/>
    <s v="a"/>
    <n v="2017"/>
  </r>
  <r>
    <x v="7"/>
    <x v="1"/>
    <x v="4"/>
    <x v="0"/>
    <x v="7"/>
    <s v="fwd"/>
    <s v="gas"/>
    <n v="30"/>
    <x v="5"/>
    <x v="93"/>
    <s v="a"/>
    <n v="2017"/>
  </r>
  <r>
    <x v="15"/>
    <x v="1"/>
    <x v="6"/>
    <x v="0"/>
    <x v="1"/>
    <s v="fwd"/>
    <s v="gas"/>
    <n v="26"/>
    <x v="5"/>
    <x v="92"/>
    <s v="a"/>
    <n v="2017"/>
  </r>
  <r>
    <x v="15"/>
    <x v="1"/>
    <x v="6"/>
    <x v="0"/>
    <x v="7"/>
    <s v="awd"/>
    <s v="gas"/>
    <n v="25"/>
    <x v="5"/>
    <x v="94"/>
    <s v="a"/>
    <n v="2017"/>
  </r>
  <r>
    <x v="15"/>
    <x v="1"/>
    <x v="5"/>
    <x v="0"/>
    <x v="7"/>
    <s v="awd"/>
    <s v="gas"/>
    <n v="25"/>
    <x v="5"/>
    <x v="95"/>
    <s v="a"/>
    <n v="2017"/>
  </r>
  <r>
    <x v="9"/>
    <x v="1"/>
    <x v="12"/>
    <x v="0"/>
    <x v="1"/>
    <s v="awd"/>
    <s v="gas"/>
    <n v="23"/>
    <x v="5"/>
    <x v="94"/>
    <s v="a"/>
    <n v="2017"/>
  </r>
  <r>
    <x v="3"/>
    <x v="1"/>
    <x v="5"/>
    <x v="1"/>
    <x v="21"/>
    <s v="fwd"/>
    <s v="gas"/>
    <n v="27"/>
    <x v="13"/>
    <x v="96"/>
    <s v="a"/>
    <n v="2017"/>
  </r>
  <r>
    <x v="5"/>
    <x v="1"/>
    <x v="12"/>
    <x v="1"/>
    <x v="21"/>
    <s v="awd"/>
    <s v="gas"/>
    <n v="26"/>
    <x v="13"/>
    <x v="97"/>
    <s v="a"/>
    <n v="2017"/>
  </r>
  <r>
    <x v="20"/>
    <x v="7"/>
    <x v="21"/>
    <x v="7"/>
    <x v="22"/>
    <s v="fwd"/>
    <s v="gas"/>
    <n v="41"/>
    <x v="18"/>
    <x v="98"/>
    <s v="m"/>
    <n v="2017"/>
  </r>
  <r>
    <x v="21"/>
    <x v="7"/>
    <x v="22"/>
    <x v="7"/>
    <x v="22"/>
    <s v="fwd"/>
    <s v="gas"/>
    <n v="43"/>
    <x v="18"/>
    <x v="98"/>
    <s v="a"/>
    <n v="2017"/>
  </r>
  <r>
    <x v="5"/>
    <x v="10"/>
    <x v="5"/>
    <x v="1"/>
    <x v="21"/>
    <s v="fwd"/>
    <s v="gas"/>
    <n v="28"/>
    <x v="21"/>
    <x v="99"/>
    <s v="a"/>
    <n v="2017"/>
  </r>
  <r>
    <x v="22"/>
    <x v="2"/>
    <x v="19"/>
    <x v="6"/>
    <x v="20"/>
    <s v="rwd"/>
    <s v="electricity"/>
    <n v="102"/>
    <x v="18"/>
    <x v="64"/>
    <s v="a"/>
    <n v="2017"/>
  </r>
  <r>
    <x v="12"/>
    <x v="4"/>
    <x v="14"/>
    <x v="3"/>
    <x v="10"/>
    <s v="awd"/>
    <s v="gas"/>
    <n v="22"/>
    <x v="4"/>
    <x v="12"/>
    <s v="a"/>
    <n v="2017"/>
  </r>
  <r>
    <x v="12"/>
    <x v="4"/>
    <x v="14"/>
    <x v="3"/>
    <x v="10"/>
    <s v="awd"/>
    <s v="gas"/>
    <n v="22"/>
    <x v="4"/>
    <x v="11"/>
    <s v="a"/>
    <n v="2017"/>
  </r>
  <r>
    <x v="2"/>
    <x v="7"/>
    <x v="2"/>
    <x v="0"/>
    <x v="1"/>
    <s v="awd"/>
    <s v="gas"/>
    <n v="31"/>
    <x v="4"/>
    <x v="100"/>
    <s v="a"/>
    <n v="2017"/>
  </r>
  <r>
    <x v="0"/>
    <x v="7"/>
    <x v="3"/>
    <x v="0"/>
    <x v="1"/>
    <s v="fwd"/>
    <s v="gas"/>
    <n v="33"/>
    <x v="4"/>
    <x v="101"/>
    <s v="a"/>
    <n v="2017"/>
  </r>
  <r>
    <x v="9"/>
    <x v="7"/>
    <x v="6"/>
    <x v="0"/>
    <x v="1"/>
    <s v="awd"/>
    <s v="gas"/>
    <n v="27"/>
    <x v="2"/>
    <x v="31"/>
    <s v="m"/>
    <n v="2017"/>
  </r>
  <r>
    <x v="5"/>
    <x v="7"/>
    <x v="12"/>
    <x v="0"/>
    <x v="1"/>
    <s v="awd"/>
    <s v="gas"/>
    <n v="24"/>
    <x v="2"/>
    <x v="31"/>
    <s v="a"/>
    <n v="2017"/>
  </r>
  <r>
    <x v="10"/>
    <x v="7"/>
    <x v="11"/>
    <x v="0"/>
    <x v="0"/>
    <s v="awd"/>
    <s v="gas"/>
    <n v="23"/>
    <x v="2"/>
    <x v="31"/>
    <s v="m"/>
    <n v="2017"/>
  </r>
  <r>
    <x v="3"/>
    <x v="3"/>
    <x v="5"/>
    <x v="1"/>
    <x v="6"/>
    <s v="awd"/>
    <s v="gas"/>
    <n v="28"/>
    <x v="20"/>
    <x v="102"/>
    <s v="a"/>
    <n v="2017"/>
  </r>
  <r>
    <x v="9"/>
    <x v="1"/>
    <x v="6"/>
    <x v="1"/>
    <x v="9"/>
    <s v="fwd"/>
    <s v="gas"/>
    <n v="28"/>
    <x v="19"/>
    <x v="103"/>
    <s v="a"/>
    <n v="2017"/>
  </r>
  <r>
    <x v="3"/>
    <x v="1"/>
    <x v="5"/>
    <x v="1"/>
    <x v="9"/>
    <s v="awd"/>
    <s v="gas"/>
    <n v="27"/>
    <x v="19"/>
    <x v="104"/>
    <s v="a"/>
    <n v="2017"/>
  </r>
  <r>
    <x v="23"/>
    <x v="7"/>
    <x v="23"/>
    <x v="0"/>
    <x v="23"/>
    <s v="fwd"/>
    <s v="gas"/>
    <n v="42"/>
    <x v="11"/>
    <x v="105"/>
    <s v="a"/>
    <n v="2017"/>
  </r>
  <r>
    <x v="4"/>
    <x v="4"/>
    <x v="7"/>
    <x v="2"/>
    <x v="4"/>
    <s v="awd"/>
    <s v="gas"/>
    <n v="23"/>
    <x v="14"/>
    <x v="69"/>
    <s v="a"/>
    <n v="2017"/>
  </r>
  <r>
    <x v="4"/>
    <x v="4"/>
    <x v="7"/>
    <x v="2"/>
    <x v="4"/>
    <s v="awd"/>
    <s v="gas"/>
    <n v="23"/>
    <x v="14"/>
    <x v="70"/>
    <s v="a"/>
    <n v="2017"/>
  </r>
  <r>
    <x v="9"/>
    <x v="4"/>
    <x v="6"/>
    <x v="1"/>
    <x v="6"/>
    <s v="rwd"/>
    <s v="gas"/>
    <n v="28"/>
    <x v="14"/>
    <x v="53"/>
    <s v="a"/>
    <n v="2017"/>
  </r>
  <r>
    <x v="9"/>
    <x v="4"/>
    <x v="6"/>
    <x v="1"/>
    <x v="6"/>
    <s v="rwd"/>
    <s v="gas"/>
    <n v="28"/>
    <x v="14"/>
    <x v="52"/>
    <s v="a"/>
    <n v="2017"/>
  </r>
  <r>
    <x v="3"/>
    <x v="4"/>
    <x v="5"/>
    <x v="1"/>
    <x v="6"/>
    <s v="rwd"/>
    <s v="gas"/>
    <n v="27"/>
    <x v="14"/>
    <x v="59"/>
    <s v="a"/>
    <n v="2017"/>
  </r>
  <r>
    <x v="3"/>
    <x v="4"/>
    <x v="5"/>
    <x v="1"/>
    <x v="6"/>
    <s v="rwd"/>
    <s v="gas"/>
    <n v="27"/>
    <x v="14"/>
    <x v="60"/>
    <s v="a"/>
    <n v="2017"/>
  </r>
  <r>
    <x v="5"/>
    <x v="4"/>
    <x v="12"/>
    <x v="1"/>
    <x v="6"/>
    <s v="awd"/>
    <s v="gas"/>
    <n v="26"/>
    <x v="14"/>
    <x v="65"/>
    <s v="a"/>
    <n v="2017"/>
  </r>
  <r>
    <x v="5"/>
    <x v="4"/>
    <x v="12"/>
    <x v="1"/>
    <x v="6"/>
    <s v="awd"/>
    <s v="gas"/>
    <n v="26"/>
    <x v="14"/>
    <x v="66"/>
    <s v="a"/>
    <n v="2017"/>
  </r>
  <r>
    <x v="8"/>
    <x v="4"/>
    <x v="11"/>
    <x v="1"/>
    <x v="6"/>
    <s v="rwd"/>
    <s v="gas"/>
    <n v="24"/>
    <x v="14"/>
    <x v="53"/>
    <s v="m"/>
    <n v="2017"/>
  </r>
  <r>
    <x v="8"/>
    <x v="4"/>
    <x v="11"/>
    <x v="1"/>
    <x v="6"/>
    <s v="rwd"/>
    <s v="gas"/>
    <n v="24"/>
    <x v="14"/>
    <x v="52"/>
    <s v="m"/>
    <n v="2017"/>
  </r>
  <r>
    <x v="4"/>
    <x v="4"/>
    <x v="7"/>
    <x v="1"/>
    <x v="6"/>
    <s v="rwd"/>
    <s v="gas"/>
    <n v="24"/>
    <x v="14"/>
    <x v="59"/>
    <s v="m"/>
    <n v="2017"/>
  </r>
  <r>
    <x v="4"/>
    <x v="4"/>
    <x v="7"/>
    <x v="1"/>
    <x v="6"/>
    <s v="rwd"/>
    <s v="gas"/>
    <n v="24"/>
    <x v="14"/>
    <x v="60"/>
    <s v="m"/>
    <n v="2017"/>
  </r>
  <r>
    <x v="6"/>
    <x v="5"/>
    <x v="10"/>
    <x v="0"/>
    <x v="1"/>
    <s v="fwd"/>
    <s v="gas"/>
    <n v="31"/>
    <x v="22"/>
    <x v="106"/>
    <s v="m"/>
    <n v="2017"/>
  </r>
  <r>
    <x v="1"/>
    <x v="1"/>
    <x v="3"/>
    <x v="0"/>
    <x v="23"/>
    <s v="fwd"/>
    <s v="gas"/>
    <n v="32"/>
    <x v="11"/>
    <x v="107"/>
    <s v="a"/>
    <n v="2018"/>
  </r>
  <r>
    <x v="2"/>
    <x v="1"/>
    <x v="4"/>
    <x v="0"/>
    <x v="23"/>
    <s v="awd"/>
    <s v="gas"/>
    <n v="30"/>
    <x v="11"/>
    <x v="108"/>
    <s v="a"/>
    <n v="2018"/>
  </r>
  <r>
    <x v="2"/>
    <x v="2"/>
    <x v="2"/>
    <x v="0"/>
    <x v="1"/>
    <s v="awd"/>
    <s v="gas"/>
    <n v="34"/>
    <x v="4"/>
    <x v="109"/>
    <s v="a"/>
    <n v="2018"/>
  </r>
  <r>
    <x v="2"/>
    <x v="2"/>
    <x v="2"/>
    <x v="0"/>
    <x v="1"/>
    <s v="awd"/>
    <s v="gas"/>
    <n v="33"/>
    <x v="4"/>
    <x v="110"/>
    <s v="m"/>
    <n v="2018"/>
  </r>
  <r>
    <x v="2"/>
    <x v="7"/>
    <x v="2"/>
    <x v="0"/>
    <x v="1"/>
    <s v="awd"/>
    <s v="gas"/>
    <n v="34"/>
    <x v="4"/>
    <x v="100"/>
    <s v="a"/>
    <n v="2018"/>
  </r>
  <r>
    <x v="2"/>
    <x v="7"/>
    <x v="2"/>
    <x v="0"/>
    <x v="1"/>
    <s v="awd"/>
    <s v="gas"/>
    <n v="33"/>
    <x v="4"/>
    <x v="100"/>
    <s v="m"/>
    <n v="2018"/>
  </r>
  <r>
    <x v="15"/>
    <x v="7"/>
    <x v="6"/>
    <x v="0"/>
    <x v="1"/>
    <s v="awd"/>
    <s v="gas"/>
    <n v="27"/>
    <x v="2"/>
    <x v="31"/>
    <s v="m"/>
    <n v="2018"/>
  </r>
  <r>
    <x v="5"/>
    <x v="7"/>
    <x v="12"/>
    <x v="0"/>
    <x v="1"/>
    <s v="awd"/>
    <s v="gas"/>
    <n v="24"/>
    <x v="2"/>
    <x v="31"/>
    <s v="a"/>
    <n v="2018"/>
  </r>
  <r>
    <x v="2"/>
    <x v="0"/>
    <x v="2"/>
    <x v="0"/>
    <x v="1"/>
    <s v="awd"/>
    <s v="gas"/>
    <n v="34"/>
    <x v="4"/>
    <x v="111"/>
    <s v="a"/>
    <n v="2018"/>
  </r>
  <r>
    <x v="5"/>
    <x v="3"/>
    <x v="8"/>
    <x v="1"/>
    <x v="5"/>
    <s v="awd"/>
    <s v="gas"/>
    <n v="25"/>
    <x v="23"/>
    <x v="112"/>
    <s v="a"/>
    <n v="2018"/>
  </r>
  <r>
    <x v="3"/>
    <x v="3"/>
    <x v="5"/>
    <x v="1"/>
    <x v="5"/>
    <s v="rwd"/>
    <s v="gas"/>
    <n v="27"/>
    <x v="23"/>
    <x v="113"/>
    <s v="a"/>
    <n v="2018"/>
  </r>
  <r>
    <x v="7"/>
    <x v="1"/>
    <x v="10"/>
    <x v="0"/>
    <x v="1"/>
    <s v="awd"/>
    <s v="gas"/>
    <n v="27"/>
    <x v="4"/>
    <x v="114"/>
    <s v="a"/>
    <n v="2018"/>
  </r>
  <r>
    <x v="2"/>
    <x v="2"/>
    <x v="2"/>
    <x v="0"/>
    <x v="1"/>
    <s v="awd"/>
    <s v="gas"/>
    <n v="34"/>
    <x v="4"/>
    <x v="110"/>
    <s v="a"/>
    <n v="2018"/>
  </r>
  <r>
    <x v="15"/>
    <x v="2"/>
    <x v="9"/>
    <x v="1"/>
    <x v="6"/>
    <s v="awd"/>
    <s v="gas"/>
    <n v="30"/>
    <x v="4"/>
    <x v="115"/>
    <s v="a"/>
    <n v="2018"/>
  </r>
  <r>
    <x v="9"/>
    <x v="2"/>
    <x v="6"/>
    <x v="1"/>
    <x v="6"/>
    <s v="awd"/>
    <s v="gas"/>
    <n v="29"/>
    <x v="4"/>
    <x v="116"/>
    <s v="a"/>
    <n v="2018"/>
  </r>
  <r>
    <x v="15"/>
    <x v="7"/>
    <x v="9"/>
    <x v="1"/>
    <x v="6"/>
    <s v="awd"/>
    <s v="gas"/>
    <n v="30"/>
    <x v="4"/>
    <x v="117"/>
    <s v="a"/>
    <n v="2018"/>
  </r>
  <r>
    <x v="15"/>
    <x v="0"/>
    <x v="9"/>
    <x v="1"/>
    <x v="6"/>
    <s v="awd"/>
    <s v="gas"/>
    <n v="30"/>
    <x v="4"/>
    <x v="118"/>
    <s v="a"/>
    <n v="2018"/>
  </r>
  <r>
    <x v="10"/>
    <x v="3"/>
    <x v="8"/>
    <x v="1"/>
    <x v="8"/>
    <s v="awd"/>
    <s v="gas"/>
    <n v="24"/>
    <x v="23"/>
    <x v="112"/>
    <s v="a"/>
    <n v="2018"/>
  </r>
  <r>
    <x v="10"/>
    <x v="3"/>
    <x v="8"/>
    <x v="1"/>
    <x v="8"/>
    <s v="rwd"/>
    <s v="gas"/>
    <n v="25"/>
    <x v="23"/>
    <x v="113"/>
    <s v="a"/>
    <n v="2018"/>
  </r>
  <r>
    <x v="3"/>
    <x v="1"/>
    <x v="12"/>
    <x v="1"/>
    <x v="6"/>
    <s v="awd"/>
    <s v="gas"/>
    <n v="24"/>
    <x v="4"/>
    <x v="119"/>
    <s v="a"/>
    <n v="2018"/>
  </r>
  <r>
    <x v="13"/>
    <x v="6"/>
    <x v="16"/>
    <x v="4"/>
    <x v="24"/>
    <s v="awd"/>
    <s v="gas"/>
    <n v="19"/>
    <x v="16"/>
    <x v="120"/>
    <s v="a"/>
    <n v="2018"/>
  </r>
  <r>
    <x v="2"/>
    <x v="2"/>
    <x v="2"/>
    <x v="0"/>
    <x v="1"/>
    <s v="rwd"/>
    <s v="gas"/>
    <n v="34"/>
    <x v="20"/>
    <x v="121"/>
    <s v="a"/>
    <n v="2018"/>
  </r>
  <r>
    <x v="6"/>
    <x v="2"/>
    <x v="4"/>
    <x v="0"/>
    <x v="1"/>
    <s v="awd"/>
    <s v="gas"/>
    <n v="32"/>
    <x v="20"/>
    <x v="122"/>
    <s v="a"/>
    <n v="2018"/>
  </r>
  <r>
    <x v="15"/>
    <x v="2"/>
    <x v="9"/>
    <x v="1"/>
    <x v="6"/>
    <s v="rwd"/>
    <s v="gas"/>
    <n v="29"/>
    <x v="20"/>
    <x v="123"/>
    <s v="a"/>
    <n v="2018"/>
  </r>
  <r>
    <x v="9"/>
    <x v="2"/>
    <x v="6"/>
    <x v="1"/>
    <x v="6"/>
    <s v="awd"/>
    <s v="gas"/>
    <n v="29"/>
    <x v="20"/>
    <x v="124"/>
    <s v="a"/>
    <n v="2018"/>
  </r>
  <r>
    <x v="10"/>
    <x v="2"/>
    <x v="8"/>
    <x v="1"/>
    <x v="6"/>
    <s v="rwd"/>
    <s v="gas"/>
    <n v="25"/>
    <x v="20"/>
    <x v="125"/>
    <s v="m"/>
    <n v="2018"/>
  </r>
  <r>
    <x v="8"/>
    <x v="2"/>
    <x v="11"/>
    <x v="1"/>
    <x v="6"/>
    <s v="rwd"/>
    <s v="gas"/>
    <n v="22"/>
    <x v="20"/>
    <x v="125"/>
    <s v="a"/>
    <n v="2018"/>
  </r>
  <r>
    <x v="9"/>
    <x v="2"/>
    <x v="6"/>
    <x v="1"/>
    <x v="6"/>
    <s v="rwd"/>
    <s v="gas"/>
    <n v="29"/>
    <x v="20"/>
    <x v="126"/>
    <s v="a"/>
    <n v="2018"/>
  </r>
  <r>
    <x v="3"/>
    <x v="2"/>
    <x v="5"/>
    <x v="1"/>
    <x v="6"/>
    <s v="awd"/>
    <s v="gas"/>
    <n v="28"/>
    <x v="20"/>
    <x v="127"/>
    <s v="a"/>
    <n v="2018"/>
  </r>
  <r>
    <x v="10"/>
    <x v="2"/>
    <x v="8"/>
    <x v="2"/>
    <x v="25"/>
    <s v="rwd"/>
    <s v="gas"/>
    <n v="25"/>
    <x v="20"/>
    <x v="128"/>
    <s v="a"/>
    <n v="2018"/>
  </r>
  <r>
    <x v="8"/>
    <x v="2"/>
    <x v="11"/>
    <x v="2"/>
    <x v="25"/>
    <s v="awd"/>
    <s v="gas"/>
    <n v="25"/>
    <x v="20"/>
    <x v="129"/>
    <s v="a"/>
    <n v="2018"/>
  </r>
  <r>
    <x v="4"/>
    <x v="2"/>
    <x v="14"/>
    <x v="2"/>
    <x v="25"/>
    <s v="rwd"/>
    <s v="gas"/>
    <n v="22"/>
    <x v="20"/>
    <x v="130"/>
    <s v="m"/>
    <n v="2018"/>
  </r>
  <r>
    <x v="12"/>
    <x v="2"/>
    <x v="13"/>
    <x v="2"/>
    <x v="25"/>
    <s v="rwd"/>
    <s v="gas"/>
    <n v="20"/>
    <x v="20"/>
    <x v="130"/>
    <s v="a"/>
    <n v="2018"/>
  </r>
  <r>
    <x v="2"/>
    <x v="7"/>
    <x v="2"/>
    <x v="0"/>
    <x v="1"/>
    <s v="rwd"/>
    <s v="gas"/>
    <n v="34"/>
    <x v="20"/>
    <x v="131"/>
    <s v="a"/>
    <n v="2018"/>
  </r>
  <r>
    <x v="15"/>
    <x v="7"/>
    <x v="10"/>
    <x v="0"/>
    <x v="1"/>
    <s v="rwd"/>
    <s v="gas"/>
    <n v="33"/>
    <x v="20"/>
    <x v="131"/>
    <s v="m"/>
    <n v="2018"/>
  </r>
  <r>
    <x v="7"/>
    <x v="7"/>
    <x v="2"/>
    <x v="0"/>
    <x v="1"/>
    <s v="awd"/>
    <s v="gas"/>
    <n v="33"/>
    <x v="20"/>
    <x v="132"/>
    <s v="a"/>
    <n v="2018"/>
  </r>
  <r>
    <x v="2"/>
    <x v="7"/>
    <x v="2"/>
    <x v="0"/>
    <x v="1"/>
    <s v="rwd"/>
    <s v="gas"/>
    <n v="34"/>
    <x v="20"/>
    <x v="133"/>
    <s v="a"/>
    <n v="2018"/>
  </r>
  <r>
    <x v="7"/>
    <x v="7"/>
    <x v="2"/>
    <x v="0"/>
    <x v="1"/>
    <s v="awd"/>
    <s v="gas"/>
    <n v="33"/>
    <x v="20"/>
    <x v="134"/>
    <s v="a"/>
    <n v="2018"/>
  </r>
  <r>
    <x v="15"/>
    <x v="7"/>
    <x v="10"/>
    <x v="1"/>
    <x v="6"/>
    <s v="rwd"/>
    <s v="gas"/>
    <n v="32"/>
    <x v="20"/>
    <x v="135"/>
    <s v="a"/>
    <n v="2018"/>
  </r>
  <r>
    <x v="15"/>
    <x v="7"/>
    <x v="10"/>
    <x v="1"/>
    <x v="6"/>
    <s v="awd"/>
    <s v="gas"/>
    <n v="31"/>
    <x v="20"/>
    <x v="136"/>
    <s v="a"/>
    <n v="2018"/>
  </r>
  <r>
    <x v="3"/>
    <x v="7"/>
    <x v="6"/>
    <x v="1"/>
    <x v="6"/>
    <s v="awd"/>
    <s v="gas"/>
    <n v="29"/>
    <x v="20"/>
    <x v="136"/>
    <s v="m"/>
    <n v="2018"/>
  </r>
  <r>
    <x v="15"/>
    <x v="7"/>
    <x v="10"/>
    <x v="1"/>
    <x v="6"/>
    <s v="rwd"/>
    <s v="gas"/>
    <n v="32"/>
    <x v="20"/>
    <x v="137"/>
    <s v="a"/>
    <n v="2018"/>
  </r>
  <r>
    <x v="15"/>
    <x v="7"/>
    <x v="10"/>
    <x v="1"/>
    <x v="6"/>
    <s v="awd"/>
    <s v="gas"/>
    <n v="31"/>
    <x v="20"/>
    <x v="138"/>
    <s v="a"/>
    <n v="2018"/>
  </r>
  <r>
    <x v="10"/>
    <x v="7"/>
    <x v="8"/>
    <x v="1"/>
    <x v="6"/>
    <s v="rwd"/>
    <s v="gas"/>
    <n v="25"/>
    <x v="20"/>
    <x v="139"/>
    <s v="m"/>
    <n v="2018"/>
  </r>
  <r>
    <x v="10"/>
    <x v="7"/>
    <x v="8"/>
    <x v="1"/>
    <x v="6"/>
    <s v="rwd"/>
    <s v="gas"/>
    <n v="24"/>
    <x v="20"/>
    <x v="139"/>
    <s v="a"/>
    <n v="2018"/>
  </r>
  <r>
    <x v="9"/>
    <x v="7"/>
    <x v="6"/>
    <x v="1"/>
    <x v="6"/>
    <s v="rwd"/>
    <s v="gas"/>
    <n v="29"/>
    <x v="20"/>
    <x v="140"/>
    <s v="a"/>
    <n v="2018"/>
  </r>
  <r>
    <x v="3"/>
    <x v="7"/>
    <x v="5"/>
    <x v="1"/>
    <x v="6"/>
    <s v="awd"/>
    <s v="gas"/>
    <n v="28"/>
    <x v="20"/>
    <x v="141"/>
    <s v="a"/>
    <n v="2018"/>
  </r>
  <r>
    <x v="10"/>
    <x v="7"/>
    <x v="8"/>
    <x v="2"/>
    <x v="25"/>
    <s v="rwd"/>
    <s v="gas"/>
    <n v="25"/>
    <x v="20"/>
    <x v="142"/>
    <s v="a"/>
    <n v="2018"/>
  </r>
  <r>
    <x v="8"/>
    <x v="7"/>
    <x v="11"/>
    <x v="2"/>
    <x v="25"/>
    <s v="awd"/>
    <s v="gas"/>
    <n v="25"/>
    <x v="20"/>
    <x v="143"/>
    <s v="a"/>
    <n v="2018"/>
  </r>
  <r>
    <x v="8"/>
    <x v="7"/>
    <x v="11"/>
    <x v="2"/>
    <x v="25"/>
    <s v="awd"/>
    <s v="gas"/>
    <n v="25"/>
    <x v="20"/>
    <x v="144"/>
    <s v="a"/>
    <n v="2018"/>
  </r>
  <r>
    <x v="9"/>
    <x v="1"/>
    <x v="6"/>
    <x v="1"/>
    <x v="26"/>
    <s v="fwd"/>
    <s v="gas"/>
    <n v="29"/>
    <x v="8"/>
    <x v="145"/>
    <s v="a"/>
    <n v="2019"/>
  </r>
  <r>
    <x v="3"/>
    <x v="1"/>
    <x v="5"/>
    <x v="1"/>
    <x v="26"/>
    <s v="awd"/>
    <s v="gas"/>
    <n v="27"/>
    <x v="8"/>
    <x v="146"/>
    <s v="a"/>
    <n v="2019"/>
  </r>
  <r>
    <x v="5"/>
    <x v="1"/>
    <x v="12"/>
    <x v="1"/>
    <x v="26"/>
    <s v="4wd"/>
    <s v="gas"/>
    <n v="26"/>
    <x v="8"/>
    <x v="147"/>
    <s v="a"/>
    <n v="2019"/>
  </r>
  <r>
    <x v="5"/>
    <x v="1"/>
    <x v="12"/>
    <x v="1"/>
    <x v="26"/>
    <s v="4wd"/>
    <s v="gas"/>
    <n v="24"/>
    <x v="8"/>
    <x v="148"/>
    <s v="a"/>
    <n v="2019"/>
  </r>
  <r>
    <x v="8"/>
    <x v="4"/>
    <x v="11"/>
    <x v="2"/>
    <x v="16"/>
    <s v="rwd"/>
    <s v="gas"/>
    <n v="25"/>
    <x v="11"/>
    <x v="149"/>
    <s v="m"/>
    <n v="2019"/>
  </r>
  <r>
    <x v="4"/>
    <x v="4"/>
    <x v="7"/>
    <x v="2"/>
    <x v="16"/>
    <s v="rwd"/>
    <s v="gas"/>
    <n v="25"/>
    <x v="11"/>
    <x v="149"/>
    <s v="a"/>
    <n v="2019"/>
  </r>
  <r>
    <x v="12"/>
    <x v="4"/>
    <x v="14"/>
    <x v="2"/>
    <x v="16"/>
    <s v="rwd"/>
    <s v="gas"/>
    <n v="23"/>
    <x v="11"/>
    <x v="150"/>
    <s v="a"/>
    <n v="2019"/>
  </r>
  <r>
    <x v="24"/>
    <x v="7"/>
    <x v="24"/>
    <x v="0"/>
    <x v="27"/>
    <s v="fwd"/>
    <s v="gas"/>
    <n v="40"/>
    <x v="24"/>
    <x v="151"/>
    <s v="a"/>
    <n v="2019"/>
  </r>
  <r>
    <x v="24"/>
    <x v="7"/>
    <x v="24"/>
    <x v="0"/>
    <x v="27"/>
    <s v="fwd"/>
    <s v="gas"/>
    <n v="40"/>
    <x v="24"/>
    <x v="151"/>
    <s v="m"/>
    <n v="2019"/>
  </r>
  <r>
    <x v="6"/>
    <x v="1"/>
    <x v="10"/>
    <x v="0"/>
    <x v="7"/>
    <s v="fwd"/>
    <s v="gas"/>
    <n v="29"/>
    <x v="5"/>
    <x v="25"/>
    <s v="a"/>
    <n v="2019"/>
  </r>
  <r>
    <x v="2"/>
    <x v="1"/>
    <x v="2"/>
    <x v="0"/>
    <x v="1"/>
    <s v="fwd"/>
    <s v="gas"/>
    <n v="31"/>
    <x v="25"/>
    <x v="152"/>
    <s v="a"/>
    <n v="2019"/>
  </r>
  <r>
    <x v="3"/>
    <x v="1"/>
    <x v="5"/>
    <x v="1"/>
    <x v="8"/>
    <s v="fwd"/>
    <s v="gas"/>
    <n v="26"/>
    <x v="5"/>
    <x v="25"/>
    <s v="a"/>
    <n v="2019"/>
  </r>
  <r>
    <x v="2"/>
    <x v="1"/>
    <x v="4"/>
    <x v="0"/>
    <x v="1"/>
    <s v="awd"/>
    <s v="gas"/>
    <n v="30"/>
    <x v="25"/>
    <x v="153"/>
    <s v="a"/>
    <n v="2019"/>
  </r>
  <r>
    <x v="15"/>
    <x v="1"/>
    <x v="6"/>
    <x v="0"/>
    <x v="7"/>
    <s v="awd"/>
    <s v="gas"/>
    <n v="26"/>
    <x v="5"/>
    <x v="26"/>
    <s v="a"/>
    <n v="2019"/>
  </r>
  <r>
    <x v="3"/>
    <x v="1"/>
    <x v="12"/>
    <x v="1"/>
    <x v="8"/>
    <s v="awd"/>
    <s v="gas"/>
    <n v="24"/>
    <x v="5"/>
    <x v="26"/>
    <s v="a"/>
    <n v="2019"/>
  </r>
  <r>
    <x v="4"/>
    <x v="4"/>
    <x v="14"/>
    <x v="2"/>
    <x v="16"/>
    <s v="rwd"/>
    <s v="gas"/>
    <n v="22"/>
    <x v="11"/>
    <x v="150"/>
    <s v="m"/>
    <n v="2019"/>
  </r>
  <r>
    <x v="5"/>
    <x v="10"/>
    <x v="12"/>
    <x v="1"/>
    <x v="8"/>
    <s v="fwd"/>
    <s v="gas"/>
    <n v="24"/>
    <x v="5"/>
    <x v="76"/>
    <s v="a"/>
    <n v="2019"/>
  </r>
  <r>
    <x v="7"/>
    <x v="1"/>
    <x v="4"/>
    <x v="0"/>
    <x v="1"/>
    <s v="fwd"/>
    <s v="gas"/>
    <n v="31"/>
    <x v="8"/>
    <x v="145"/>
    <s v="a"/>
    <n v="2019"/>
  </r>
  <r>
    <x v="6"/>
    <x v="1"/>
    <x v="10"/>
    <x v="0"/>
    <x v="7"/>
    <s v="fwd"/>
    <s v="gas"/>
    <n v="31"/>
    <x v="8"/>
    <x v="145"/>
    <s v="a"/>
    <n v="2019"/>
  </r>
  <r>
    <x v="15"/>
    <x v="1"/>
    <x v="9"/>
    <x v="0"/>
    <x v="1"/>
    <s v="awd"/>
    <s v="gas"/>
    <n v="29"/>
    <x v="8"/>
    <x v="146"/>
    <s v="a"/>
    <n v="2019"/>
  </r>
  <r>
    <x v="15"/>
    <x v="1"/>
    <x v="9"/>
    <x v="0"/>
    <x v="7"/>
    <s v="awd"/>
    <s v="gas"/>
    <n v="29"/>
    <x v="8"/>
    <x v="146"/>
    <s v="a"/>
    <n v="2019"/>
  </r>
  <r>
    <x v="9"/>
    <x v="1"/>
    <x v="5"/>
    <x v="0"/>
    <x v="1"/>
    <s v="4wd"/>
    <s v="gas"/>
    <n v="26"/>
    <x v="8"/>
    <x v="148"/>
    <s v="a"/>
    <n v="2019"/>
  </r>
  <r>
    <x v="9"/>
    <x v="1"/>
    <x v="6"/>
    <x v="0"/>
    <x v="1"/>
    <s v="4wd"/>
    <s v="gas"/>
    <n v="27"/>
    <x v="8"/>
    <x v="147"/>
    <s v="a"/>
    <n v="2019"/>
  </r>
  <r>
    <x v="10"/>
    <x v="7"/>
    <x v="8"/>
    <x v="1"/>
    <x v="8"/>
    <s v="awd"/>
    <s v="gas"/>
    <n v="25"/>
    <x v="23"/>
    <x v="154"/>
    <s v="a"/>
    <n v="2019"/>
  </r>
  <r>
    <x v="10"/>
    <x v="7"/>
    <x v="8"/>
    <x v="1"/>
    <x v="8"/>
    <s v="rwd"/>
    <s v="gas"/>
    <n v="26"/>
    <x v="23"/>
    <x v="155"/>
    <s v="a"/>
    <n v="2019"/>
  </r>
  <r>
    <x v="15"/>
    <x v="7"/>
    <x v="6"/>
    <x v="0"/>
    <x v="1"/>
    <s v="awd"/>
    <s v="gas"/>
    <n v="28"/>
    <x v="23"/>
    <x v="154"/>
    <s v="a"/>
    <n v="2019"/>
  </r>
  <r>
    <x v="6"/>
    <x v="7"/>
    <x v="10"/>
    <x v="0"/>
    <x v="1"/>
    <s v="rwd"/>
    <s v="gas"/>
    <n v="30"/>
    <x v="23"/>
    <x v="155"/>
    <s v="a"/>
    <n v="2019"/>
  </r>
  <r>
    <x v="5"/>
    <x v="7"/>
    <x v="5"/>
    <x v="0"/>
    <x v="1"/>
    <s v="rwd"/>
    <s v="gas"/>
    <n v="28"/>
    <x v="23"/>
    <x v="155"/>
    <s v="m"/>
    <n v="2019"/>
  </r>
  <r>
    <x v="9"/>
    <x v="1"/>
    <x v="5"/>
    <x v="0"/>
    <x v="1"/>
    <s v="awd"/>
    <s v="gas"/>
    <n v="25"/>
    <x v="26"/>
    <x v="156"/>
    <s v="a"/>
    <n v="2019"/>
  </r>
  <r>
    <x v="3"/>
    <x v="11"/>
    <x v="5"/>
    <x v="1"/>
    <x v="9"/>
    <s v="fwd"/>
    <s v="gas"/>
    <n v="26"/>
    <x v="15"/>
    <x v="157"/>
    <s v="a"/>
    <n v="2019"/>
  </r>
  <r>
    <x v="5"/>
    <x v="9"/>
    <x v="12"/>
    <x v="1"/>
    <x v="9"/>
    <s v="awd"/>
    <s v="gas"/>
    <n v="25"/>
    <x v="15"/>
    <x v="158"/>
    <s v="a"/>
    <n v="2019"/>
  </r>
  <r>
    <x v="7"/>
    <x v="1"/>
    <x v="4"/>
    <x v="0"/>
    <x v="1"/>
    <s v="awd"/>
    <s v="gas"/>
    <n v="31"/>
    <x v="10"/>
    <x v="159"/>
    <s v="a"/>
    <n v="2019"/>
  </r>
  <r>
    <x v="17"/>
    <x v="7"/>
    <x v="1"/>
    <x v="0"/>
    <x v="1"/>
    <s v="fwd"/>
    <s v="gas"/>
    <n v="34"/>
    <x v="17"/>
    <x v="62"/>
    <s v="a"/>
    <n v="2019"/>
  </r>
  <r>
    <x v="0"/>
    <x v="7"/>
    <x v="3"/>
    <x v="0"/>
    <x v="1"/>
    <s v="fwd"/>
    <s v="gas"/>
    <n v="33"/>
    <x v="17"/>
    <x v="62"/>
    <s v="m"/>
    <n v="2019"/>
  </r>
  <r>
    <x v="16"/>
    <x v="7"/>
    <x v="1"/>
    <x v="0"/>
    <x v="19"/>
    <s v="fwd"/>
    <s v="gas"/>
    <n v="34"/>
    <x v="17"/>
    <x v="62"/>
    <s v="a"/>
    <n v="2019"/>
  </r>
  <r>
    <x v="1"/>
    <x v="7"/>
    <x v="0"/>
    <x v="0"/>
    <x v="19"/>
    <s v="fwd"/>
    <s v="gas"/>
    <n v="33"/>
    <x v="17"/>
    <x v="62"/>
    <s v="m"/>
    <n v="2019"/>
  </r>
  <r>
    <x v="4"/>
    <x v="9"/>
    <x v="14"/>
    <x v="2"/>
    <x v="28"/>
    <s v="rwd"/>
    <s v="gas"/>
    <n v="22"/>
    <x v="27"/>
    <x v="160"/>
    <s v="a"/>
    <n v="2019"/>
  </r>
  <r>
    <x v="4"/>
    <x v="9"/>
    <x v="14"/>
    <x v="2"/>
    <x v="28"/>
    <s v="4wd"/>
    <s v="gas"/>
    <n v="21"/>
    <x v="27"/>
    <x v="161"/>
    <s v="a"/>
    <n v="2019"/>
  </r>
  <r>
    <x v="6"/>
    <x v="1"/>
    <x v="10"/>
    <x v="0"/>
    <x v="0"/>
    <s v="fwd"/>
    <s v="gas"/>
    <n v="29"/>
    <x v="26"/>
    <x v="162"/>
    <s v="a"/>
    <n v="2019"/>
  </r>
  <r>
    <x v="15"/>
    <x v="1"/>
    <x v="9"/>
    <x v="0"/>
    <x v="0"/>
    <s v="awd"/>
    <s v="gas"/>
    <n v="27"/>
    <x v="26"/>
    <x v="156"/>
    <s v="a"/>
    <n v="2019"/>
  </r>
  <r>
    <x v="7"/>
    <x v="7"/>
    <x v="4"/>
    <x v="0"/>
    <x v="7"/>
    <s v="fwd"/>
    <s v="gas"/>
    <n v="32"/>
    <x v="19"/>
    <x v="163"/>
    <s v="a"/>
    <n v="2019"/>
  </r>
  <r>
    <x v="9"/>
    <x v="7"/>
    <x v="6"/>
    <x v="1"/>
    <x v="9"/>
    <s v="fwd"/>
    <s v="gas"/>
    <n v="30"/>
    <x v="19"/>
    <x v="163"/>
    <s v="a"/>
    <n v="2019"/>
  </r>
  <r>
    <x v="9"/>
    <x v="7"/>
    <x v="6"/>
    <x v="1"/>
    <x v="9"/>
    <s v="awd"/>
    <s v="gas"/>
    <n v="29"/>
    <x v="19"/>
    <x v="164"/>
    <s v="a"/>
    <n v="2019"/>
  </r>
  <r>
    <x v="9"/>
    <x v="7"/>
    <x v="6"/>
    <x v="1"/>
    <x v="9"/>
    <s v="awd"/>
    <s v="gas"/>
    <n v="29"/>
    <x v="19"/>
    <x v="165"/>
    <s v="a"/>
    <n v="2019"/>
  </r>
  <r>
    <x v="11"/>
    <x v="4"/>
    <x v="16"/>
    <x v="2"/>
    <x v="16"/>
    <s v="rwd"/>
    <s v="gas"/>
    <n v="19"/>
    <x v="11"/>
    <x v="166"/>
    <s v="m"/>
    <n v="2019"/>
  </r>
  <r>
    <x v="13"/>
    <x v="4"/>
    <x v="16"/>
    <x v="2"/>
    <x v="16"/>
    <s v="rwd"/>
    <s v="gas"/>
    <n v="20"/>
    <x v="11"/>
    <x v="166"/>
    <s v="a"/>
    <n v="2019"/>
  </r>
  <r>
    <x v="17"/>
    <x v="5"/>
    <x v="1"/>
    <x v="7"/>
    <x v="23"/>
    <s v="fwd"/>
    <s v="gas"/>
    <n v="35"/>
    <x v="22"/>
    <x v="167"/>
    <s v="a"/>
    <n v="2019"/>
  </r>
  <r>
    <x v="16"/>
    <x v="5"/>
    <x v="18"/>
    <x v="7"/>
    <x v="23"/>
    <s v="fwd"/>
    <s v="gas"/>
    <n v="37"/>
    <x v="22"/>
    <x v="167"/>
    <s v="m"/>
    <n v="2019"/>
  </r>
  <r>
    <x v="0"/>
    <x v="5"/>
    <x v="3"/>
    <x v="0"/>
    <x v="1"/>
    <s v="fwd"/>
    <s v="gas"/>
    <n v="33"/>
    <x v="22"/>
    <x v="168"/>
    <s v="a"/>
    <n v="2019"/>
  </r>
  <r>
    <x v="7"/>
    <x v="5"/>
    <x v="4"/>
    <x v="0"/>
    <x v="1"/>
    <s v="fwd"/>
    <s v="gas"/>
    <n v="32"/>
    <x v="22"/>
    <x v="168"/>
    <s v="m"/>
    <n v="2019"/>
  </r>
  <r>
    <x v="25"/>
    <x v="7"/>
    <x v="24"/>
    <x v="0"/>
    <x v="1"/>
    <s v="fwd"/>
    <s v="gas"/>
    <n v="40"/>
    <x v="28"/>
    <x v="169"/>
    <s v="a"/>
    <n v="2020"/>
  </r>
  <r>
    <x v="26"/>
    <x v="7"/>
    <x v="25"/>
    <x v="0"/>
    <x v="17"/>
    <s v="fwd"/>
    <s v="gas"/>
    <n v="52"/>
    <x v="28"/>
    <x v="170"/>
    <s v="a"/>
    <n v="2020"/>
  </r>
  <r>
    <x v="19"/>
    <x v="7"/>
    <x v="17"/>
    <x v="0"/>
    <x v="1"/>
    <s v="fwd"/>
    <s v="gas"/>
    <n v="36"/>
    <x v="28"/>
    <x v="169"/>
    <s v="m"/>
    <n v="2020"/>
  </r>
  <r>
    <x v="25"/>
    <x v="7"/>
    <x v="24"/>
    <x v="0"/>
    <x v="1"/>
    <s v="fwd"/>
    <s v="gas"/>
    <n v="38"/>
    <x v="28"/>
    <x v="171"/>
    <s v="a"/>
    <n v="2020"/>
  </r>
  <r>
    <x v="24"/>
    <x v="7"/>
    <x v="20"/>
    <x v="0"/>
    <x v="17"/>
    <s v="fwd"/>
    <s v="gas"/>
    <n v="38"/>
    <x v="28"/>
    <x v="169"/>
    <s v="a"/>
    <n v="2020"/>
  </r>
  <r>
    <x v="19"/>
    <x v="7"/>
    <x v="20"/>
    <x v="0"/>
    <x v="17"/>
    <s v="fwd"/>
    <s v="gas"/>
    <n v="39"/>
    <x v="28"/>
    <x v="169"/>
    <s v="m"/>
    <n v="2020"/>
  </r>
  <r>
    <x v="19"/>
    <x v="7"/>
    <x v="17"/>
    <x v="0"/>
    <x v="17"/>
    <s v="fwd"/>
    <s v="gas"/>
    <n v="37"/>
    <x v="28"/>
    <x v="172"/>
    <s v="a"/>
    <n v="2020"/>
  </r>
  <r>
    <x v="17"/>
    <x v="8"/>
    <x v="1"/>
    <x v="0"/>
    <x v="1"/>
    <s v="fwd"/>
    <s v="gas"/>
    <n v="33"/>
    <x v="5"/>
    <x v="173"/>
    <s v="a"/>
    <n v="2020"/>
  </r>
  <r>
    <x v="19"/>
    <x v="8"/>
    <x v="18"/>
    <x v="0"/>
    <x v="1"/>
    <s v="fwd"/>
    <s v="gas"/>
    <n v="35"/>
    <x v="5"/>
    <x v="174"/>
    <s v="a"/>
    <n v="2020"/>
  </r>
  <r>
    <x v="0"/>
    <x v="8"/>
    <x v="2"/>
    <x v="0"/>
    <x v="1"/>
    <s v="fwd"/>
    <s v="gas"/>
    <n v="31"/>
    <x v="5"/>
    <x v="173"/>
    <s v="m"/>
    <n v="2020"/>
  </r>
  <r>
    <x v="17"/>
    <x v="8"/>
    <x v="0"/>
    <x v="0"/>
    <x v="19"/>
    <s v="fwd"/>
    <s v="gas"/>
    <n v="32"/>
    <x v="5"/>
    <x v="173"/>
    <s v="a"/>
    <n v="2020"/>
  </r>
  <r>
    <x v="7"/>
    <x v="1"/>
    <x v="4"/>
    <x v="0"/>
    <x v="7"/>
    <s v="fwd"/>
    <s v="gas"/>
    <n v="30"/>
    <x v="5"/>
    <x v="92"/>
    <s v="a"/>
    <n v="2020"/>
  </r>
  <r>
    <x v="9"/>
    <x v="1"/>
    <x v="6"/>
    <x v="0"/>
    <x v="1"/>
    <s v="fwd"/>
    <s v="gas"/>
    <n v="28"/>
    <x v="5"/>
    <x v="92"/>
    <s v="a"/>
    <n v="2020"/>
  </r>
  <r>
    <x v="9"/>
    <x v="1"/>
    <x v="6"/>
    <x v="1"/>
    <x v="5"/>
    <s v="fwd"/>
    <s v="gas"/>
    <n v="26"/>
    <x v="5"/>
    <x v="175"/>
    <s v="a"/>
    <n v="2020"/>
  </r>
  <r>
    <x v="6"/>
    <x v="1"/>
    <x v="6"/>
    <x v="0"/>
    <x v="7"/>
    <s v="awd"/>
    <s v="gas"/>
    <n v="26"/>
    <x v="5"/>
    <x v="94"/>
    <s v="a"/>
    <n v="2020"/>
  </r>
  <r>
    <x v="3"/>
    <x v="1"/>
    <x v="12"/>
    <x v="0"/>
    <x v="1"/>
    <s v="awd"/>
    <s v="gas"/>
    <n v="24"/>
    <x v="5"/>
    <x v="94"/>
    <s v="a"/>
    <n v="2020"/>
  </r>
  <r>
    <x v="3"/>
    <x v="1"/>
    <x v="12"/>
    <x v="1"/>
    <x v="5"/>
    <s v="awd"/>
    <s v="gas"/>
    <n v="24"/>
    <x v="5"/>
    <x v="176"/>
    <s v="a"/>
    <n v="2020"/>
  </r>
  <r>
    <x v="3"/>
    <x v="1"/>
    <x v="5"/>
    <x v="0"/>
    <x v="1"/>
    <s v="4wd"/>
    <s v="gas"/>
    <n v="26"/>
    <x v="29"/>
    <x v="177"/>
    <s v="a"/>
    <n v="2020"/>
  </r>
  <r>
    <x v="3"/>
    <x v="6"/>
    <x v="12"/>
    <x v="1"/>
    <x v="6"/>
    <s v="4wd"/>
    <s v="gas"/>
    <n v="24"/>
    <x v="29"/>
    <x v="178"/>
    <s v="a"/>
    <n v="2020"/>
  </r>
  <r>
    <x v="7"/>
    <x v="4"/>
    <x v="4"/>
    <x v="0"/>
    <x v="1"/>
    <s v="rwd"/>
    <s v="gas"/>
    <n v="30"/>
    <x v="14"/>
    <x v="53"/>
    <s v="a"/>
    <n v="2020"/>
  </r>
  <r>
    <x v="7"/>
    <x v="4"/>
    <x v="4"/>
    <x v="0"/>
    <x v="1"/>
    <s v="rwd"/>
    <s v="gas"/>
    <n v="30"/>
    <x v="14"/>
    <x v="52"/>
    <s v="a"/>
    <n v="2020"/>
  </r>
  <r>
    <x v="0"/>
    <x v="7"/>
    <x v="3"/>
    <x v="0"/>
    <x v="1"/>
    <s v="rwd"/>
    <s v="gas"/>
    <n v="34"/>
    <x v="14"/>
    <x v="179"/>
    <s v="a"/>
    <n v="2020"/>
  </r>
  <r>
    <x v="2"/>
    <x v="7"/>
    <x v="2"/>
    <x v="0"/>
    <x v="1"/>
    <s v="rwd"/>
    <s v="gas"/>
    <n v="32"/>
    <x v="14"/>
    <x v="180"/>
    <s v="a"/>
    <n v="2020"/>
  </r>
  <r>
    <x v="2"/>
    <x v="7"/>
    <x v="3"/>
    <x v="0"/>
    <x v="1"/>
    <s v="awd"/>
    <s v="gas"/>
    <n v="34"/>
    <x v="14"/>
    <x v="181"/>
    <s v="a"/>
    <n v="2020"/>
  </r>
  <r>
    <x v="6"/>
    <x v="7"/>
    <x v="10"/>
    <x v="0"/>
    <x v="1"/>
    <s v="awd"/>
    <s v="gas"/>
    <n v="30"/>
    <x v="14"/>
    <x v="182"/>
    <s v="a"/>
    <n v="2020"/>
  </r>
  <r>
    <x v="0"/>
    <x v="0"/>
    <x v="3"/>
    <x v="0"/>
    <x v="1"/>
    <s v="rwd"/>
    <s v="gas"/>
    <n v="34"/>
    <x v="14"/>
    <x v="183"/>
    <s v="a"/>
    <n v="2020"/>
  </r>
  <r>
    <x v="7"/>
    <x v="0"/>
    <x v="4"/>
    <x v="0"/>
    <x v="1"/>
    <s v="rwd"/>
    <s v="gas"/>
    <n v="31"/>
    <x v="14"/>
    <x v="184"/>
    <s v="a"/>
    <n v="2020"/>
  </r>
  <r>
    <x v="7"/>
    <x v="0"/>
    <x v="2"/>
    <x v="0"/>
    <x v="1"/>
    <s v="awd"/>
    <s v="gas"/>
    <n v="33"/>
    <x v="14"/>
    <x v="185"/>
    <s v="a"/>
    <n v="2020"/>
  </r>
  <r>
    <x v="6"/>
    <x v="0"/>
    <x v="10"/>
    <x v="0"/>
    <x v="1"/>
    <s v="awd"/>
    <s v="gas"/>
    <n v="31"/>
    <x v="14"/>
    <x v="186"/>
    <s v="a"/>
    <n v="2020"/>
  </r>
  <r>
    <x v="15"/>
    <x v="12"/>
    <x v="9"/>
    <x v="0"/>
    <x v="1"/>
    <s v="awd"/>
    <s v="gas"/>
    <n v="28"/>
    <x v="14"/>
    <x v="187"/>
    <s v="a"/>
    <n v="2020"/>
  </r>
  <r>
    <x v="15"/>
    <x v="1"/>
    <x v="9"/>
    <x v="0"/>
    <x v="1"/>
    <s v="awd"/>
    <s v="gas"/>
    <n v="28"/>
    <x v="14"/>
    <x v="188"/>
    <s v="a"/>
    <n v="2020"/>
  </r>
  <r>
    <x v="15"/>
    <x v="1"/>
    <x v="6"/>
    <x v="0"/>
    <x v="1"/>
    <s v="awd"/>
    <s v="gas"/>
    <n v="27"/>
    <x v="14"/>
    <x v="189"/>
    <s v="a"/>
    <n v="2020"/>
  </r>
  <r>
    <x v="6"/>
    <x v="1"/>
    <x v="9"/>
    <x v="0"/>
    <x v="1"/>
    <s v="awd"/>
    <s v="gas"/>
    <n v="27"/>
    <x v="14"/>
    <x v="190"/>
    <s v="a"/>
    <n v="2020"/>
  </r>
  <r>
    <x v="6"/>
    <x v="1"/>
    <x v="9"/>
    <x v="0"/>
    <x v="1"/>
    <s v="awd"/>
    <s v="gas"/>
    <n v="27"/>
    <x v="14"/>
    <x v="191"/>
    <s v="a"/>
    <n v="2020"/>
  </r>
  <r>
    <x v="15"/>
    <x v="1"/>
    <x v="6"/>
    <x v="0"/>
    <x v="1"/>
    <s v="awd"/>
    <s v="gas"/>
    <n v="27"/>
    <x v="30"/>
    <x v="192"/>
    <s v="a"/>
    <n v="2020"/>
  </r>
  <r>
    <x v="9"/>
    <x v="1"/>
    <x v="5"/>
    <x v="0"/>
    <x v="1"/>
    <s v="awd"/>
    <s v="gas"/>
    <n v="26"/>
    <x v="30"/>
    <x v="193"/>
    <s v="a"/>
    <n v="2020"/>
  </r>
  <r>
    <x v="9"/>
    <x v="4"/>
    <x v="6"/>
    <x v="1"/>
    <x v="6"/>
    <s v="rwd"/>
    <s v="gas"/>
    <n v="28"/>
    <x v="14"/>
    <x v="53"/>
    <s v="a"/>
    <n v="2020"/>
  </r>
  <r>
    <x v="9"/>
    <x v="4"/>
    <x v="6"/>
    <x v="1"/>
    <x v="6"/>
    <s v="rwd"/>
    <s v="gas"/>
    <n v="28"/>
    <x v="14"/>
    <x v="52"/>
    <s v="a"/>
    <n v="2020"/>
  </r>
  <r>
    <x v="3"/>
    <x v="4"/>
    <x v="5"/>
    <x v="1"/>
    <x v="6"/>
    <s v="rwd"/>
    <s v="gas"/>
    <n v="27"/>
    <x v="14"/>
    <x v="59"/>
    <s v="a"/>
    <n v="2020"/>
  </r>
  <r>
    <x v="3"/>
    <x v="4"/>
    <x v="5"/>
    <x v="1"/>
    <x v="6"/>
    <s v="rwd"/>
    <s v="gas"/>
    <n v="27"/>
    <x v="14"/>
    <x v="60"/>
    <s v="a"/>
    <n v="2020"/>
  </r>
  <r>
    <x v="5"/>
    <x v="4"/>
    <x v="12"/>
    <x v="1"/>
    <x v="6"/>
    <s v="awd"/>
    <s v="gas"/>
    <n v="26"/>
    <x v="14"/>
    <x v="65"/>
    <s v="a"/>
    <n v="2020"/>
  </r>
  <r>
    <x v="5"/>
    <x v="4"/>
    <x v="12"/>
    <x v="1"/>
    <x v="6"/>
    <s v="awd"/>
    <s v="gas"/>
    <n v="26"/>
    <x v="14"/>
    <x v="66"/>
    <s v="a"/>
    <n v="2020"/>
  </r>
  <r>
    <x v="9"/>
    <x v="0"/>
    <x v="6"/>
    <x v="1"/>
    <x v="6"/>
    <s v="awd"/>
    <s v="gas"/>
    <n v="28"/>
    <x v="14"/>
    <x v="185"/>
    <s v="a"/>
    <n v="2020"/>
  </r>
  <r>
    <x v="5"/>
    <x v="12"/>
    <x v="12"/>
    <x v="1"/>
    <x v="6"/>
    <s v="awd"/>
    <s v="gas"/>
    <n v="25"/>
    <x v="14"/>
    <x v="187"/>
    <s v="a"/>
    <n v="2020"/>
  </r>
  <r>
    <x v="5"/>
    <x v="1"/>
    <x v="8"/>
    <x v="1"/>
    <x v="6"/>
    <s v="awd"/>
    <s v="gas"/>
    <n v="23"/>
    <x v="14"/>
    <x v="190"/>
    <s v="a"/>
    <n v="2020"/>
  </r>
  <r>
    <x v="8"/>
    <x v="1"/>
    <x v="7"/>
    <x v="2"/>
    <x v="4"/>
    <s v="awd"/>
    <s v="gas"/>
    <n v="21"/>
    <x v="14"/>
    <x v="190"/>
    <s v="a"/>
    <n v="2020"/>
  </r>
  <r>
    <x v="9"/>
    <x v="1"/>
    <x v="6"/>
    <x v="0"/>
    <x v="1"/>
    <s v="awd"/>
    <s v="gas"/>
    <n v="27"/>
    <x v="30"/>
    <x v="194"/>
    <s v="a"/>
    <n v="2020"/>
  </r>
  <r>
    <x v="3"/>
    <x v="6"/>
    <x v="12"/>
    <x v="1"/>
    <x v="5"/>
    <s v="awd"/>
    <s v="gas"/>
    <n v="24"/>
    <x v="17"/>
    <x v="195"/>
    <s v="a"/>
    <n v="2020"/>
  </r>
  <r>
    <x v="2"/>
    <x v="2"/>
    <x v="2"/>
    <x v="0"/>
    <x v="1"/>
    <s v="rwd"/>
    <s v="gas"/>
    <n v="32"/>
    <x v="20"/>
    <x v="196"/>
    <s v="a"/>
    <n v="2020"/>
  </r>
  <r>
    <x v="24"/>
    <x v="0"/>
    <x v="24"/>
    <x v="0"/>
    <x v="1"/>
    <s v="fwd"/>
    <s v="gas"/>
    <n v="40"/>
    <x v="17"/>
    <x v="87"/>
    <s v="a"/>
    <n v="2020"/>
  </r>
  <r>
    <x v="19"/>
    <x v="1"/>
    <x v="18"/>
    <x v="0"/>
    <x v="1"/>
    <s v="fwd"/>
    <s v="gas"/>
    <n v="34"/>
    <x v="5"/>
    <x v="197"/>
    <s v="a"/>
    <n v="2021"/>
  </r>
  <r>
    <x v="0"/>
    <x v="1"/>
    <x v="2"/>
    <x v="0"/>
    <x v="19"/>
    <s v="awd"/>
    <s v="gas"/>
    <n v="30"/>
    <x v="5"/>
    <x v="198"/>
    <s v="a"/>
    <n v="2021"/>
  </r>
  <r>
    <x v="17"/>
    <x v="1"/>
    <x v="0"/>
    <x v="0"/>
    <x v="1"/>
    <s v="awd"/>
    <s v="gas"/>
    <n v="31"/>
    <x v="5"/>
    <x v="198"/>
    <s v="a"/>
    <n v="2021"/>
  </r>
  <r>
    <x v="3"/>
    <x v="4"/>
    <x v="5"/>
    <x v="1"/>
    <x v="6"/>
    <s v="rwd"/>
    <s v="gas"/>
    <n v="27"/>
    <x v="14"/>
    <x v="59"/>
    <s v="a"/>
    <n v="2021"/>
  </r>
  <r>
    <x v="3"/>
    <x v="4"/>
    <x v="5"/>
    <x v="1"/>
    <x v="6"/>
    <s v="rwd"/>
    <s v="gas"/>
    <n v="27"/>
    <x v="14"/>
    <x v="60"/>
    <s v="a"/>
    <n v="2021"/>
  </r>
  <r>
    <x v="5"/>
    <x v="4"/>
    <x v="12"/>
    <x v="1"/>
    <x v="6"/>
    <s v="awd"/>
    <s v="gas"/>
    <n v="26"/>
    <x v="14"/>
    <x v="65"/>
    <s v="a"/>
    <n v="2021"/>
  </r>
  <r>
    <x v="5"/>
    <x v="4"/>
    <x v="12"/>
    <x v="1"/>
    <x v="6"/>
    <s v="awd"/>
    <s v="gas"/>
    <n v="26"/>
    <x v="14"/>
    <x v="66"/>
    <s v="a"/>
    <n v="2021"/>
  </r>
  <r>
    <x v="8"/>
    <x v="4"/>
    <x v="7"/>
    <x v="2"/>
    <x v="4"/>
    <s v="awd"/>
    <s v="gas"/>
    <n v="24"/>
    <x v="14"/>
    <x v="69"/>
    <s v="a"/>
    <n v="2021"/>
  </r>
  <r>
    <x v="8"/>
    <x v="4"/>
    <x v="7"/>
    <x v="2"/>
    <x v="4"/>
    <s v="awd"/>
    <s v="gas"/>
    <n v="24"/>
    <x v="14"/>
    <x v="70"/>
    <s v="a"/>
    <n v="2021"/>
  </r>
  <r>
    <x v="10"/>
    <x v="1"/>
    <x v="11"/>
    <x v="1"/>
    <x v="21"/>
    <s v="fwd"/>
    <s v="gas"/>
    <n v="23"/>
    <x v="24"/>
    <x v="199"/>
    <s v="a"/>
    <n v="2021"/>
  </r>
  <r>
    <x v="8"/>
    <x v="6"/>
    <x v="7"/>
    <x v="1"/>
    <x v="21"/>
    <s v="awd"/>
    <s v="gas"/>
    <n v="22"/>
    <x v="24"/>
    <x v="200"/>
    <s v="a"/>
    <n v="2021"/>
  </r>
  <r>
    <x v="9"/>
    <x v="7"/>
    <x v="6"/>
    <x v="0"/>
    <x v="1"/>
    <s v="awd"/>
    <s v="gas"/>
    <n v="27"/>
    <x v="23"/>
    <x v="154"/>
    <s v="a"/>
    <n v="2021"/>
  </r>
  <r>
    <x v="6"/>
    <x v="7"/>
    <x v="10"/>
    <x v="0"/>
    <x v="1"/>
    <s v="rwd"/>
    <s v="gas"/>
    <n v="30"/>
    <x v="23"/>
    <x v="155"/>
    <s v="a"/>
    <n v="2021"/>
  </r>
  <r>
    <x v="5"/>
    <x v="7"/>
    <x v="5"/>
    <x v="0"/>
    <x v="1"/>
    <s v="rwd"/>
    <s v="gas"/>
    <n v="28"/>
    <x v="23"/>
    <x v="155"/>
    <s v="m"/>
    <n v="2021"/>
  </r>
  <r>
    <x v="16"/>
    <x v="8"/>
    <x v="1"/>
    <x v="0"/>
    <x v="1"/>
    <s v="fwd"/>
    <s v="gas"/>
    <n v="33"/>
    <x v="5"/>
    <x v="173"/>
    <s v="a"/>
    <n v="2021"/>
  </r>
  <r>
    <x v="19"/>
    <x v="8"/>
    <x v="18"/>
    <x v="0"/>
    <x v="1"/>
    <s v="fwd"/>
    <s v="gas"/>
    <n v="35"/>
    <x v="5"/>
    <x v="174"/>
    <s v="a"/>
    <n v="2021"/>
  </r>
  <r>
    <x v="0"/>
    <x v="8"/>
    <x v="2"/>
    <x v="0"/>
    <x v="1"/>
    <s v="fwd"/>
    <s v="gas"/>
    <n v="31"/>
    <x v="5"/>
    <x v="173"/>
    <s v="m"/>
    <n v="2021"/>
  </r>
  <r>
    <x v="17"/>
    <x v="8"/>
    <x v="0"/>
    <x v="0"/>
    <x v="19"/>
    <s v="fwd"/>
    <s v="gas"/>
    <n v="32"/>
    <x v="5"/>
    <x v="173"/>
    <s v="a"/>
    <n v="2021"/>
  </r>
  <r>
    <x v="15"/>
    <x v="1"/>
    <x v="5"/>
    <x v="0"/>
    <x v="1"/>
    <s v="fwd"/>
    <s v="gas"/>
    <n v="24"/>
    <x v="24"/>
    <x v="199"/>
    <s v="a"/>
    <n v="2021"/>
  </r>
  <r>
    <x v="1"/>
    <x v="1"/>
    <x v="3"/>
    <x v="7"/>
    <x v="29"/>
    <s v="awd"/>
    <s v="gas"/>
    <n v="30"/>
    <x v="11"/>
    <x v="201"/>
    <s v="a"/>
    <n v="2021"/>
  </r>
  <r>
    <x v="10"/>
    <x v="7"/>
    <x v="8"/>
    <x v="1"/>
    <x v="8"/>
    <s v="awd"/>
    <s v="gas"/>
    <n v="25"/>
    <x v="23"/>
    <x v="154"/>
    <s v="a"/>
    <n v="2021"/>
  </r>
  <r>
    <x v="10"/>
    <x v="7"/>
    <x v="8"/>
    <x v="1"/>
    <x v="8"/>
    <s v="rwd"/>
    <s v="gas"/>
    <n v="26"/>
    <x v="23"/>
    <x v="155"/>
    <s v="a"/>
    <n v="2021"/>
  </r>
  <r>
    <x v="16"/>
    <x v="1"/>
    <x v="0"/>
    <x v="7"/>
    <x v="22"/>
    <s v="fwd"/>
    <s v="gas"/>
    <n v="31"/>
    <x v="26"/>
    <x v="202"/>
    <s v="a"/>
    <n v="2021"/>
  </r>
  <r>
    <x v="19"/>
    <x v="1"/>
    <x v="18"/>
    <x v="7"/>
    <x v="29"/>
    <s v="fwd"/>
    <s v="gas"/>
    <n v="33"/>
    <x v="11"/>
    <x v="203"/>
    <s v="a"/>
    <n v="2021"/>
  </r>
  <r>
    <x v="16"/>
    <x v="1"/>
    <x v="0"/>
    <x v="7"/>
    <x v="22"/>
    <s v="fwd"/>
    <s v="gas"/>
    <n v="31"/>
    <x v="11"/>
    <x v="203"/>
    <s v="a"/>
    <n v="2021"/>
  </r>
  <r>
    <x v="16"/>
    <x v="5"/>
    <x v="18"/>
    <x v="7"/>
    <x v="23"/>
    <s v="fwd"/>
    <s v="gas"/>
    <n v="37"/>
    <x v="22"/>
    <x v="167"/>
    <s v="a"/>
    <n v="2021"/>
  </r>
  <r>
    <x v="1"/>
    <x v="5"/>
    <x v="0"/>
    <x v="0"/>
    <x v="1"/>
    <s v="fwd"/>
    <s v="gas"/>
    <n v="34"/>
    <x v="22"/>
    <x v="168"/>
    <s v="a"/>
    <n v="2021"/>
  </r>
  <r>
    <x v="7"/>
    <x v="5"/>
    <x v="4"/>
    <x v="0"/>
    <x v="1"/>
    <s v="fwd"/>
    <s v="gas"/>
    <n v="32"/>
    <x v="22"/>
    <x v="168"/>
    <s v="m"/>
    <n v="2021"/>
  </r>
  <r>
    <x v="0"/>
    <x v="5"/>
    <x v="3"/>
    <x v="0"/>
    <x v="1"/>
    <s v="fwd"/>
    <s v="gas"/>
    <n v="33"/>
    <x v="22"/>
    <x v="106"/>
    <s v="a"/>
    <n v="2021"/>
  </r>
  <r>
    <x v="16"/>
    <x v="2"/>
    <x v="18"/>
    <x v="7"/>
    <x v="23"/>
    <s v="fwd"/>
    <s v="gas"/>
    <n v="37"/>
    <x v="22"/>
    <x v="204"/>
    <s v="a"/>
    <n v="2021"/>
  </r>
  <r>
    <x v="16"/>
    <x v="2"/>
    <x v="18"/>
    <x v="7"/>
    <x v="23"/>
    <s v="fwd"/>
    <s v="gas"/>
    <n v="37"/>
    <x v="22"/>
    <x v="205"/>
    <s v="a"/>
    <n v="2021"/>
  </r>
  <r>
    <x v="7"/>
    <x v="2"/>
    <x v="2"/>
    <x v="0"/>
    <x v="1"/>
    <s v="fwd"/>
    <s v="gas"/>
    <n v="33"/>
    <x v="22"/>
    <x v="206"/>
    <s v="m"/>
    <n v="2021"/>
  </r>
  <r>
    <x v="7"/>
    <x v="2"/>
    <x v="2"/>
    <x v="0"/>
    <x v="1"/>
    <s v="fwd"/>
    <s v="gas"/>
    <n v="33"/>
    <x v="22"/>
    <x v="207"/>
    <s v="m"/>
    <n v="2021"/>
  </r>
  <r>
    <x v="1"/>
    <x v="2"/>
    <x v="0"/>
    <x v="0"/>
    <x v="1"/>
    <s v="fwd"/>
    <s v="gas"/>
    <n v="34"/>
    <x v="22"/>
    <x v="208"/>
    <s v="a"/>
    <n v="2021"/>
  </r>
  <r>
    <x v="7"/>
    <x v="2"/>
    <x v="2"/>
    <x v="0"/>
    <x v="1"/>
    <s v="fwd"/>
    <s v="gas"/>
    <n v="33"/>
    <x v="22"/>
    <x v="208"/>
    <s v="m"/>
    <n v="2021"/>
  </r>
  <r>
    <x v="2"/>
    <x v="2"/>
    <x v="4"/>
    <x v="0"/>
    <x v="1"/>
    <s v="fwd"/>
    <s v="gas"/>
    <n v="30"/>
    <x v="22"/>
    <x v="209"/>
    <s v="a"/>
    <n v="2021"/>
  </r>
  <r>
    <x v="27"/>
    <x v="7"/>
    <x v="26"/>
    <x v="0"/>
    <x v="23"/>
    <s v="fwd"/>
    <s v="gas"/>
    <n v="45"/>
    <x v="15"/>
    <x v="210"/>
    <s v="a"/>
    <n v="2021"/>
  </r>
  <r>
    <x v="17"/>
    <x v="7"/>
    <x v="1"/>
    <x v="0"/>
    <x v="1"/>
    <s v="fwd"/>
    <s v="gas"/>
    <n v="34"/>
    <x v="17"/>
    <x v="62"/>
    <s v="a"/>
    <n v="2021"/>
  </r>
  <r>
    <x v="0"/>
    <x v="7"/>
    <x v="3"/>
    <x v="0"/>
    <x v="1"/>
    <s v="fwd"/>
    <s v="gas"/>
    <n v="33"/>
    <x v="17"/>
    <x v="62"/>
    <s v="m"/>
    <n v="2021"/>
  </r>
  <r>
    <x v="16"/>
    <x v="7"/>
    <x v="1"/>
    <x v="0"/>
    <x v="19"/>
    <s v="fwd"/>
    <s v="gas"/>
    <n v="34"/>
    <x v="17"/>
    <x v="62"/>
    <s v="a"/>
    <n v="2021"/>
  </r>
  <r>
    <x v="1"/>
    <x v="7"/>
    <x v="0"/>
    <x v="0"/>
    <x v="19"/>
    <s v="fwd"/>
    <s v="gas"/>
    <n v="33"/>
    <x v="17"/>
    <x v="62"/>
    <s v="m"/>
    <n v="2021"/>
  </r>
  <r>
    <x v="28"/>
    <x v="0"/>
    <x v="25"/>
    <x v="0"/>
    <x v="23"/>
    <s v="fwd"/>
    <s v="gas"/>
    <n v="49"/>
    <x v="15"/>
    <x v="211"/>
    <s v="a"/>
    <n v="2021"/>
  </r>
  <r>
    <x v="10"/>
    <x v="3"/>
    <x v="11"/>
    <x v="2"/>
    <x v="25"/>
    <s v="awd"/>
    <s v="gas"/>
    <n v="24"/>
    <x v="20"/>
    <x v="212"/>
    <s v="a"/>
    <n v="2021"/>
  </r>
  <r>
    <x v="10"/>
    <x v="3"/>
    <x v="11"/>
    <x v="2"/>
    <x v="25"/>
    <s v="awd"/>
    <s v="gas"/>
    <n v="24"/>
    <x v="20"/>
    <x v="213"/>
    <s v="a"/>
    <n v="2021"/>
  </r>
  <r>
    <x v="3"/>
    <x v="11"/>
    <x v="5"/>
    <x v="0"/>
    <x v="0"/>
    <s v="rwd"/>
    <s v="gas"/>
    <n v="25"/>
    <x v="11"/>
    <x v="214"/>
    <s v="a"/>
    <n v="2021"/>
  </r>
  <r>
    <x v="5"/>
    <x v="11"/>
    <x v="12"/>
    <x v="1"/>
    <x v="21"/>
    <s v="rwd"/>
    <s v="gas"/>
    <n v="25"/>
    <x v="11"/>
    <x v="214"/>
    <s v="a"/>
    <n v="2021"/>
  </r>
  <r>
    <x v="3"/>
    <x v="11"/>
    <x v="5"/>
    <x v="0"/>
    <x v="0"/>
    <s v="rwd"/>
    <s v="gas"/>
    <n v="25"/>
    <x v="12"/>
    <x v="215"/>
    <s v="a"/>
    <n v="2021"/>
  </r>
  <r>
    <x v="5"/>
    <x v="11"/>
    <x v="12"/>
    <x v="1"/>
    <x v="21"/>
    <s v="rwd"/>
    <s v="gas"/>
    <n v="25"/>
    <x v="12"/>
    <x v="215"/>
    <s v="a"/>
    <n v="2021"/>
  </r>
  <r>
    <x v="3"/>
    <x v="11"/>
    <x v="12"/>
    <x v="0"/>
    <x v="0"/>
    <s v="4wd"/>
    <s v="gas"/>
    <n v="24"/>
    <x v="11"/>
    <x v="216"/>
    <s v="a"/>
    <n v="2021"/>
  </r>
  <r>
    <x v="10"/>
    <x v="11"/>
    <x v="11"/>
    <x v="1"/>
    <x v="21"/>
    <s v="4wd"/>
    <s v="gas"/>
    <n v="24"/>
    <x v="11"/>
    <x v="216"/>
    <s v="a"/>
    <n v="2021"/>
  </r>
  <r>
    <x v="3"/>
    <x v="10"/>
    <x v="5"/>
    <x v="1"/>
    <x v="9"/>
    <s v="fwd"/>
    <s v="gas"/>
    <n v="28"/>
    <x v="15"/>
    <x v="217"/>
    <s v="a"/>
    <n v="2022"/>
  </r>
  <r>
    <x v="15"/>
    <x v="0"/>
    <x v="9"/>
    <x v="0"/>
    <x v="0"/>
    <s v="awd"/>
    <s v="gas"/>
    <n v="29"/>
    <x v="5"/>
    <x v="218"/>
    <s v="a"/>
    <n v="2022"/>
  </r>
  <r>
    <x v="6"/>
    <x v="0"/>
    <x v="10"/>
    <x v="0"/>
    <x v="0"/>
    <s v="rwd"/>
    <s v="gas"/>
    <n v="32"/>
    <x v="5"/>
    <x v="219"/>
    <s v="a"/>
    <n v="2022"/>
  </r>
  <r>
    <x v="10"/>
    <x v="0"/>
    <x v="8"/>
    <x v="1"/>
    <x v="8"/>
    <s v="awd"/>
    <s v="gas"/>
    <n v="24"/>
    <x v="5"/>
    <x v="218"/>
    <s v="a"/>
    <n v="2022"/>
  </r>
  <r>
    <x v="5"/>
    <x v="0"/>
    <x v="8"/>
    <x v="1"/>
    <x v="8"/>
    <s v="rwd"/>
    <s v="gas"/>
    <n v="25"/>
    <x v="5"/>
    <x v="219"/>
    <s v="a"/>
    <n v="2022"/>
  </r>
  <r>
    <x v="3"/>
    <x v="10"/>
    <x v="5"/>
    <x v="1"/>
    <x v="9"/>
    <s v="fwd"/>
    <s v="gas"/>
    <n v="26"/>
    <x v="5"/>
    <x v="220"/>
    <s v="a"/>
    <n v="2022"/>
  </r>
  <r>
    <x v="3"/>
    <x v="1"/>
    <x v="5"/>
    <x v="1"/>
    <x v="9"/>
    <s v="fwd"/>
    <s v="gas"/>
    <n v="26"/>
    <x v="19"/>
    <x v="221"/>
    <s v="a"/>
    <n v="2022"/>
  </r>
  <r>
    <x v="1"/>
    <x v="1"/>
    <x v="0"/>
    <x v="0"/>
    <x v="0"/>
    <s v="fwd"/>
    <s v="gas"/>
    <n v="33"/>
    <x v="17"/>
    <x v="222"/>
    <s v="a"/>
    <n v="2022"/>
  </r>
  <r>
    <x v="0"/>
    <x v="1"/>
    <x v="4"/>
    <x v="0"/>
    <x v="23"/>
    <s v="fwd"/>
    <s v="gas"/>
    <n v="28"/>
    <x v="18"/>
    <x v="223"/>
    <s v="a"/>
    <n v="2022"/>
  </r>
  <r>
    <x v="1"/>
    <x v="1"/>
    <x v="2"/>
    <x v="0"/>
    <x v="23"/>
    <s v="fwd"/>
    <s v="gas"/>
    <n v="29"/>
    <x v="18"/>
    <x v="224"/>
    <s v="a"/>
    <n v="2022"/>
  </r>
  <r>
    <x v="3"/>
    <x v="1"/>
    <x v="12"/>
    <x v="1"/>
    <x v="9"/>
    <s v="awd"/>
    <s v="gas"/>
    <n v="25"/>
    <x v="19"/>
    <x v="225"/>
    <s v="a"/>
    <n v="2022"/>
  </r>
  <r>
    <x v="0"/>
    <x v="1"/>
    <x v="10"/>
    <x v="0"/>
    <x v="23"/>
    <s v="4wd"/>
    <s v="gas"/>
    <n v="26"/>
    <x v="18"/>
    <x v="226"/>
    <s v="a"/>
    <n v="2022"/>
  </r>
  <r>
    <x v="0"/>
    <x v="1"/>
    <x v="4"/>
    <x v="0"/>
    <x v="23"/>
    <s v="4wd"/>
    <s v="gas"/>
    <n v="28"/>
    <x v="18"/>
    <x v="227"/>
    <s v="a"/>
    <n v="2022"/>
  </r>
  <r>
    <x v="5"/>
    <x v="7"/>
    <x v="12"/>
    <x v="1"/>
    <x v="8"/>
    <s v="rwd"/>
    <s v="gas"/>
    <n v="27"/>
    <x v="23"/>
    <x v="155"/>
    <s v="a"/>
    <n v="2022"/>
  </r>
  <r>
    <x v="9"/>
    <x v="1"/>
    <x v="6"/>
    <x v="0"/>
    <x v="1"/>
    <s v="fwd"/>
    <s v="gas"/>
    <n v="28"/>
    <x v="5"/>
    <x v="92"/>
    <s v="a"/>
    <n v="2022"/>
  </r>
  <r>
    <x v="7"/>
    <x v="1"/>
    <x v="4"/>
    <x v="0"/>
    <x v="7"/>
    <s v="fwd"/>
    <s v="gas"/>
    <n v="30"/>
    <x v="5"/>
    <x v="92"/>
    <s v="a"/>
    <n v="2022"/>
  </r>
  <r>
    <x v="2"/>
    <x v="1"/>
    <x v="2"/>
    <x v="0"/>
    <x v="0"/>
    <s v="fwd"/>
    <s v="gas"/>
    <n v="31"/>
    <x v="18"/>
    <x v="228"/>
    <s v="a"/>
    <n v="2022"/>
  </r>
  <r>
    <x v="3"/>
    <x v="1"/>
    <x v="12"/>
    <x v="1"/>
    <x v="9"/>
    <s v="awd"/>
    <s v="gas"/>
    <n v="25"/>
    <x v="23"/>
    <x v="229"/>
    <s v="a"/>
    <n v="2022"/>
  </r>
  <r>
    <x v="2"/>
    <x v="1"/>
    <x v="4"/>
    <x v="0"/>
    <x v="0"/>
    <s v="awd"/>
    <s v="gas"/>
    <n v="29"/>
    <x v="17"/>
    <x v="230"/>
    <s v="a"/>
    <n v="2022"/>
  </r>
  <r>
    <x v="3"/>
    <x v="1"/>
    <x v="12"/>
    <x v="0"/>
    <x v="1"/>
    <s v="awd"/>
    <s v="gas"/>
    <n v="24"/>
    <x v="5"/>
    <x v="94"/>
    <s v="a"/>
    <n v="2022"/>
  </r>
  <r>
    <x v="6"/>
    <x v="1"/>
    <x v="6"/>
    <x v="0"/>
    <x v="7"/>
    <s v="awd"/>
    <s v="gas"/>
    <n v="26"/>
    <x v="5"/>
    <x v="94"/>
    <s v="a"/>
    <n v="2022"/>
  </r>
  <r>
    <x v="2"/>
    <x v="1"/>
    <x v="4"/>
    <x v="0"/>
    <x v="0"/>
    <s v="4wd"/>
    <s v="gas"/>
    <n v="30"/>
    <x v="18"/>
    <x v="231"/>
    <s v="a"/>
    <n v="2022"/>
  </r>
  <r>
    <x v="19"/>
    <x v="1"/>
    <x v="17"/>
    <x v="0"/>
    <x v="19"/>
    <s v="fwd"/>
    <s v="gas"/>
    <n v="35"/>
    <x v="17"/>
    <x v="232"/>
    <s v="a"/>
    <n v="2022"/>
  </r>
  <r>
    <x v="24"/>
    <x v="1"/>
    <x v="17"/>
    <x v="0"/>
    <x v="1"/>
    <s v="fwd"/>
    <s v="gas"/>
    <n v="35"/>
    <x v="17"/>
    <x v="232"/>
    <s v="a"/>
    <n v="2022"/>
  </r>
  <r>
    <x v="17"/>
    <x v="1"/>
    <x v="0"/>
    <x v="0"/>
    <x v="19"/>
    <s v="awd"/>
    <s v="gas"/>
    <n v="32"/>
    <x v="17"/>
    <x v="233"/>
    <s v="a"/>
    <n v="2022"/>
  </r>
  <r>
    <x v="16"/>
    <x v="1"/>
    <x v="1"/>
    <x v="0"/>
    <x v="1"/>
    <s v="awd"/>
    <s v="gas"/>
    <n v="33"/>
    <x v="17"/>
    <x v="233"/>
    <s v="a"/>
    <n v="2022"/>
  </r>
  <r>
    <x v="19"/>
    <x v="5"/>
    <x v="17"/>
    <x v="7"/>
    <x v="23"/>
    <s v="fwd"/>
    <s v="gas"/>
    <n v="38"/>
    <x v="22"/>
    <x v="167"/>
    <s v="a"/>
    <n v="2022"/>
  </r>
  <r>
    <x v="17"/>
    <x v="5"/>
    <x v="18"/>
    <x v="7"/>
    <x v="23"/>
    <s v="fwd"/>
    <s v="gas"/>
    <n v="37"/>
    <x v="22"/>
    <x v="167"/>
    <s v="m"/>
    <n v="2022"/>
  </r>
  <r>
    <x v="7"/>
    <x v="5"/>
    <x v="4"/>
    <x v="0"/>
    <x v="1"/>
    <s v="fwd"/>
    <s v="gas"/>
    <n v="33"/>
    <x v="22"/>
    <x v="168"/>
    <s v="m"/>
    <n v="2022"/>
  </r>
  <r>
    <x v="4"/>
    <x v="2"/>
    <x v="14"/>
    <x v="2"/>
    <x v="25"/>
    <s v="awd"/>
    <s v="gas"/>
    <n v="21"/>
    <x v="20"/>
    <x v="234"/>
    <s v="a"/>
    <n v="2022"/>
  </r>
  <r>
    <x v="4"/>
    <x v="2"/>
    <x v="14"/>
    <x v="2"/>
    <x v="25"/>
    <s v="awd"/>
    <s v="gas"/>
    <n v="21"/>
    <x v="20"/>
    <x v="235"/>
    <s v="a"/>
    <n v="2022"/>
  </r>
  <r>
    <x v="19"/>
    <x v="2"/>
    <x v="17"/>
    <x v="7"/>
    <x v="23"/>
    <s v="fwd"/>
    <s v="gas"/>
    <n v="38"/>
    <x v="22"/>
    <x v="204"/>
    <s v="a"/>
    <n v="2022"/>
  </r>
  <r>
    <x v="17"/>
    <x v="2"/>
    <x v="18"/>
    <x v="7"/>
    <x v="23"/>
    <s v="fwd"/>
    <s v="gas"/>
    <n v="37"/>
    <x v="22"/>
    <x v="204"/>
    <s v="m"/>
    <n v="2022"/>
  </r>
  <r>
    <x v="19"/>
    <x v="2"/>
    <x v="17"/>
    <x v="7"/>
    <x v="23"/>
    <s v="fwd"/>
    <s v="gas"/>
    <n v="38"/>
    <x v="22"/>
    <x v="205"/>
    <s v="a"/>
    <n v="2022"/>
  </r>
  <r>
    <x v="17"/>
    <x v="2"/>
    <x v="18"/>
    <x v="7"/>
    <x v="23"/>
    <s v="fwd"/>
    <s v="gas"/>
    <n v="37"/>
    <x v="22"/>
    <x v="205"/>
    <s v="m"/>
    <n v="2022"/>
  </r>
  <r>
    <x v="7"/>
    <x v="2"/>
    <x v="2"/>
    <x v="0"/>
    <x v="1"/>
    <s v="fwd"/>
    <s v="gas"/>
    <n v="33"/>
    <x v="22"/>
    <x v="206"/>
    <s v="m"/>
    <n v="2022"/>
  </r>
  <r>
    <x v="7"/>
    <x v="2"/>
    <x v="2"/>
    <x v="0"/>
    <x v="1"/>
    <s v="fwd"/>
    <s v="gas"/>
    <n v="33"/>
    <x v="22"/>
    <x v="207"/>
    <s v="m"/>
    <n v="2022"/>
  </r>
  <r>
    <x v="6"/>
    <x v="2"/>
    <x v="10"/>
    <x v="0"/>
    <x v="1"/>
    <s v="fwd"/>
    <s v="gas"/>
    <n v="31"/>
    <x v="22"/>
    <x v="236"/>
    <s v="m"/>
    <n v="2022"/>
  </r>
  <r>
    <x v="10"/>
    <x v="7"/>
    <x v="8"/>
    <x v="1"/>
    <x v="8"/>
    <s v="awd"/>
    <s v="gas"/>
    <n v="25"/>
    <x v="23"/>
    <x v="154"/>
    <s v="a"/>
    <n v="2022"/>
  </r>
  <r>
    <x v="2"/>
    <x v="0"/>
    <x v="2"/>
    <x v="0"/>
    <x v="1"/>
    <s v="awd"/>
    <s v="gas"/>
    <n v="31"/>
    <x v="20"/>
    <x v="237"/>
    <s v="a"/>
    <n v="2022"/>
  </r>
  <r>
    <x v="7"/>
    <x v="0"/>
    <x v="4"/>
    <x v="0"/>
    <x v="1"/>
    <s v="awd"/>
    <s v="gas"/>
    <n v="30"/>
    <x v="20"/>
    <x v="238"/>
    <s v="a"/>
    <n v="2022"/>
  </r>
  <r>
    <x v="4"/>
    <x v="0"/>
    <x v="14"/>
    <x v="2"/>
    <x v="25"/>
    <s v="awd"/>
    <s v="gas"/>
    <n v="21"/>
    <x v="20"/>
    <x v="239"/>
    <s v="a"/>
    <n v="2022"/>
  </r>
  <r>
    <x v="4"/>
    <x v="0"/>
    <x v="14"/>
    <x v="2"/>
    <x v="25"/>
    <s v="awd"/>
    <s v="gas"/>
    <n v="21"/>
    <x v="20"/>
    <x v="240"/>
    <s v="a"/>
    <n v="2022"/>
  </r>
  <r>
    <x v="1"/>
    <x v="0"/>
    <x v="0"/>
    <x v="7"/>
    <x v="23"/>
    <s v="fwd"/>
    <s v="gas"/>
    <n v="33"/>
    <x v="22"/>
    <x v="241"/>
    <s v="a"/>
    <n v="2022"/>
  </r>
  <r>
    <x v="7"/>
    <x v="0"/>
    <x v="4"/>
    <x v="7"/>
    <x v="23"/>
    <s v="awd"/>
    <s v="gas"/>
    <n v="30"/>
    <x v="22"/>
    <x v="242"/>
    <s v="a"/>
    <n v="2022"/>
  </r>
  <r>
    <x v="7"/>
    <x v="0"/>
    <x v="4"/>
    <x v="0"/>
    <x v="1"/>
    <s v="fwd"/>
    <s v="gas"/>
    <n v="33"/>
    <x v="22"/>
    <x v="243"/>
    <s v="m"/>
    <n v="2022"/>
  </r>
  <r>
    <x v="21"/>
    <x v="1"/>
    <x v="27"/>
    <x v="0"/>
    <x v="19"/>
    <s v="awd"/>
    <s v="gas"/>
    <n v="36"/>
    <x v="17"/>
    <x v="244"/>
    <s v="a"/>
    <n v="2022"/>
  </r>
  <r>
    <x v="29"/>
    <x v="1"/>
    <x v="28"/>
    <x v="0"/>
    <x v="19"/>
    <s v="awd"/>
    <s v="gas"/>
    <n v="38"/>
    <x v="17"/>
    <x v="245"/>
    <s v="a"/>
    <n v="2022"/>
  </r>
  <r>
    <x v="10"/>
    <x v="2"/>
    <x v="8"/>
    <x v="2"/>
    <x v="25"/>
    <s v="awd"/>
    <s v="gas"/>
    <n v="25"/>
    <x v="20"/>
    <x v="246"/>
    <s v="a"/>
    <n v="2022"/>
  </r>
  <r>
    <x v="10"/>
    <x v="2"/>
    <x v="11"/>
    <x v="2"/>
    <x v="25"/>
    <s v="awd"/>
    <s v="gas"/>
    <n v="24"/>
    <x v="20"/>
    <x v="247"/>
    <s v="a"/>
    <n v="2022"/>
  </r>
  <r>
    <x v="5"/>
    <x v="6"/>
    <x v="11"/>
    <x v="0"/>
    <x v="1"/>
    <s v="4wd"/>
    <s v="gas"/>
    <n v="21"/>
    <x v="30"/>
    <x v="248"/>
    <s v="a"/>
    <n v="2023"/>
  </r>
  <r>
    <x v="0"/>
    <x v="1"/>
    <x v="3"/>
    <x v="0"/>
    <x v="0"/>
    <s v="fwd"/>
    <s v="gas"/>
    <n v="32"/>
    <x v="5"/>
    <x v="92"/>
    <s v="a"/>
    <n v="2023"/>
  </r>
  <r>
    <x v="7"/>
    <x v="1"/>
    <x v="10"/>
    <x v="0"/>
    <x v="0"/>
    <s v="awd"/>
    <s v="gas"/>
    <n v="28"/>
    <x v="5"/>
    <x v="94"/>
    <s v="a"/>
    <n v="2023"/>
  </r>
  <r>
    <x v="3"/>
    <x v="6"/>
    <x v="12"/>
    <x v="0"/>
    <x v="1"/>
    <s v="4wd"/>
    <s v="gas"/>
    <n v="22"/>
    <x v="30"/>
    <x v="249"/>
    <s v="a"/>
    <n v="2023"/>
  </r>
  <r>
    <x v="3"/>
    <x v="6"/>
    <x v="5"/>
    <x v="1"/>
    <x v="6"/>
    <s v="4wd"/>
    <s v="gas"/>
    <n v="25"/>
    <x v="30"/>
    <x v="250"/>
    <s v="a"/>
    <n v="2023"/>
  </r>
  <r>
    <x v="10"/>
    <x v="6"/>
    <x v="7"/>
    <x v="0"/>
    <x v="1"/>
    <s v="4wd"/>
    <s v="gas"/>
    <n v="20"/>
    <x v="30"/>
    <x v="251"/>
    <s v="a"/>
    <n v="2023"/>
  </r>
  <r>
    <x v="5"/>
    <x v="6"/>
    <x v="8"/>
    <x v="1"/>
    <x v="6"/>
    <s v="4wd"/>
    <s v="gas"/>
    <n v="23"/>
    <x v="30"/>
    <x v="252"/>
    <s v="a"/>
    <n v="2023"/>
  </r>
  <r>
    <x v="5"/>
    <x v="6"/>
    <x v="8"/>
    <x v="1"/>
    <x v="6"/>
    <s v="4wd"/>
    <s v="gas"/>
    <n v="23"/>
    <x v="30"/>
    <x v="253"/>
    <s v="a"/>
    <n v="2023"/>
  </r>
  <r>
    <x v="4"/>
    <x v="6"/>
    <x v="13"/>
    <x v="2"/>
    <x v="4"/>
    <s v="4wd"/>
    <s v="gas"/>
    <n v="19"/>
    <x v="30"/>
    <x v="248"/>
    <s v="a"/>
    <n v="2023"/>
  </r>
  <r>
    <x v="12"/>
    <x v="6"/>
    <x v="13"/>
    <x v="2"/>
    <x v="4"/>
    <s v="4wd"/>
    <s v="gas"/>
    <n v="19"/>
    <x v="30"/>
    <x v="251"/>
    <s v="a"/>
    <n v="2023"/>
  </r>
  <r>
    <x v="9"/>
    <x v="1"/>
    <x v="5"/>
    <x v="0"/>
    <x v="1"/>
    <s v="awd"/>
    <s v="gas"/>
    <n v="27"/>
    <x v="30"/>
    <x v="254"/>
    <s v="a"/>
    <n v="2023"/>
  </r>
  <r>
    <x v="3"/>
    <x v="1"/>
    <x v="8"/>
    <x v="0"/>
    <x v="1"/>
    <s v="awd"/>
    <s v="gas"/>
    <n v="23"/>
    <x v="30"/>
    <x v="255"/>
    <s v="a"/>
    <n v="2023"/>
  </r>
  <r>
    <x v="8"/>
    <x v="4"/>
    <x v="7"/>
    <x v="2"/>
    <x v="4"/>
    <s v="awd"/>
    <s v="gas"/>
    <n v="24"/>
    <x v="14"/>
    <x v="69"/>
    <s v="a"/>
    <n v="2023"/>
  </r>
  <r>
    <x v="8"/>
    <x v="4"/>
    <x v="7"/>
    <x v="2"/>
    <x v="4"/>
    <s v="awd"/>
    <s v="gas"/>
    <n v="24"/>
    <x v="14"/>
    <x v="70"/>
    <s v="a"/>
    <n v="2023"/>
  </r>
  <r>
    <x v="10"/>
    <x v="4"/>
    <x v="11"/>
    <x v="2"/>
    <x v="4"/>
    <s v="rwd"/>
    <s v="gas"/>
    <n v="24"/>
    <x v="14"/>
    <x v="256"/>
    <s v="a"/>
    <n v="2023"/>
  </r>
  <r>
    <x v="10"/>
    <x v="4"/>
    <x v="11"/>
    <x v="2"/>
    <x v="4"/>
    <s v="rwd"/>
    <s v="gas"/>
    <n v="24"/>
    <x v="14"/>
    <x v="257"/>
    <s v="a"/>
    <n v="2023"/>
  </r>
  <r>
    <x v="8"/>
    <x v="4"/>
    <x v="7"/>
    <x v="2"/>
    <x v="4"/>
    <s v="awd"/>
    <s v="gas"/>
    <n v="24"/>
    <x v="14"/>
    <x v="258"/>
    <s v="a"/>
    <n v="2023"/>
  </r>
  <r>
    <x v="8"/>
    <x v="4"/>
    <x v="7"/>
    <x v="2"/>
    <x v="4"/>
    <s v="awd"/>
    <s v="gas"/>
    <n v="24"/>
    <x v="14"/>
    <x v="259"/>
    <s v="a"/>
    <n v="2023"/>
  </r>
  <r>
    <x v="10"/>
    <x v="7"/>
    <x v="8"/>
    <x v="1"/>
    <x v="8"/>
    <s v="awd"/>
    <s v="gas"/>
    <n v="26"/>
    <x v="23"/>
    <x v="154"/>
    <s v="a"/>
    <n v="2023"/>
  </r>
  <r>
    <x v="5"/>
    <x v="7"/>
    <x v="12"/>
    <x v="1"/>
    <x v="8"/>
    <s v="rwd"/>
    <s v="gas"/>
    <n v="27"/>
    <x v="23"/>
    <x v="155"/>
    <s v="a"/>
    <n v="2023"/>
  </r>
  <r>
    <x v="15"/>
    <x v="7"/>
    <x v="10"/>
    <x v="0"/>
    <x v="1"/>
    <s v="rwd"/>
    <s v="gas"/>
    <n v="31"/>
    <x v="23"/>
    <x v="155"/>
    <s v="a"/>
    <n v="2023"/>
  </r>
  <r>
    <x v="15"/>
    <x v="1"/>
    <x v="6"/>
    <x v="0"/>
    <x v="1"/>
    <s v="awd"/>
    <s v="gas"/>
    <n v="26"/>
    <x v="30"/>
    <x v="260"/>
    <s v="a"/>
    <n v="2023"/>
  </r>
  <r>
    <x v="9"/>
    <x v="7"/>
    <x v="6"/>
    <x v="0"/>
    <x v="1"/>
    <s v="awd"/>
    <s v="gas"/>
    <n v="28"/>
    <x v="23"/>
    <x v="154"/>
    <s v="a"/>
    <n v="2023"/>
  </r>
  <r>
    <x v="3"/>
    <x v="10"/>
    <x v="5"/>
    <x v="1"/>
    <x v="9"/>
    <s v="fwd"/>
    <s v="gas"/>
    <n v="28"/>
    <x v="15"/>
    <x v="217"/>
    <s v="a"/>
    <n v="2023"/>
  </r>
  <r>
    <x v="3"/>
    <x v="1"/>
    <x v="5"/>
    <x v="0"/>
    <x v="0"/>
    <s v="awd"/>
    <s v="gas"/>
    <n v="26"/>
    <x v="23"/>
    <x v="229"/>
    <s v="a"/>
    <n v="2023"/>
  </r>
  <r>
    <x v="6"/>
    <x v="1"/>
    <x v="9"/>
    <x v="0"/>
    <x v="0"/>
    <s v="awd"/>
    <s v="gas"/>
    <n v="28"/>
    <x v="23"/>
    <x v="229"/>
    <s v="a"/>
    <n v="2023"/>
  </r>
  <r>
    <x v="3"/>
    <x v="1"/>
    <x v="12"/>
    <x v="1"/>
    <x v="9"/>
    <s v="awd"/>
    <s v="gas"/>
    <n v="24"/>
    <x v="23"/>
    <x v="229"/>
    <s v="a"/>
    <n v="2023"/>
  </r>
  <r>
    <x v="29"/>
    <x v="1"/>
    <x v="28"/>
    <x v="0"/>
    <x v="19"/>
    <s v="awd"/>
    <s v="gas"/>
    <n v="38"/>
    <x v="5"/>
    <x v="261"/>
    <s v="a"/>
    <n v="2023"/>
  </r>
  <r>
    <x v="30"/>
    <x v="1"/>
    <x v="29"/>
    <x v="0"/>
    <x v="19"/>
    <s v="fwd"/>
    <s v="gas"/>
    <n v="44"/>
    <x v="5"/>
    <x v="262"/>
    <s v="a"/>
    <n v="2023"/>
  </r>
  <r>
    <x v="9"/>
    <x v="6"/>
    <x v="5"/>
    <x v="0"/>
    <x v="0"/>
    <s v="awd"/>
    <s v="gas"/>
    <n v="24"/>
    <x v="23"/>
    <x v="263"/>
    <s v="a"/>
    <n v="2023"/>
  </r>
  <r>
    <x v="5"/>
    <x v="6"/>
    <x v="8"/>
    <x v="1"/>
    <x v="9"/>
    <s v="awd"/>
    <s v="gas"/>
    <n v="23"/>
    <x v="23"/>
    <x v="263"/>
    <s v="a"/>
    <n v="2023"/>
  </r>
  <r>
    <x v="19"/>
    <x v="5"/>
    <x v="17"/>
    <x v="7"/>
    <x v="23"/>
    <s v="fwd"/>
    <s v="gas"/>
    <n v="38"/>
    <x v="22"/>
    <x v="167"/>
    <s v="a"/>
    <n v="2023"/>
  </r>
  <r>
    <x v="17"/>
    <x v="5"/>
    <x v="18"/>
    <x v="7"/>
    <x v="23"/>
    <s v="fwd"/>
    <s v="gas"/>
    <n v="37"/>
    <x v="22"/>
    <x v="167"/>
    <s v="m"/>
    <n v="2023"/>
  </r>
  <r>
    <x v="10"/>
    <x v="2"/>
    <x v="11"/>
    <x v="2"/>
    <x v="25"/>
    <s v="awd"/>
    <s v="gas"/>
    <n v="24"/>
    <x v="20"/>
    <x v="246"/>
    <s v="a"/>
    <n v="2023"/>
  </r>
  <r>
    <x v="10"/>
    <x v="2"/>
    <x v="11"/>
    <x v="2"/>
    <x v="25"/>
    <s v="awd"/>
    <s v="gas"/>
    <n v="24"/>
    <x v="20"/>
    <x v="247"/>
    <s v="a"/>
    <n v="2023"/>
  </r>
  <r>
    <x v="4"/>
    <x v="2"/>
    <x v="14"/>
    <x v="2"/>
    <x v="25"/>
    <s v="awd"/>
    <s v="gas"/>
    <n v="22"/>
    <x v="20"/>
    <x v="234"/>
    <s v="a"/>
    <n v="2023"/>
  </r>
  <r>
    <x v="4"/>
    <x v="2"/>
    <x v="14"/>
    <x v="2"/>
    <x v="25"/>
    <s v="awd"/>
    <s v="gas"/>
    <n v="22"/>
    <x v="20"/>
    <x v="235"/>
    <s v="a"/>
    <n v="2023"/>
  </r>
  <r>
    <x v="19"/>
    <x v="2"/>
    <x v="17"/>
    <x v="7"/>
    <x v="23"/>
    <s v="fwd"/>
    <s v="gas"/>
    <n v="38"/>
    <x v="22"/>
    <x v="204"/>
    <s v="a"/>
    <n v="2023"/>
  </r>
  <r>
    <x v="17"/>
    <x v="2"/>
    <x v="18"/>
    <x v="7"/>
    <x v="23"/>
    <s v="fwd"/>
    <s v="gas"/>
    <n v="37"/>
    <x v="22"/>
    <x v="204"/>
    <s v="m"/>
    <n v="2023"/>
  </r>
  <r>
    <x v="19"/>
    <x v="2"/>
    <x v="17"/>
    <x v="7"/>
    <x v="23"/>
    <s v="fwd"/>
    <s v="gas"/>
    <n v="38"/>
    <x v="22"/>
    <x v="205"/>
    <s v="a"/>
    <n v="2023"/>
  </r>
  <r>
    <x v="17"/>
    <x v="2"/>
    <x v="18"/>
    <x v="7"/>
    <x v="23"/>
    <s v="fwd"/>
    <s v="gas"/>
    <n v="37"/>
    <x v="22"/>
    <x v="205"/>
    <s v="m"/>
    <n v="2023"/>
  </r>
  <r>
    <x v="2"/>
    <x v="0"/>
    <x v="2"/>
    <x v="0"/>
    <x v="1"/>
    <s v="awd"/>
    <s v="gas"/>
    <n v="31"/>
    <x v="20"/>
    <x v="238"/>
    <s v="a"/>
    <n v="2023"/>
  </r>
  <r>
    <x v="10"/>
    <x v="0"/>
    <x v="11"/>
    <x v="2"/>
    <x v="25"/>
    <s v="awd"/>
    <s v="gas"/>
    <n v="24"/>
    <x v="20"/>
    <x v="264"/>
    <s v="a"/>
    <n v="2023"/>
  </r>
  <r>
    <x v="10"/>
    <x v="0"/>
    <x v="11"/>
    <x v="2"/>
    <x v="25"/>
    <s v="awd"/>
    <s v="gas"/>
    <n v="24"/>
    <x v="20"/>
    <x v="265"/>
    <s v="a"/>
    <n v="2023"/>
  </r>
  <r>
    <x v="4"/>
    <x v="0"/>
    <x v="14"/>
    <x v="2"/>
    <x v="25"/>
    <s v="awd"/>
    <s v="gas"/>
    <n v="22"/>
    <x v="20"/>
    <x v="240"/>
    <s v="a"/>
    <n v="2023"/>
  </r>
  <r>
    <x v="15"/>
    <x v="0"/>
    <x v="9"/>
    <x v="0"/>
    <x v="0"/>
    <s v="awd"/>
    <s v="gas"/>
    <n v="29"/>
    <x v="5"/>
    <x v="218"/>
    <s v="a"/>
    <n v="2023"/>
  </r>
  <r>
    <x v="6"/>
    <x v="0"/>
    <x v="10"/>
    <x v="0"/>
    <x v="0"/>
    <s v="rwd"/>
    <s v="gas"/>
    <n v="32"/>
    <x v="5"/>
    <x v="219"/>
    <s v="a"/>
    <n v="2023"/>
  </r>
  <r>
    <x v="10"/>
    <x v="0"/>
    <x v="8"/>
    <x v="1"/>
    <x v="8"/>
    <s v="awd"/>
    <s v="gas"/>
    <n v="24"/>
    <x v="5"/>
    <x v="218"/>
    <s v="a"/>
    <n v="2023"/>
  </r>
  <r>
    <x v="5"/>
    <x v="0"/>
    <x v="8"/>
    <x v="1"/>
    <x v="8"/>
    <s v="rwd"/>
    <s v="gas"/>
    <n v="25"/>
    <x v="5"/>
    <x v="219"/>
    <s v="a"/>
    <n v="2023"/>
  </r>
  <r>
    <x v="1"/>
    <x v="0"/>
    <x v="3"/>
    <x v="7"/>
    <x v="23"/>
    <s v="fwd"/>
    <s v="gas"/>
    <n v="32"/>
    <x v="22"/>
    <x v="241"/>
    <s v="a"/>
    <n v="2023"/>
  </r>
  <r>
    <x v="8"/>
    <x v="4"/>
    <x v="7"/>
    <x v="2"/>
    <x v="4"/>
    <s v="awd"/>
    <s v="gas"/>
    <n v="24"/>
    <x v="14"/>
    <x v="69"/>
    <s v="a"/>
    <n v="2024"/>
  </r>
  <r>
    <x v="8"/>
    <x v="4"/>
    <x v="7"/>
    <x v="2"/>
    <x v="4"/>
    <s v="awd"/>
    <s v="gas"/>
    <n v="24"/>
    <x v="14"/>
    <x v="70"/>
    <s v="a"/>
    <n v="2024"/>
  </r>
  <r>
    <x v="10"/>
    <x v="4"/>
    <x v="11"/>
    <x v="2"/>
    <x v="4"/>
    <s v="rwd"/>
    <s v="gas"/>
    <n v="24"/>
    <x v="14"/>
    <x v="256"/>
    <s v="a"/>
    <n v="2024"/>
  </r>
  <r>
    <x v="10"/>
    <x v="4"/>
    <x v="11"/>
    <x v="2"/>
    <x v="4"/>
    <s v="rwd"/>
    <s v="gas"/>
    <n v="24"/>
    <x v="14"/>
    <x v="257"/>
    <s v="a"/>
    <n v="2024"/>
  </r>
  <r>
    <x v="8"/>
    <x v="4"/>
    <x v="7"/>
    <x v="2"/>
    <x v="4"/>
    <s v="awd"/>
    <s v="gas"/>
    <n v="24"/>
    <x v="14"/>
    <x v="258"/>
    <s v="a"/>
    <n v="2024"/>
  </r>
  <r>
    <x v="8"/>
    <x v="4"/>
    <x v="7"/>
    <x v="2"/>
    <x v="4"/>
    <s v="awd"/>
    <s v="gas"/>
    <n v="24"/>
    <x v="14"/>
    <x v="259"/>
    <s v="a"/>
    <n v="2024"/>
  </r>
  <r>
    <x v="16"/>
    <x v="8"/>
    <x v="1"/>
    <x v="7"/>
    <x v="22"/>
    <s v="fwd"/>
    <s v="gas"/>
    <n v="32"/>
    <x v="11"/>
    <x v="266"/>
    <s v="a"/>
    <n v="2024"/>
  </r>
  <r>
    <x v="9"/>
    <x v="1"/>
    <x v="6"/>
    <x v="0"/>
    <x v="1"/>
    <s v="awd"/>
    <s v="gas"/>
    <n v="26"/>
    <x v="14"/>
    <x v="188"/>
    <s v="a"/>
    <n v="2024"/>
  </r>
  <r>
    <x v="9"/>
    <x v="1"/>
    <x v="5"/>
    <x v="0"/>
    <x v="1"/>
    <s v="awd"/>
    <s v="gas"/>
    <n v="27"/>
    <x v="30"/>
    <x v="254"/>
    <s v="a"/>
    <n v="2024"/>
  </r>
  <r>
    <x v="3"/>
    <x v="1"/>
    <x v="8"/>
    <x v="0"/>
    <x v="1"/>
    <s v="awd"/>
    <s v="gas"/>
    <n v="23"/>
    <x v="30"/>
    <x v="255"/>
    <s v="a"/>
    <n v="2024"/>
  </r>
  <r>
    <x v="16"/>
    <x v="1"/>
    <x v="18"/>
    <x v="0"/>
    <x v="1"/>
    <s v="fwd"/>
    <s v="gas"/>
    <n v="34"/>
    <x v="5"/>
    <x v="197"/>
    <s v="a"/>
    <n v="2024"/>
  </r>
  <r>
    <x v="0"/>
    <x v="1"/>
    <x v="4"/>
    <x v="0"/>
    <x v="19"/>
    <s v="awd"/>
    <s v="gas"/>
    <n v="27"/>
    <x v="5"/>
    <x v="198"/>
    <s v="a"/>
    <n v="2024"/>
  </r>
  <r>
    <x v="17"/>
    <x v="1"/>
    <x v="0"/>
    <x v="0"/>
    <x v="1"/>
    <s v="awd"/>
    <s v="gas"/>
    <n v="31"/>
    <x v="5"/>
    <x v="198"/>
    <s v="a"/>
    <n v="2024"/>
  </r>
  <r>
    <x v="19"/>
    <x v="5"/>
    <x v="17"/>
    <x v="7"/>
    <x v="23"/>
    <s v="fwd"/>
    <s v="gas"/>
    <n v="38"/>
    <x v="22"/>
    <x v="167"/>
    <s v="a"/>
    <n v="2024"/>
  </r>
  <r>
    <x v="17"/>
    <x v="5"/>
    <x v="18"/>
    <x v="7"/>
    <x v="23"/>
    <s v="fwd"/>
    <s v="gas"/>
    <n v="38"/>
    <x v="22"/>
    <x v="167"/>
    <s v="m"/>
    <n v="2024"/>
  </r>
  <r>
    <x v="17"/>
    <x v="5"/>
    <x v="1"/>
    <x v="0"/>
    <x v="1"/>
    <s v="fwd"/>
    <s v="gas"/>
    <n v="36"/>
    <x v="22"/>
    <x v="168"/>
    <s v="a"/>
    <n v="2024"/>
  </r>
  <r>
    <x v="7"/>
    <x v="5"/>
    <x v="2"/>
    <x v="0"/>
    <x v="1"/>
    <s v="fwd"/>
    <s v="gas"/>
    <n v="33"/>
    <x v="22"/>
    <x v="168"/>
    <s v="m"/>
    <n v="2024"/>
  </r>
  <r>
    <x v="0"/>
    <x v="5"/>
    <x v="3"/>
    <x v="0"/>
    <x v="1"/>
    <s v="fwd"/>
    <s v="gas"/>
    <n v="33"/>
    <x v="22"/>
    <x v="106"/>
    <s v="a"/>
    <n v="2024"/>
  </r>
  <r>
    <x v="0"/>
    <x v="2"/>
    <x v="3"/>
    <x v="0"/>
    <x v="1"/>
    <s v="rwd"/>
    <s v="gas"/>
    <n v="34"/>
    <x v="20"/>
    <x v="131"/>
    <s v="a"/>
    <n v="2024"/>
  </r>
  <r>
    <x v="7"/>
    <x v="2"/>
    <x v="2"/>
    <x v="0"/>
    <x v="1"/>
    <s v="awd"/>
    <s v="gas"/>
    <n v="33"/>
    <x v="20"/>
    <x v="132"/>
    <s v="a"/>
    <n v="2024"/>
  </r>
  <r>
    <x v="0"/>
    <x v="2"/>
    <x v="3"/>
    <x v="0"/>
    <x v="1"/>
    <s v="rwd"/>
    <s v="gas"/>
    <n v="34"/>
    <x v="20"/>
    <x v="121"/>
    <s v="a"/>
    <n v="2024"/>
  </r>
  <r>
    <x v="7"/>
    <x v="2"/>
    <x v="2"/>
    <x v="0"/>
    <x v="1"/>
    <s v="awd"/>
    <s v="gas"/>
    <n v="33"/>
    <x v="20"/>
    <x v="122"/>
    <s v="a"/>
    <n v="2024"/>
  </r>
  <r>
    <x v="8"/>
    <x v="2"/>
    <x v="11"/>
    <x v="1"/>
    <x v="6"/>
    <s v="rwd"/>
    <s v="gas"/>
    <n v="23"/>
    <x v="20"/>
    <x v="139"/>
    <s v="m"/>
    <n v="2024"/>
  </r>
  <r>
    <x v="8"/>
    <x v="2"/>
    <x v="11"/>
    <x v="1"/>
    <x v="6"/>
    <s v="rwd"/>
    <s v="gas"/>
    <n v="23"/>
    <x v="20"/>
    <x v="267"/>
    <s v="a"/>
    <n v="2024"/>
  </r>
  <r>
    <x v="8"/>
    <x v="2"/>
    <x v="7"/>
    <x v="1"/>
    <x v="6"/>
    <s v="awd"/>
    <s v="gas"/>
    <n v="22"/>
    <x v="20"/>
    <x v="268"/>
    <s v="a"/>
    <n v="2024"/>
  </r>
  <r>
    <x v="8"/>
    <x v="2"/>
    <x v="7"/>
    <x v="1"/>
    <x v="6"/>
    <s v="awd"/>
    <s v="gas"/>
    <n v="23"/>
    <x v="20"/>
    <x v="269"/>
    <s v="a"/>
    <n v="2024"/>
  </r>
  <r>
    <x v="15"/>
    <x v="2"/>
    <x v="9"/>
    <x v="1"/>
    <x v="6"/>
    <s v="rwd"/>
    <s v="gas"/>
    <n v="29"/>
    <x v="20"/>
    <x v="270"/>
    <s v="a"/>
    <n v="2024"/>
  </r>
  <r>
    <x v="15"/>
    <x v="2"/>
    <x v="9"/>
    <x v="1"/>
    <x v="6"/>
    <s v="awd"/>
    <s v="gas"/>
    <n v="29"/>
    <x v="20"/>
    <x v="271"/>
    <s v="a"/>
    <n v="2024"/>
  </r>
  <r>
    <x v="15"/>
    <x v="2"/>
    <x v="9"/>
    <x v="1"/>
    <x v="6"/>
    <s v="rwd"/>
    <s v="gas"/>
    <n v="29"/>
    <x v="20"/>
    <x v="272"/>
    <s v="a"/>
    <n v="2024"/>
  </r>
  <r>
    <x v="15"/>
    <x v="2"/>
    <x v="9"/>
    <x v="1"/>
    <x v="6"/>
    <s v="awd"/>
    <s v="gas"/>
    <n v="29"/>
    <x v="20"/>
    <x v="273"/>
    <s v="a"/>
    <n v="2024"/>
  </r>
  <r>
    <x v="10"/>
    <x v="2"/>
    <x v="11"/>
    <x v="2"/>
    <x v="25"/>
    <s v="awd"/>
    <s v="gas"/>
    <n v="24"/>
    <x v="20"/>
    <x v="246"/>
    <s v="a"/>
    <n v="2024"/>
  </r>
  <r>
    <x v="10"/>
    <x v="2"/>
    <x v="11"/>
    <x v="2"/>
    <x v="25"/>
    <s v="awd"/>
    <s v="gas"/>
    <n v="24"/>
    <x v="20"/>
    <x v="247"/>
    <s v="a"/>
    <n v="2024"/>
  </r>
  <r>
    <x v="4"/>
    <x v="2"/>
    <x v="14"/>
    <x v="2"/>
    <x v="25"/>
    <s v="awd"/>
    <s v="gas"/>
    <n v="22"/>
    <x v="20"/>
    <x v="234"/>
    <s v="a"/>
    <n v="2024"/>
  </r>
  <r>
    <x v="4"/>
    <x v="2"/>
    <x v="14"/>
    <x v="2"/>
    <x v="25"/>
    <s v="awd"/>
    <s v="gas"/>
    <n v="22"/>
    <x v="20"/>
    <x v="235"/>
    <s v="a"/>
    <n v="2024"/>
  </r>
  <r>
    <x v="19"/>
    <x v="2"/>
    <x v="17"/>
    <x v="7"/>
    <x v="23"/>
    <s v="fwd"/>
    <s v="gas"/>
    <n v="38"/>
    <x v="22"/>
    <x v="204"/>
    <s v="a"/>
    <n v="2024"/>
  </r>
  <r>
    <x v="17"/>
    <x v="2"/>
    <x v="18"/>
    <x v="7"/>
    <x v="23"/>
    <s v="fwd"/>
    <s v="gas"/>
    <n v="38"/>
    <x v="22"/>
    <x v="204"/>
    <s v="m"/>
    <n v="2024"/>
  </r>
  <r>
    <x v="19"/>
    <x v="2"/>
    <x v="17"/>
    <x v="7"/>
    <x v="23"/>
    <s v="fwd"/>
    <s v="gas"/>
    <n v="38"/>
    <x v="22"/>
    <x v="205"/>
    <s v="a"/>
    <n v="2024"/>
  </r>
  <r>
    <x v="17"/>
    <x v="2"/>
    <x v="18"/>
    <x v="7"/>
    <x v="23"/>
    <s v="fwd"/>
    <s v="gas"/>
    <n v="38"/>
    <x v="22"/>
    <x v="205"/>
    <s v="m"/>
    <n v="2024"/>
  </r>
  <r>
    <x v="16"/>
    <x v="2"/>
    <x v="18"/>
    <x v="0"/>
    <x v="1"/>
    <s v="fwd"/>
    <s v="gas"/>
    <n v="38"/>
    <x v="22"/>
    <x v="206"/>
    <s v="a"/>
    <n v="2024"/>
  </r>
  <r>
    <x v="7"/>
    <x v="2"/>
    <x v="2"/>
    <x v="0"/>
    <x v="1"/>
    <s v="fwd"/>
    <s v="gas"/>
    <n v="33"/>
    <x v="22"/>
    <x v="206"/>
    <s v="m"/>
    <n v="2024"/>
  </r>
  <r>
    <x v="16"/>
    <x v="2"/>
    <x v="18"/>
    <x v="0"/>
    <x v="1"/>
    <s v="fwd"/>
    <s v="gas"/>
    <n v="38"/>
    <x v="22"/>
    <x v="207"/>
    <s v="a"/>
    <n v="2024"/>
  </r>
  <r>
    <x v="7"/>
    <x v="2"/>
    <x v="2"/>
    <x v="0"/>
    <x v="1"/>
    <s v="fwd"/>
    <s v="gas"/>
    <n v="33"/>
    <x v="22"/>
    <x v="207"/>
    <s v="m"/>
    <n v="2024"/>
  </r>
  <r>
    <x v="1"/>
    <x v="2"/>
    <x v="0"/>
    <x v="0"/>
    <x v="1"/>
    <s v="fwd"/>
    <s v="gas"/>
    <n v="35"/>
    <x v="22"/>
    <x v="236"/>
    <s v="a"/>
    <n v="2024"/>
  </r>
  <r>
    <x v="6"/>
    <x v="2"/>
    <x v="4"/>
    <x v="0"/>
    <x v="1"/>
    <s v="fwd"/>
    <s v="gas"/>
    <n v="32"/>
    <x v="22"/>
    <x v="236"/>
    <s v="m"/>
    <n v="2024"/>
  </r>
  <r>
    <x v="0"/>
    <x v="7"/>
    <x v="3"/>
    <x v="0"/>
    <x v="1"/>
    <s v="rwd"/>
    <s v="gas"/>
    <n v="34"/>
    <x v="20"/>
    <x v="133"/>
    <s v="a"/>
    <n v="2024"/>
  </r>
  <r>
    <x v="7"/>
    <x v="7"/>
    <x v="2"/>
    <x v="0"/>
    <x v="1"/>
    <s v="awd"/>
    <s v="gas"/>
    <n v="33"/>
    <x v="20"/>
    <x v="134"/>
    <s v="a"/>
    <n v="2024"/>
  </r>
  <r>
    <x v="15"/>
    <x v="0"/>
    <x v="9"/>
    <x v="1"/>
    <x v="6"/>
    <s v="rwd"/>
    <s v="gas"/>
    <n v="29"/>
    <x v="20"/>
    <x v="274"/>
    <s v="a"/>
    <n v="2024"/>
  </r>
  <r>
    <x v="15"/>
    <x v="0"/>
    <x v="9"/>
    <x v="1"/>
    <x v="6"/>
    <s v="awd"/>
    <s v="gas"/>
    <n v="29"/>
    <x v="20"/>
    <x v="275"/>
    <s v="a"/>
    <n v="2024"/>
  </r>
  <r>
    <x v="10"/>
    <x v="0"/>
    <x v="11"/>
    <x v="2"/>
    <x v="25"/>
    <s v="awd"/>
    <s v="gas"/>
    <n v="24"/>
    <x v="20"/>
    <x v="264"/>
    <s v="a"/>
    <n v="2024"/>
  </r>
  <r>
    <x v="10"/>
    <x v="0"/>
    <x v="11"/>
    <x v="2"/>
    <x v="25"/>
    <s v="awd"/>
    <s v="gas"/>
    <n v="24"/>
    <x v="20"/>
    <x v="265"/>
    <s v="a"/>
    <n v="20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
  <r>
    <n v="25"/>
    <s v="midsize car"/>
    <n v="29"/>
    <n v="4"/>
    <n v="2.5"/>
    <s v="fwd"/>
    <s v="gas"/>
    <n v="36"/>
    <x v="0"/>
    <x v="0"/>
    <x v="0"/>
    <n v="2014"/>
  </r>
  <r>
    <n v="26"/>
    <s v="midsize car"/>
    <n v="30"/>
    <n v="4"/>
    <n v="2.5"/>
    <s v="fwd"/>
    <s v="gas"/>
    <n v="37"/>
    <x v="0"/>
    <x v="0"/>
    <x v="1"/>
    <n v="2014"/>
  </r>
  <r>
    <n v="25"/>
    <s v="small sport utility vehicle"/>
    <n v="27"/>
    <n v="4"/>
    <n v="2.5"/>
    <s v="fwd"/>
    <s v="gas"/>
    <n v="31"/>
    <x v="0"/>
    <x v="1"/>
    <x v="1"/>
    <n v="2014"/>
  </r>
  <r>
    <n v="26"/>
    <s v="small sport utility vehicle"/>
    <n v="29"/>
    <n v="4"/>
    <n v="2"/>
    <s v="fwd"/>
    <s v="gas"/>
    <n v="34"/>
    <x v="0"/>
    <x v="1"/>
    <x v="0"/>
    <n v="2014"/>
  </r>
  <r>
    <n v="26"/>
    <s v="small sport utility vehicle"/>
    <n v="28"/>
    <n v="4"/>
    <n v="2"/>
    <s v="fwd"/>
    <s v="gas"/>
    <n v="32"/>
    <x v="0"/>
    <x v="1"/>
    <x v="1"/>
    <n v="2014"/>
  </r>
  <r>
    <n v="24"/>
    <s v="small sport utility vehicle"/>
    <n v="26"/>
    <n v="4"/>
    <n v="2.5"/>
    <s v="4wd"/>
    <s v="gas"/>
    <n v="29"/>
    <x v="0"/>
    <x v="2"/>
    <x v="1"/>
    <n v="2014"/>
  </r>
  <r>
    <n v="25"/>
    <s v="small sport utility vehicle"/>
    <n v="27"/>
    <n v="4"/>
    <n v="2"/>
    <s v="4wd"/>
    <s v="gas"/>
    <n v="30"/>
    <x v="0"/>
    <x v="2"/>
    <x v="1"/>
    <n v="2014"/>
  </r>
  <r>
    <n v="19"/>
    <s v="subcompact car"/>
    <n v="22"/>
    <n v="6"/>
    <n v="3.7"/>
    <s v="rwd"/>
    <s v="gas"/>
    <n v="29"/>
    <x v="1"/>
    <x v="3"/>
    <x v="0"/>
    <n v="2014"/>
  </r>
  <r>
    <n v="19"/>
    <s v="subcompact car"/>
    <n v="23"/>
    <n v="6"/>
    <n v="3.7"/>
    <s v="rwd"/>
    <s v="gas"/>
    <n v="30"/>
    <x v="1"/>
    <x v="3"/>
    <x v="1"/>
    <n v="2014"/>
  </r>
  <r>
    <n v="15"/>
    <s v="subcompact car"/>
    <n v="18"/>
    <n v="8"/>
    <n v="5.8"/>
    <s v="rwd"/>
    <s v="gas"/>
    <n v="24"/>
    <x v="1"/>
    <x v="3"/>
    <x v="0"/>
    <n v="2014"/>
  </r>
  <r>
    <n v="18"/>
    <s v="subcompact car"/>
    <n v="20"/>
    <n v="8"/>
    <n v="5"/>
    <s v="rwd"/>
    <s v="gas"/>
    <n v="25"/>
    <x v="1"/>
    <x v="3"/>
    <x v="1"/>
    <n v="2014"/>
  </r>
  <r>
    <n v="22"/>
    <s v="small sport utility vehicle"/>
    <n v="24"/>
    <n v="4"/>
    <n v="2.5"/>
    <s v="awd"/>
    <s v="gas"/>
    <n v="28"/>
    <x v="2"/>
    <x v="4"/>
    <x v="0"/>
    <n v="2014"/>
  </r>
  <r>
    <n v="24"/>
    <s v="small sport utility vehicle"/>
    <n v="27"/>
    <n v="4"/>
    <n v="2.5"/>
    <s v="awd"/>
    <s v="gas"/>
    <n v="31"/>
    <x v="2"/>
    <x v="4"/>
    <x v="1"/>
    <n v="2014"/>
  </r>
  <r>
    <n v="23"/>
    <s v="small sport utility vehicle"/>
    <n v="25"/>
    <n v="4"/>
    <n v="2"/>
    <s v="awd"/>
    <s v="gas"/>
    <n v="27"/>
    <x v="2"/>
    <x v="4"/>
    <x v="1"/>
    <n v="2014"/>
  </r>
  <r>
    <n v="19"/>
    <s v="subcompact car"/>
    <n v="23"/>
    <n v="6"/>
    <n v="3.7"/>
    <s v="rwd"/>
    <s v="gas"/>
    <n v="29"/>
    <x v="1"/>
    <x v="5"/>
    <x v="1"/>
    <n v="2014"/>
  </r>
  <r>
    <n v="16"/>
    <s v="subcompact car"/>
    <n v="19"/>
    <n v="8"/>
    <n v="5"/>
    <s v="rwd"/>
    <s v="gas"/>
    <n v="25"/>
    <x v="1"/>
    <x v="3"/>
    <x v="0"/>
    <n v="2014"/>
  </r>
  <r>
    <n v="16"/>
    <s v="subcompact car"/>
    <n v="19"/>
    <n v="6"/>
    <n v="3.8"/>
    <s v="awd"/>
    <s v="gas"/>
    <n v="23"/>
    <x v="3"/>
    <x v="6"/>
    <x v="1"/>
    <n v="2014"/>
  </r>
  <r>
    <n v="24"/>
    <s v="large car"/>
    <n v="28"/>
    <n v="6"/>
    <n v="3"/>
    <s v="awd"/>
    <s v="diesel"/>
    <n v="36"/>
    <x v="4"/>
    <x v="7"/>
    <x v="1"/>
    <n v="2014"/>
  </r>
  <r>
    <n v="20"/>
    <s v="small sport utility vehicle"/>
    <n v="22"/>
    <n v="4"/>
    <n v="2.4"/>
    <s v="fwd"/>
    <s v="gas"/>
    <n v="26"/>
    <x v="5"/>
    <x v="8"/>
    <x v="1"/>
    <n v="2014"/>
  </r>
  <r>
    <n v="19"/>
    <s v="small sport utility vehicle"/>
    <n v="21"/>
    <n v="4"/>
    <n v="2.4"/>
    <s v="fwd"/>
    <s v="gas"/>
    <n v="27"/>
    <x v="5"/>
    <x v="8"/>
    <x v="0"/>
    <n v="2014"/>
  </r>
  <r>
    <n v="18"/>
    <s v="small sport utility vehicle"/>
    <n v="21"/>
    <n v="6"/>
    <n v="3.3"/>
    <s v="fwd"/>
    <s v="gas"/>
    <n v="25"/>
    <x v="5"/>
    <x v="8"/>
    <x v="1"/>
    <n v="2014"/>
  </r>
  <r>
    <n v="19"/>
    <s v="small sport utility vehicle"/>
    <n v="21"/>
    <n v="4"/>
    <n v="2.4"/>
    <s v="4wd"/>
    <s v="gas"/>
    <n v="24"/>
    <x v="5"/>
    <x v="9"/>
    <x v="1"/>
    <n v="2014"/>
  </r>
  <r>
    <n v="18"/>
    <s v="small sport utility vehicle"/>
    <n v="20"/>
    <n v="6"/>
    <n v="3.3"/>
    <s v="4wd"/>
    <s v="gas"/>
    <n v="23"/>
    <x v="5"/>
    <x v="9"/>
    <x v="1"/>
    <n v="2014"/>
  </r>
  <r>
    <n v="17"/>
    <s v="small sport utility vehicle"/>
    <n v="19"/>
    <n v="6"/>
    <n v="3.5"/>
    <s v="awd"/>
    <s v="gas"/>
    <n v="22"/>
    <x v="3"/>
    <x v="10"/>
    <x v="1"/>
    <n v="2014"/>
  </r>
  <r>
    <n v="13"/>
    <s v="two seater"/>
    <n v="16"/>
    <n v="10"/>
    <n v="5.2"/>
    <s v="awd"/>
    <s v="gas"/>
    <n v="22"/>
    <x v="4"/>
    <x v="11"/>
    <x v="1"/>
    <n v="2014"/>
  </r>
  <r>
    <n v="13"/>
    <s v="two seater"/>
    <n v="16"/>
    <n v="10"/>
    <n v="5.2"/>
    <s v="awd"/>
    <s v="gas"/>
    <n v="22"/>
    <x v="4"/>
    <x v="12"/>
    <x v="1"/>
    <n v="2014"/>
  </r>
  <r>
    <n v="14"/>
    <s v="two seater"/>
    <n v="17"/>
    <n v="8"/>
    <n v="4.2"/>
    <s v="awd"/>
    <s v="gas"/>
    <n v="23"/>
    <x v="4"/>
    <x v="11"/>
    <x v="1"/>
    <n v="2014"/>
  </r>
  <r>
    <n v="14"/>
    <s v="two seater"/>
    <n v="17"/>
    <n v="8"/>
    <n v="4.2"/>
    <s v="awd"/>
    <s v="gas"/>
    <n v="23"/>
    <x v="4"/>
    <x v="12"/>
    <x v="1"/>
    <n v="2014"/>
  </r>
  <r>
    <n v="12"/>
    <s v="two seater"/>
    <n v="14"/>
    <n v="10"/>
    <n v="5.2"/>
    <s v="awd"/>
    <s v="gas"/>
    <n v="19"/>
    <x v="4"/>
    <x v="11"/>
    <x v="0"/>
    <n v="2014"/>
  </r>
  <r>
    <n v="12"/>
    <s v="two seater"/>
    <n v="14"/>
    <n v="10"/>
    <n v="5.2"/>
    <s v="awd"/>
    <s v="gas"/>
    <n v="19"/>
    <x v="4"/>
    <x v="12"/>
    <x v="0"/>
    <n v="2014"/>
  </r>
  <r>
    <n v="11"/>
    <s v="two seater"/>
    <n v="14"/>
    <n v="8"/>
    <n v="4.2"/>
    <s v="awd"/>
    <s v="gas"/>
    <n v="20"/>
    <x v="4"/>
    <x v="11"/>
    <x v="0"/>
    <n v="2014"/>
  </r>
  <r>
    <n v="11"/>
    <s v="two seater"/>
    <n v="14"/>
    <n v="8"/>
    <n v="4.2"/>
    <s v="awd"/>
    <s v="gas"/>
    <n v="20"/>
    <x v="4"/>
    <x v="12"/>
    <x v="0"/>
    <n v="2014"/>
  </r>
  <r>
    <n v="13"/>
    <s v="minicompact car"/>
    <n v="15"/>
    <n v="12"/>
    <n v="5.9"/>
    <s v="rwd"/>
    <s v="gas"/>
    <n v="19"/>
    <x v="6"/>
    <x v="13"/>
    <x v="1"/>
    <n v="2014"/>
  </r>
  <r>
    <n v="13"/>
    <s v="minicompact car"/>
    <n v="15"/>
    <n v="12"/>
    <n v="5.9"/>
    <s v="rwd"/>
    <s v="gas"/>
    <n v="19"/>
    <x v="6"/>
    <x v="14"/>
    <x v="1"/>
    <n v="2014"/>
  </r>
  <r>
    <n v="13"/>
    <s v="subcompact car"/>
    <n v="15"/>
    <n v="12"/>
    <n v="5.9"/>
    <s v="rwd"/>
    <s v="gas"/>
    <n v="19"/>
    <x v="6"/>
    <x v="15"/>
    <x v="1"/>
    <n v="2014"/>
  </r>
  <r>
    <n v="14"/>
    <s v="subcompact car"/>
    <n v="17"/>
    <n v="8"/>
    <n v="5"/>
    <s v="rwd"/>
    <s v="gas"/>
    <n v="22"/>
    <x v="7"/>
    <x v="16"/>
    <x v="0"/>
    <n v="2014"/>
  </r>
  <r>
    <n v="21"/>
    <s v="small sport utility vehicle"/>
    <n v="24"/>
    <n v="4"/>
    <n v="2.4"/>
    <s v="fwd"/>
    <s v="gas"/>
    <n v="28"/>
    <x v="8"/>
    <x v="17"/>
    <x v="1"/>
    <n v="2014"/>
  </r>
  <r>
    <n v="21"/>
    <s v="small sport utility vehicle"/>
    <n v="24"/>
    <n v="4"/>
    <n v="2.4"/>
    <s v="fwd"/>
    <s v="gas"/>
    <n v="28"/>
    <x v="8"/>
    <x v="18"/>
    <x v="1"/>
    <n v="2014"/>
  </r>
  <r>
    <n v="21"/>
    <s v="small sport utility vehicle"/>
    <n v="24"/>
    <n v="4"/>
    <n v="2"/>
    <s v="fwd"/>
    <s v="gas"/>
    <n v="28"/>
    <x v="8"/>
    <x v="17"/>
    <x v="1"/>
    <n v="2014"/>
  </r>
  <r>
    <n v="21"/>
    <s v="small sport utility vehicle"/>
    <n v="24"/>
    <n v="4"/>
    <n v="2"/>
    <s v="fwd"/>
    <s v="gas"/>
    <n v="28"/>
    <x v="8"/>
    <x v="18"/>
    <x v="1"/>
    <n v="2014"/>
  </r>
  <r>
    <n v="23"/>
    <s v="small sport utility vehicle"/>
    <n v="25"/>
    <n v="4"/>
    <n v="2.4"/>
    <s v="fwd"/>
    <s v="gas"/>
    <n v="28"/>
    <x v="8"/>
    <x v="18"/>
    <x v="0"/>
    <n v="2014"/>
  </r>
  <r>
    <n v="23"/>
    <s v="small sport utility vehicle"/>
    <n v="25"/>
    <n v="4"/>
    <n v="2.4"/>
    <s v="fwd"/>
    <s v="gas"/>
    <n v="28"/>
    <x v="8"/>
    <x v="17"/>
    <x v="0"/>
    <n v="2014"/>
  </r>
  <r>
    <n v="23"/>
    <s v="small sport utility vehicle"/>
    <n v="25"/>
    <n v="4"/>
    <n v="2"/>
    <s v="fwd"/>
    <s v="gas"/>
    <n v="30"/>
    <x v="8"/>
    <x v="17"/>
    <x v="0"/>
    <n v="2014"/>
  </r>
  <r>
    <n v="21"/>
    <s v="small sport utility vehicle"/>
    <n v="23"/>
    <n v="4"/>
    <n v="2.4"/>
    <s v="4wd"/>
    <s v="gas"/>
    <n v="27"/>
    <x v="8"/>
    <x v="19"/>
    <x v="1"/>
    <n v="2014"/>
  </r>
  <r>
    <n v="21"/>
    <s v="small sport utility vehicle"/>
    <n v="23"/>
    <n v="4"/>
    <n v="2.4"/>
    <s v="4wd"/>
    <s v="gas"/>
    <n v="27"/>
    <x v="8"/>
    <x v="20"/>
    <x v="1"/>
    <n v="2014"/>
  </r>
  <r>
    <n v="23"/>
    <s v="small sport utility vehicle"/>
    <n v="25"/>
    <n v="4"/>
    <n v="2.4"/>
    <s v="4wd"/>
    <s v="gas"/>
    <n v="28"/>
    <x v="8"/>
    <x v="19"/>
    <x v="0"/>
    <n v="2014"/>
  </r>
  <r>
    <n v="23"/>
    <s v="small sport utility vehicle"/>
    <n v="25"/>
    <n v="4"/>
    <n v="2.4"/>
    <s v="4wd"/>
    <s v="gas"/>
    <n v="28"/>
    <x v="8"/>
    <x v="20"/>
    <x v="0"/>
    <n v="2014"/>
  </r>
  <r>
    <n v="13"/>
    <s v="standard sport utility vehicle"/>
    <n v="15"/>
    <n v="8"/>
    <n v="6.4"/>
    <s v="4wd"/>
    <s v="gas"/>
    <n v="19"/>
    <x v="8"/>
    <x v="21"/>
    <x v="1"/>
    <n v="2014"/>
  </r>
  <r>
    <n v="14"/>
    <s v="standard sport utility vehicle"/>
    <n v="17"/>
    <n v="8"/>
    <n v="4.8"/>
    <s v="awd"/>
    <s v="gas"/>
    <n v="21"/>
    <x v="9"/>
    <x v="22"/>
    <x v="1"/>
    <n v="2014"/>
  </r>
  <r>
    <n v="15"/>
    <s v="subcompact car"/>
    <n v="17"/>
    <n v="8"/>
    <n v="5"/>
    <s v="rwd"/>
    <s v="gas"/>
    <n v="22"/>
    <x v="7"/>
    <x v="16"/>
    <x v="1"/>
    <n v="2014"/>
  </r>
  <r>
    <n v="16"/>
    <s v="subcompact car"/>
    <n v="19"/>
    <n v="6"/>
    <n v="3.8"/>
    <s v="awd"/>
    <s v="gas"/>
    <n v="23"/>
    <x v="3"/>
    <x v="6"/>
    <x v="1"/>
    <n v="2015"/>
  </r>
  <r>
    <n v="20"/>
    <s v="compact car"/>
    <n v="23"/>
    <n v="5"/>
    <n v="2.5"/>
    <s v="awd"/>
    <s v="gas"/>
    <n v="28"/>
    <x v="10"/>
    <x v="23"/>
    <x v="1"/>
    <n v="2015"/>
  </r>
  <r>
    <n v="26"/>
    <s v="midsize car"/>
    <n v="30"/>
    <n v="4"/>
    <n v="2.5"/>
    <s v="fwd"/>
    <s v="gas"/>
    <n v="37"/>
    <x v="0"/>
    <x v="0"/>
    <x v="1"/>
    <n v="2015"/>
  </r>
  <r>
    <n v="28"/>
    <s v="midsize car"/>
    <n v="32"/>
    <n v="4"/>
    <n v="2.5"/>
    <s v="fwd"/>
    <s v="gas"/>
    <n v="39"/>
    <x v="0"/>
    <x v="0"/>
    <x v="1"/>
    <n v="2015"/>
  </r>
  <r>
    <n v="25"/>
    <s v="midsize car"/>
    <n v="29"/>
    <n v="4"/>
    <n v="2.5"/>
    <s v="fwd"/>
    <s v="gas"/>
    <n v="35"/>
    <x v="0"/>
    <x v="0"/>
    <x v="0"/>
    <n v="2015"/>
  </r>
  <r>
    <n v="18"/>
    <s v="large car"/>
    <n v="21"/>
    <n v="6"/>
    <n v="3.8"/>
    <s v="rwd"/>
    <s v="gas"/>
    <n v="26"/>
    <x v="5"/>
    <x v="24"/>
    <x v="1"/>
    <n v="2015"/>
  </r>
  <r>
    <n v="15"/>
    <s v="large car"/>
    <n v="18"/>
    <n v="8"/>
    <n v="5"/>
    <s v="rwd"/>
    <s v="gas"/>
    <n v="23"/>
    <x v="5"/>
    <x v="24"/>
    <x v="1"/>
    <n v="2015"/>
  </r>
  <r>
    <n v="18"/>
    <s v="small sport utility vehicle"/>
    <n v="21"/>
    <n v="6"/>
    <n v="3.3"/>
    <s v="fwd"/>
    <s v="gas"/>
    <n v="25"/>
    <x v="5"/>
    <x v="25"/>
    <x v="1"/>
    <n v="2015"/>
  </r>
  <r>
    <n v="26"/>
    <s v="small sport utility vehicle"/>
    <n v="28"/>
    <n v="4"/>
    <n v="2"/>
    <s v="fwd"/>
    <s v="gas"/>
    <n v="32"/>
    <x v="0"/>
    <x v="1"/>
    <x v="1"/>
    <n v="2015"/>
  </r>
  <r>
    <n v="26"/>
    <s v="small sport utility vehicle"/>
    <n v="29"/>
    <n v="4"/>
    <n v="2"/>
    <s v="fwd"/>
    <s v="gas"/>
    <n v="34"/>
    <x v="0"/>
    <x v="1"/>
    <x v="0"/>
    <n v="2015"/>
  </r>
  <r>
    <n v="25"/>
    <s v="small sport utility vehicle"/>
    <n v="27"/>
    <n v="4"/>
    <n v="2.5"/>
    <s v="fwd"/>
    <s v="gas"/>
    <n v="31"/>
    <x v="0"/>
    <x v="1"/>
    <x v="1"/>
    <n v="2015"/>
  </r>
  <r>
    <n v="19"/>
    <s v="small sport utility vehicle"/>
    <n v="21"/>
    <n v="4"/>
    <n v="2.4"/>
    <s v="awd"/>
    <s v="gas"/>
    <n v="25"/>
    <x v="5"/>
    <x v="26"/>
    <x v="1"/>
    <n v="2015"/>
  </r>
  <r>
    <n v="18"/>
    <s v="small sport utility vehicle"/>
    <n v="20"/>
    <n v="6"/>
    <n v="3.3"/>
    <s v="awd"/>
    <s v="gas"/>
    <n v="23"/>
    <x v="5"/>
    <x v="26"/>
    <x v="1"/>
    <n v="2015"/>
  </r>
  <r>
    <n v="25"/>
    <s v="small sport utility vehicle"/>
    <n v="27"/>
    <n v="4"/>
    <n v="2"/>
    <s v="4wd"/>
    <s v="gas"/>
    <n v="30"/>
    <x v="0"/>
    <x v="2"/>
    <x v="1"/>
    <n v="2015"/>
  </r>
  <r>
    <n v="24"/>
    <s v="small sport utility vehicle"/>
    <n v="26"/>
    <n v="4"/>
    <n v="2.5"/>
    <s v="4wd"/>
    <s v="gas"/>
    <n v="29"/>
    <x v="0"/>
    <x v="2"/>
    <x v="1"/>
    <n v="2015"/>
  </r>
  <r>
    <n v="17"/>
    <s v="small sport utility vehicle"/>
    <n v="20"/>
    <n v="6"/>
    <n v="3"/>
    <s v="awd"/>
    <s v="gas"/>
    <n v="24"/>
    <x v="10"/>
    <x v="27"/>
    <x v="1"/>
    <n v="2015"/>
  </r>
  <r>
    <n v="17"/>
    <s v="small sport utility vehicle"/>
    <n v="20"/>
    <n v="6"/>
    <n v="3"/>
    <s v="awd"/>
    <s v="gas"/>
    <n v="24"/>
    <x v="10"/>
    <x v="28"/>
    <x v="1"/>
    <n v="2015"/>
  </r>
  <r>
    <n v="22"/>
    <s v="two seater"/>
    <n v="26"/>
    <n v="4"/>
    <n v="2"/>
    <s v="awd"/>
    <s v="gas"/>
    <n v="31"/>
    <x v="4"/>
    <x v="29"/>
    <x v="1"/>
    <n v="2015"/>
  </r>
  <r>
    <n v="22"/>
    <s v="subcompact car"/>
    <n v="26"/>
    <n v="4"/>
    <n v="2"/>
    <s v="awd"/>
    <s v="gas"/>
    <n v="31"/>
    <x v="4"/>
    <x v="30"/>
    <x v="1"/>
    <n v="2015"/>
  </r>
  <r>
    <n v="21"/>
    <s v="compact car"/>
    <n v="24"/>
    <n v="4"/>
    <n v="2"/>
    <s v="awd"/>
    <s v="gas"/>
    <n v="28"/>
    <x v="2"/>
    <x v="31"/>
    <x v="0"/>
    <n v="2015"/>
  </r>
  <r>
    <n v="17"/>
    <s v="compact car"/>
    <n v="19"/>
    <n v="4"/>
    <n v="2.5"/>
    <s v="awd"/>
    <s v="gas"/>
    <n v="23"/>
    <x v="2"/>
    <x v="31"/>
    <x v="0"/>
    <n v="2015"/>
  </r>
  <r>
    <n v="19"/>
    <s v="compact car"/>
    <n v="22"/>
    <n v="6"/>
    <n v="3"/>
    <s v="awd"/>
    <s v="gas"/>
    <n v="28"/>
    <x v="10"/>
    <x v="23"/>
    <x v="1"/>
    <n v="2015"/>
  </r>
  <r>
    <n v="19"/>
    <s v="midsize car"/>
    <n v="22"/>
    <n v="6"/>
    <n v="3"/>
    <s v="awd"/>
    <s v="gas"/>
    <n v="28"/>
    <x v="10"/>
    <x v="32"/>
    <x v="1"/>
    <n v="2015"/>
  </r>
  <r>
    <n v="20"/>
    <s v="small station wagon"/>
    <n v="23"/>
    <n v="5"/>
    <n v="2.5"/>
    <s v="awd"/>
    <s v="gas"/>
    <n v="28"/>
    <x v="10"/>
    <x v="33"/>
    <x v="1"/>
    <n v="2015"/>
  </r>
  <r>
    <n v="19"/>
    <s v="small station wagon"/>
    <n v="22"/>
    <n v="6"/>
    <n v="3"/>
    <s v="awd"/>
    <s v="gas"/>
    <n v="28"/>
    <x v="10"/>
    <x v="33"/>
    <x v="1"/>
    <n v="2015"/>
  </r>
  <r>
    <n v="16"/>
    <s v="standard pickup truck"/>
    <n v="19"/>
    <n v="8"/>
    <n v="5.3"/>
    <s v="rwd"/>
    <s v="gas"/>
    <n v="23"/>
    <x v="11"/>
    <x v="34"/>
    <x v="1"/>
    <n v="2015"/>
  </r>
  <r>
    <n v="16"/>
    <s v="standard pickup truck"/>
    <n v="19"/>
    <n v="8"/>
    <n v="5.3"/>
    <s v="rwd"/>
    <s v="gas"/>
    <n v="23"/>
    <x v="12"/>
    <x v="35"/>
    <x v="1"/>
    <n v="2015"/>
  </r>
  <r>
    <n v="16"/>
    <s v="standard pickup truck"/>
    <n v="18"/>
    <n v="8"/>
    <n v="5.3"/>
    <s v="4wd"/>
    <s v="gas"/>
    <n v="22"/>
    <x v="11"/>
    <x v="36"/>
    <x v="1"/>
    <n v="2015"/>
  </r>
  <r>
    <n v="16"/>
    <s v="standard pickup truck"/>
    <n v="18"/>
    <n v="8"/>
    <n v="5.3"/>
    <s v="4wd"/>
    <s v="gas"/>
    <n v="22"/>
    <x v="12"/>
    <x v="37"/>
    <x v="1"/>
    <n v="2015"/>
  </r>
  <r>
    <n v="20"/>
    <s v="small sport utility vehicle"/>
    <n v="23"/>
    <n v="4"/>
    <n v="2.4"/>
    <s v="fwd"/>
    <s v="gas"/>
    <n v="27"/>
    <x v="5"/>
    <x v="25"/>
    <x v="1"/>
    <n v="2015"/>
  </r>
  <r>
    <n v="15"/>
    <s v="standard sport utility vehicle"/>
    <n v="17"/>
    <n v="8"/>
    <n v="6.2"/>
    <s v="rwd"/>
    <s v="gas"/>
    <n v="21"/>
    <x v="13"/>
    <x v="38"/>
    <x v="1"/>
    <n v="2015"/>
  </r>
  <r>
    <n v="15"/>
    <s v="standard sport utility vehicle"/>
    <n v="17"/>
    <n v="8"/>
    <n v="6.2"/>
    <s v="rwd"/>
    <s v="gas"/>
    <n v="21"/>
    <x v="13"/>
    <x v="39"/>
    <x v="1"/>
    <n v="2015"/>
  </r>
  <r>
    <n v="16"/>
    <s v="standard sport utility vehicle"/>
    <n v="18"/>
    <n v="8"/>
    <n v="5.3"/>
    <s v="rwd"/>
    <s v="gas"/>
    <n v="23"/>
    <x v="11"/>
    <x v="40"/>
    <x v="1"/>
    <n v="2015"/>
  </r>
  <r>
    <n v="16"/>
    <s v="standard sport utility vehicle"/>
    <n v="18"/>
    <n v="8"/>
    <n v="5.3"/>
    <s v="rwd"/>
    <s v="gas"/>
    <n v="23"/>
    <x v="11"/>
    <x v="41"/>
    <x v="1"/>
    <n v="2015"/>
  </r>
  <r>
    <n v="15"/>
    <s v="standard sport utility vehicle"/>
    <n v="17"/>
    <n v="8"/>
    <n v="6.2"/>
    <s v="rwd"/>
    <s v="gas"/>
    <n v="21"/>
    <x v="12"/>
    <x v="42"/>
    <x v="1"/>
    <n v="2015"/>
  </r>
  <r>
    <n v="15"/>
    <s v="standard sport utility vehicle"/>
    <n v="17"/>
    <n v="8"/>
    <n v="6.2"/>
    <s v="rwd"/>
    <s v="gas"/>
    <n v="21"/>
    <x v="12"/>
    <x v="43"/>
    <x v="1"/>
    <n v="2015"/>
  </r>
  <r>
    <n v="16"/>
    <s v="standard sport utility vehicle"/>
    <n v="18"/>
    <n v="8"/>
    <n v="5.3"/>
    <s v="rwd"/>
    <s v="gas"/>
    <n v="23"/>
    <x v="12"/>
    <x v="42"/>
    <x v="1"/>
    <n v="2015"/>
  </r>
  <r>
    <n v="16"/>
    <s v="standard sport utility vehicle"/>
    <n v="18"/>
    <n v="8"/>
    <n v="5.3"/>
    <s v="rwd"/>
    <s v="gas"/>
    <n v="23"/>
    <x v="12"/>
    <x v="43"/>
    <x v="1"/>
    <n v="2015"/>
  </r>
  <r>
    <n v="14"/>
    <s v="standard sport utility vehicle"/>
    <n v="16"/>
    <n v="8"/>
    <n v="6.2"/>
    <s v="4wd"/>
    <s v="gas"/>
    <n v="21"/>
    <x v="13"/>
    <x v="44"/>
    <x v="1"/>
    <n v="2015"/>
  </r>
  <r>
    <n v="14"/>
    <s v="standard sport utility vehicle"/>
    <n v="16"/>
    <n v="8"/>
    <n v="6.2"/>
    <s v="4wd"/>
    <s v="gas"/>
    <n v="20"/>
    <x v="13"/>
    <x v="45"/>
    <x v="1"/>
    <n v="2015"/>
  </r>
  <r>
    <n v="16"/>
    <s v="standard sport utility vehicle"/>
    <n v="18"/>
    <n v="8"/>
    <n v="5.3"/>
    <s v="4wd"/>
    <s v="gas"/>
    <n v="22"/>
    <x v="11"/>
    <x v="46"/>
    <x v="1"/>
    <n v="2015"/>
  </r>
  <r>
    <n v="15"/>
    <s v="standard sport utility vehicle"/>
    <n v="18"/>
    <n v="8"/>
    <n v="5.3"/>
    <s v="4wd"/>
    <s v="gas"/>
    <n v="22"/>
    <x v="11"/>
    <x v="47"/>
    <x v="1"/>
    <n v="2015"/>
  </r>
  <r>
    <n v="14"/>
    <s v="standard sport utility vehicle"/>
    <n v="16"/>
    <n v="8"/>
    <n v="6.2"/>
    <s v="4wd"/>
    <s v="gas"/>
    <n v="20"/>
    <x v="12"/>
    <x v="48"/>
    <x v="1"/>
    <n v="2015"/>
  </r>
  <r>
    <n v="14"/>
    <s v="standard sport utility vehicle"/>
    <n v="16"/>
    <n v="8"/>
    <n v="6.2"/>
    <s v="4wd"/>
    <s v="gas"/>
    <n v="21"/>
    <x v="12"/>
    <x v="49"/>
    <x v="1"/>
    <n v="2015"/>
  </r>
  <r>
    <n v="15"/>
    <s v="standard sport utility vehicle"/>
    <n v="18"/>
    <n v="8"/>
    <n v="5.3"/>
    <s v="4wd"/>
    <s v="gas"/>
    <n v="22"/>
    <x v="12"/>
    <x v="48"/>
    <x v="1"/>
    <n v="2015"/>
  </r>
  <r>
    <n v="16"/>
    <s v="standard sport utility vehicle"/>
    <n v="18"/>
    <n v="8"/>
    <n v="5.3"/>
    <s v="4wd"/>
    <s v="gas"/>
    <n v="22"/>
    <x v="12"/>
    <x v="49"/>
    <x v="1"/>
    <n v="2015"/>
  </r>
  <r>
    <n v="16"/>
    <s v="two seater"/>
    <n v="18"/>
    <n v="8"/>
    <n v="5"/>
    <s v="rwd"/>
    <s v="gas"/>
    <n v="23"/>
    <x v="14"/>
    <x v="50"/>
    <x v="1"/>
    <n v="2015"/>
  </r>
  <r>
    <n v="16"/>
    <s v="two seater"/>
    <n v="18"/>
    <n v="8"/>
    <n v="5"/>
    <s v="rwd"/>
    <s v="gas"/>
    <n v="23"/>
    <x v="14"/>
    <x v="51"/>
    <x v="1"/>
    <n v="2015"/>
  </r>
  <r>
    <n v="20"/>
    <s v="two seater"/>
    <n v="23"/>
    <n v="6"/>
    <n v="3"/>
    <s v="rwd"/>
    <s v="gas"/>
    <n v="28"/>
    <x v="14"/>
    <x v="52"/>
    <x v="1"/>
    <n v="2015"/>
  </r>
  <r>
    <n v="20"/>
    <s v="two seater"/>
    <n v="23"/>
    <n v="6"/>
    <n v="3"/>
    <s v="rwd"/>
    <s v="gas"/>
    <n v="28"/>
    <x v="14"/>
    <x v="53"/>
    <x v="1"/>
    <n v="2015"/>
  </r>
  <r>
    <n v="26"/>
    <s v="midsize car"/>
    <n v="30"/>
    <n v="4"/>
    <n v="2.5"/>
    <s v="fwd"/>
    <s v="gas"/>
    <n v="37"/>
    <x v="0"/>
    <x v="0"/>
    <x v="1"/>
    <n v="2016"/>
  </r>
  <r>
    <n v="28"/>
    <s v="midsize car"/>
    <n v="32"/>
    <n v="4"/>
    <n v="2.5"/>
    <s v="fwd"/>
    <s v="gas"/>
    <n v="38"/>
    <x v="0"/>
    <x v="0"/>
    <x v="1"/>
    <n v="2016"/>
  </r>
  <r>
    <n v="25"/>
    <s v="midsize car"/>
    <n v="29"/>
    <n v="4"/>
    <n v="2.5"/>
    <s v="fwd"/>
    <s v="gas"/>
    <n v="36"/>
    <x v="0"/>
    <x v="0"/>
    <x v="0"/>
    <n v="2016"/>
  </r>
  <r>
    <n v="18"/>
    <s v="small sport utility vehicle"/>
    <n v="21"/>
    <n v="6"/>
    <n v="3.3"/>
    <s v="awd"/>
    <s v="gas"/>
    <n v="25"/>
    <x v="5"/>
    <x v="54"/>
    <x v="1"/>
    <n v="2016"/>
  </r>
  <r>
    <n v="20"/>
    <s v="small sport utility vehicle"/>
    <n v="23"/>
    <n v="4"/>
    <n v="2"/>
    <s v="fwd"/>
    <s v="gas"/>
    <n v="27"/>
    <x v="5"/>
    <x v="25"/>
    <x v="1"/>
    <n v="2016"/>
  </r>
  <r>
    <n v="21"/>
    <s v="small sport utility vehicle"/>
    <n v="24"/>
    <n v="4"/>
    <n v="2.4"/>
    <s v="fwd"/>
    <s v="gas"/>
    <n v="28"/>
    <x v="5"/>
    <x v="25"/>
    <x v="1"/>
    <n v="2016"/>
  </r>
  <r>
    <n v="18"/>
    <s v="small sport utility vehicle"/>
    <n v="20"/>
    <n v="6"/>
    <n v="3.3"/>
    <s v="fwd"/>
    <s v="gas"/>
    <n v="25"/>
    <x v="5"/>
    <x v="25"/>
    <x v="1"/>
    <n v="2016"/>
  </r>
  <r>
    <n v="26"/>
    <s v="small sport utility vehicle"/>
    <n v="29"/>
    <n v="4"/>
    <n v="2"/>
    <s v="fwd"/>
    <s v="gas"/>
    <n v="34"/>
    <x v="0"/>
    <x v="1"/>
    <x v="0"/>
    <n v="2016"/>
  </r>
  <r>
    <n v="26"/>
    <s v="small sport utility vehicle"/>
    <n v="29"/>
    <n v="4"/>
    <n v="2.5"/>
    <s v="fwd"/>
    <s v="gas"/>
    <n v="33"/>
    <x v="0"/>
    <x v="1"/>
    <x v="1"/>
    <n v="2016"/>
  </r>
  <r>
    <n v="19"/>
    <s v="small sport utility vehicle"/>
    <n v="21"/>
    <n v="4"/>
    <n v="2"/>
    <s v="awd"/>
    <s v="gas"/>
    <n v="25"/>
    <x v="5"/>
    <x v="26"/>
    <x v="1"/>
    <n v="2016"/>
  </r>
  <r>
    <n v="21"/>
    <s v="small sport utility vehicle"/>
    <n v="22"/>
    <n v="4"/>
    <n v="2.4"/>
    <s v="awd"/>
    <s v="gas"/>
    <n v="25"/>
    <x v="5"/>
    <x v="26"/>
    <x v="1"/>
    <n v="2016"/>
  </r>
  <r>
    <n v="17"/>
    <s v="small sport utility vehicle"/>
    <n v="19"/>
    <n v="6"/>
    <n v="3.3"/>
    <s v="awd"/>
    <s v="gas"/>
    <n v="23"/>
    <x v="5"/>
    <x v="26"/>
    <x v="1"/>
    <n v="2016"/>
  </r>
  <r>
    <n v="24"/>
    <s v="small sport utility vehicle"/>
    <n v="26"/>
    <n v="4"/>
    <n v="2.5"/>
    <s v="4wd"/>
    <s v="gas"/>
    <n v="29"/>
    <x v="0"/>
    <x v="2"/>
    <x v="1"/>
    <n v="2016"/>
  </r>
  <r>
    <n v="20"/>
    <s v="midsize car"/>
    <n v="24"/>
    <n v="6"/>
    <n v="3"/>
    <s v="awd"/>
    <s v="gas"/>
    <n v="29"/>
    <x v="4"/>
    <x v="55"/>
    <x v="1"/>
    <n v="2016"/>
  </r>
  <r>
    <n v="20"/>
    <s v="midsize car"/>
    <n v="24"/>
    <n v="6"/>
    <n v="3"/>
    <s v="awd"/>
    <s v="gas"/>
    <n v="29"/>
    <x v="4"/>
    <x v="56"/>
    <x v="1"/>
    <n v="2016"/>
  </r>
  <r>
    <n v="25"/>
    <s v="small sport utility vehicle"/>
    <n v="28"/>
    <n v="4"/>
    <n v="1.8"/>
    <s v="fwd"/>
    <s v="gas"/>
    <n v="33"/>
    <x v="15"/>
    <x v="57"/>
    <x v="0"/>
    <n v="2016"/>
  </r>
  <r>
    <n v="28"/>
    <s v="small sport utility vehicle"/>
    <n v="31"/>
    <n v="4"/>
    <n v="1.8"/>
    <s v="fwd"/>
    <s v="gas"/>
    <n v="34"/>
    <x v="15"/>
    <x v="57"/>
    <x v="1"/>
    <n v="2016"/>
  </r>
  <r>
    <n v="28"/>
    <s v="small sport utility vehicle"/>
    <n v="31"/>
    <n v="4"/>
    <n v="1.8"/>
    <s v="fwd"/>
    <s v="gas"/>
    <n v="34"/>
    <x v="15"/>
    <x v="57"/>
    <x v="1"/>
    <n v="2016"/>
  </r>
  <r>
    <n v="27"/>
    <s v="small sport utility vehicle"/>
    <n v="29"/>
    <n v="4"/>
    <n v="1.8"/>
    <s v="awd"/>
    <s v="gas"/>
    <n v="32"/>
    <x v="15"/>
    <x v="58"/>
    <x v="1"/>
    <n v="2016"/>
  </r>
  <r>
    <n v="27"/>
    <s v="small sport utility vehicle"/>
    <n v="29"/>
    <n v="4"/>
    <n v="1.8"/>
    <s v="awd"/>
    <s v="gas"/>
    <n v="32"/>
    <x v="15"/>
    <x v="58"/>
    <x v="1"/>
    <n v="2016"/>
  </r>
  <r>
    <n v="19"/>
    <s v="two seater"/>
    <n v="22"/>
    <n v="6"/>
    <n v="3"/>
    <s v="rwd"/>
    <s v="gas"/>
    <n v="27"/>
    <x v="14"/>
    <x v="53"/>
    <x v="1"/>
    <n v="2016"/>
  </r>
  <r>
    <n v="19"/>
    <s v="two seater"/>
    <n v="22"/>
    <n v="6"/>
    <n v="3"/>
    <s v="rwd"/>
    <s v="gas"/>
    <n v="27"/>
    <x v="14"/>
    <x v="52"/>
    <x v="1"/>
    <n v="2016"/>
  </r>
  <r>
    <n v="19"/>
    <s v="two seater"/>
    <n v="22"/>
    <n v="6"/>
    <n v="3"/>
    <s v="rwd"/>
    <s v="gas"/>
    <n v="27"/>
    <x v="14"/>
    <x v="59"/>
    <x v="1"/>
    <n v="2016"/>
  </r>
  <r>
    <n v="19"/>
    <s v="two seater"/>
    <n v="22"/>
    <n v="6"/>
    <n v="3"/>
    <s v="rwd"/>
    <s v="gas"/>
    <n v="27"/>
    <x v="14"/>
    <x v="60"/>
    <x v="1"/>
    <n v="2016"/>
  </r>
  <r>
    <n v="11"/>
    <s v="midsize car"/>
    <n v="14"/>
    <n v="8"/>
    <n v="6.8"/>
    <s v="rwd"/>
    <s v="gas"/>
    <n v="18"/>
    <x v="16"/>
    <x v="61"/>
    <x v="1"/>
    <n v="2016"/>
  </r>
  <r>
    <n v="28"/>
    <s v="compact car"/>
    <n v="31"/>
    <n v="4"/>
    <n v="1.6"/>
    <s v="fwd"/>
    <s v="gas"/>
    <n v="35"/>
    <x v="17"/>
    <x v="62"/>
    <x v="1"/>
    <n v="2016"/>
  </r>
  <r>
    <n v="27"/>
    <s v="compact car"/>
    <n v="30"/>
    <n v="4"/>
    <n v="1.6"/>
    <s v="fwd"/>
    <s v="gas"/>
    <n v="34"/>
    <x v="17"/>
    <x v="62"/>
    <x v="0"/>
    <n v="2016"/>
  </r>
  <r>
    <n v="24"/>
    <s v="midsize car"/>
    <n v="27"/>
    <n v="4"/>
    <n v="2"/>
    <s v="fwd"/>
    <s v="gas"/>
    <n v="32"/>
    <x v="17"/>
    <x v="63"/>
    <x v="0"/>
    <n v="2016"/>
  </r>
  <r>
    <n v="126"/>
    <s v="subcompact car"/>
    <n v="112"/>
    <m/>
    <m/>
    <s v="rwd"/>
    <s v="electricity"/>
    <n v="99"/>
    <x v="18"/>
    <x v="64"/>
    <x v="1"/>
    <n v="2016"/>
  </r>
  <r>
    <n v="18"/>
    <s v="two seater"/>
    <n v="21"/>
    <n v="6"/>
    <n v="3"/>
    <s v="awd"/>
    <s v="gas"/>
    <n v="26"/>
    <x v="14"/>
    <x v="65"/>
    <x v="1"/>
    <n v="2016"/>
  </r>
  <r>
    <n v="18"/>
    <s v="two seater"/>
    <n v="21"/>
    <n v="6"/>
    <n v="3"/>
    <s v="awd"/>
    <s v="gas"/>
    <n v="26"/>
    <x v="14"/>
    <x v="66"/>
    <x v="1"/>
    <n v="2016"/>
  </r>
  <r>
    <n v="25"/>
    <s v="compact car"/>
    <n v="29"/>
    <n v="4"/>
    <n v="2.4"/>
    <s v="fwd"/>
    <s v="gas"/>
    <n v="35"/>
    <x v="19"/>
    <x v="67"/>
    <x v="1"/>
    <n v="2016"/>
  </r>
  <r>
    <n v="24"/>
    <s v="midsize car"/>
    <n v="27"/>
    <n v="4"/>
    <n v="2"/>
    <s v="fwd"/>
    <s v="gas"/>
    <n v="32"/>
    <x v="17"/>
    <x v="63"/>
    <x v="1"/>
    <n v="2016"/>
  </r>
  <r>
    <n v="16"/>
    <s v="two seater"/>
    <n v="18"/>
    <n v="8"/>
    <n v="5"/>
    <s v="rwd"/>
    <s v="gas"/>
    <n v="23"/>
    <x v="14"/>
    <x v="68"/>
    <x v="1"/>
    <n v="2016"/>
  </r>
  <r>
    <n v="15"/>
    <s v="two seater"/>
    <n v="18"/>
    <n v="8"/>
    <n v="5"/>
    <s v="awd"/>
    <s v="gas"/>
    <n v="23"/>
    <x v="14"/>
    <x v="69"/>
    <x v="1"/>
    <n v="2016"/>
  </r>
  <r>
    <n v="15"/>
    <s v="two seater"/>
    <n v="18"/>
    <n v="8"/>
    <n v="5"/>
    <s v="awd"/>
    <s v="gas"/>
    <n v="23"/>
    <x v="14"/>
    <x v="70"/>
    <x v="1"/>
    <n v="2016"/>
  </r>
  <r>
    <n v="15"/>
    <s v="large car"/>
    <n v="18"/>
    <n v="8"/>
    <n v="5"/>
    <s v="rwd"/>
    <s v="gas"/>
    <n v="23"/>
    <x v="14"/>
    <x v="71"/>
    <x v="1"/>
    <n v="2016"/>
  </r>
  <r>
    <n v="15"/>
    <s v="large car"/>
    <n v="18"/>
    <n v="8"/>
    <n v="5"/>
    <s v="rwd"/>
    <s v="gas"/>
    <n v="23"/>
    <x v="14"/>
    <x v="72"/>
    <x v="1"/>
    <n v="2016"/>
  </r>
  <r>
    <n v="20"/>
    <s v="midsize car"/>
    <n v="23"/>
    <n v="6"/>
    <n v="3.5"/>
    <s v="fwd"/>
    <s v="gas"/>
    <n v="30"/>
    <x v="19"/>
    <x v="73"/>
    <x v="1"/>
    <n v="2016"/>
  </r>
  <r>
    <n v="28"/>
    <s v="midsize car"/>
    <n v="30"/>
    <n v="6"/>
    <n v="3.5"/>
    <s v="awd"/>
    <s v="gas"/>
    <n v="31"/>
    <x v="19"/>
    <x v="74"/>
    <x v="1"/>
    <n v="2016"/>
  </r>
  <r>
    <n v="16"/>
    <s v="subcompact car"/>
    <n v="19"/>
    <n v="6"/>
    <n v="3.8"/>
    <s v="awd"/>
    <s v="gas"/>
    <n v="22"/>
    <x v="3"/>
    <x v="6"/>
    <x v="1"/>
    <n v="2016"/>
  </r>
  <r>
    <n v="26"/>
    <s v="compact car"/>
    <n v="29"/>
    <n v="4"/>
    <n v="1.6"/>
    <s v="fwd"/>
    <s v="gas"/>
    <n v="32"/>
    <x v="17"/>
    <x v="62"/>
    <x v="1"/>
    <n v="2016"/>
  </r>
  <r>
    <n v="25"/>
    <s v="compact car"/>
    <n v="28"/>
    <n v="4"/>
    <n v="1.6"/>
    <s v="fwd"/>
    <s v="gas"/>
    <n v="33"/>
    <x v="17"/>
    <x v="62"/>
    <x v="0"/>
    <n v="2016"/>
  </r>
  <r>
    <n v="25"/>
    <s v="midsize car"/>
    <n v="30"/>
    <n v="6"/>
    <n v="3"/>
    <s v="awd"/>
    <s v="diesel"/>
    <n v="38"/>
    <x v="4"/>
    <x v="56"/>
    <x v="1"/>
    <n v="2016"/>
  </r>
  <r>
    <n v="15"/>
    <s v="large car"/>
    <n v="18"/>
    <n v="8"/>
    <n v="5"/>
    <s v="rwd"/>
    <s v="gas"/>
    <n v="23"/>
    <x v="17"/>
    <x v="75"/>
    <x v="1"/>
    <n v="2016"/>
  </r>
  <r>
    <n v="18"/>
    <s v="minivan"/>
    <n v="20"/>
    <n v="6"/>
    <n v="3.3"/>
    <s v="fwd"/>
    <s v="gas"/>
    <n v="24"/>
    <x v="5"/>
    <x v="76"/>
    <x v="1"/>
    <n v="2016"/>
  </r>
  <r>
    <n v="18"/>
    <s v="minivan"/>
    <n v="21"/>
    <n v="6"/>
    <n v="3.3"/>
    <s v="fwd"/>
    <s v="gas"/>
    <n v="25"/>
    <x v="5"/>
    <x v="77"/>
    <x v="1"/>
    <n v="2016"/>
  </r>
  <r>
    <n v="17"/>
    <s v="minivan"/>
    <n v="19"/>
    <n v="6"/>
    <n v="3.3"/>
    <s v="fwd"/>
    <s v="gas"/>
    <n v="22"/>
    <x v="5"/>
    <x v="78"/>
    <x v="1"/>
    <n v="2016"/>
  </r>
  <r>
    <n v="17"/>
    <s v="standard sport utility vehicle"/>
    <n v="20"/>
    <n v="6"/>
    <n v="3.6"/>
    <s v="awd"/>
    <s v="gas"/>
    <n v="24"/>
    <x v="9"/>
    <x v="79"/>
    <x v="1"/>
    <n v="2016"/>
  </r>
  <r>
    <n v="22"/>
    <s v="two seater"/>
    <n v="26"/>
    <n v="4"/>
    <n v="2"/>
    <s v="rwd"/>
    <s v="gas"/>
    <n v="32"/>
    <x v="20"/>
    <x v="80"/>
    <x v="1"/>
    <n v="2016"/>
  </r>
  <r>
    <n v="20"/>
    <s v="small sport utility vehicle"/>
    <n v="23"/>
    <n v="4"/>
    <n v="2"/>
    <s v="fwd"/>
    <s v="gas"/>
    <n v="28"/>
    <x v="17"/>
    <x v="81"/>
    <x v="1"/>
    <n v="2017"/>
  </r>
  <r>
    <n v="20"/>
    <s v="small sport utility vehicle"/>
    <n v="23"/>
    <n v="4"/>
    <n v="2"/>
    <s v="fwd"/>
    <s v="gas"/>
    <n v="27"/>
    <x v="17"/>
    <x v="82"/>
    <x v="1"/>
    <n v="2017"/>
  </r>
  <r>
    <n v="19"/>
    <s v="small sport utility vehicle"/>
    <n v="22"/>
    <n v="4"/>
    <n v="2"/>
    <s v="awd"/>
    <s v="gas"/>
    <n v="26"/>
    <x v="17"/>
    <x v="83"/>
    <x v="1"/>
    <n v="2017"/>
  </r>
  <r>
    <n v="19"/>
    <s v="small sport utility vehicle"/>
    <n v="21"/>
    <n v="4"/>
    <n v="2"/>
    <s v="awd"/>
    <s v="gas"/>
    <n v="24"/>
    <x v="17"/>
    <x v="84"/>
    <x v="1"/>
    <n v="2017"/>
  </r>
  <r>
    <n v="19"/>
    <s v="standard sport utility vehicle"/>
    <n v="21"/>
    <n v="6"/>
    <n v="3"/>
    <s v="awd"/>
    <s v="gas"/>
    <n v="25"/>
    <x v="4"/>
    <x v="85"/>
    <x v="1"/>
    <n v="2017"/>
  </r>
  <r>
    <n v="29"/>
    <s v="midsize car"/>
    <n v="33"/>
    <n v="4"/>
    <n v="2"/>
    <s v="fwd"/>
    <s v="gas"/>
    <n v="38"/>
    <x v="17"/>
    <x v="86"/>
    <x v="1"/>
    <n v="2017"/>
  </r>
  <r>
    <n v="28"/>
    <s v="midsize car"/>
    <n v="32"/>
    <n v="4"/>
    <n v="2"/>
    <s v="fwd"/>
    <s v="gas"/>
    <n v="37"/>
    <x v="17"/>
    <x v="87"/>
    <x v="1"/>
    <n v="2017"/>
  </r>
  <r>
    <n v="26"/>
    <s v="midsize car"/>
    <n v="29"/>
    <n v="4"/>
    <n v="2"/>
    <s v="fwd"/>
    <s v="gas"/>
    <n v="36"/>
    <x v="17"/>
    <x v="87"/>
    <x v="0"/>
    <n v="2017"/>
  </r>
  <r>
    <n v="18"/>
    <s v="small sport utility vehicle"/>
    <n v="21"/>
    <n v="6"/>
    <n v="3.3"/>
    <s v="fwd"/>
    <s v="gas"/>
    <n v="25"/>
    <x v="17"/>
    <x v="88"/>
    <x v="1"/>
    <n v="2017"/>
  </r>
  <r>
    <n v="17"/>
    <s v="small sport utility vehicle"/>
    <n v="20"/>
    <n v="6"/>
    <n v="3.3"/>
    <s v="fwd"/>
    <s v="gas"/>
    <n v="23"/>
    <x v="17"/>
    <x v="89"/>
    <x v="1"/>
    <n v="2017"/>
  </r>
  <r>
    <n v="18"/>
    <s v="small sport utility vehicle"/>
    <n v="20"/>
    <n v="6"/>
    <n v="3.3"/>
    <s v="awd"/>
    <s v="gas"/>
    <n v="24"/>
    <x v="17"/>
    <x v="90"/>
    <x v="1"/>
    <n v="2017"/>
  </r>
  <r>
    <n v="17"/>
    <s v="small sport utility vehicle"/>
    <n v="19"/>
    <n v="6"/>
    <n v="3.3"/>
    <s v="awd"/>
    <s v="gas"/>
    <n v="22"/>
    <x v="17"/>
    <x v="91"/>
    <x v="1"/>
    <n v="2017"/>
  </r>
  <r>
    <n v="21"/>
    <s v="small sport utility vehicle"/>
    <n v="24"/>
    <n v="4"/>
    <n v="2.4"/>
    <s v="fwd"/>
    <s v="gas"/>
    <n v="27"/>
    <x v="17"/>
    <x v="81"/>
    <x v="1"/>
    <n v="2017"/>
  </r>
  <r>
    <n v="20"/>
    <s v="small sport utility vehicle"/>
    <n v="22"/>
    <n v="4"/>
    <n v="2.4"/>
    <s v="awd"/>
    <s v="gas"/>
    <n v="26"/>
    <x v="17"/>
    <x v="83"/>
    <x v="1"/>
    <n v="2017"/>
  </r>
  <r>
    <n v="22"/>
    <s v="small sport utility vehicle"/>
    <n v="25"/>
    <n v="4"/>
    <n v="2.4"/>
    <s v="fwd"/>
    <s v="gas"/>
    <n v="29"/>
    <x v="5"/>
    <x v="92"/>
    <x v="1"/>
    <n v="2017"/>
  </r>
  <r>
    <n v="23"/>
    <s v="small sport utility vehicle"/>
    <n v="26"/>
    <n v="4"/>
    <n v="2.4"/>
    <s v="fwd"/>
    <s v="gas"/>
    <n v="30"/>
    <x v="5"/>
    <x v="93"/>
    <x v="1"/>
    <n v="2017"/>
  </r>
  <r>
    <n v="21"/>
    <s v="small sport utility vehicle"/>
    <n v="23"/>
    <n v="4"/>
    <n v="2"/>
    <s v="fwd"/>
    <s v="gas"/>
    <n v="26"/>
    <x v="5"/>
    <x v="92"/>
    <x v="1"/>
    <n v="2017"/>
  </r>
  <r>
    <n v="21"/>
    <s v="small sport utility vehicle"/>
    <n v="23"/>
    <n v="4"/>
    <n v="2.4"/>
    <s v="awd"/>
    <s v="gas"/>
    <n v="25"/>
    <x v="5"/>
    <x v="94"/>
    <x v="1"/>
    <n v="2017"/>
  </r>
  <r>
    <n v="21"/>
    <s v="small sport utility vehicle"/>
    <n v="22"/>
    <n v="4"/>
    <n v="2.4"/>
    <s v="awd"/>
    <s v="gas"/>
    <n v="25"/>
    <x v="5"/>
    <x v="95"/>
    <x v="1"/>
    <n v="2017"/>
  </r>
  <r>
    <n v="20"/>
    <s v="small sport utility vehicle"/>
    <n v="21"/>
    <n v="4"/>
    <n v="2"/>
    <s v="awd"/>
    <s v="gas"/>
    <n v="23"/>
    <x v="5"/>
    <x v="94"/>
    <x v="1"/>
    <n v="2017"/>
  </r>
  <r>
    <n v="19"/>
    <s v="small sport utility vehicle"/>
    <n v="22"/>
    <n v="6"/>
    <n v="3.6"/>
    <s v="fwd"/>
    <s v="gas"/>
    <n v="27"/>
    <x v="13"/>
    <x v="96"/>
    <x v="1"/>
    <n v="2017"/>
  </r>
  <r>
    <n v="18"/>
    <s v="small sport utility vehicle"/>
    <n v="21"/>
    <n v="6"/>
    <n v="3.6"/>
    <s v="awd"/>
    <s v="gas"/>
    <n v="26"/>
    <x v="13"/>
    <x v="97"/>
    <x v="1"/>
    <n v="2017"/>
  </r>
  <r>
    <n v="33"/>
    <s v="compact car"/>
    <n v="36"/>
    <n v="3"/>
    <n v="1.2"/>
    <s v="fwd"/>
    <s v="gas"/>
    <n v="41"/>
    <x v="18"/>
    <x v="98"/>
    <x v="0"/>
    <n v="2017"/>
  </r>
  <r>
    <n v="37"/>
    <s v="compact car"/>
    <n v="39"/>
    <n v="3"/>
    <n v="1.2"/>
    <s v="fwd"/>
    <s v="gas"/>
    <n v="43"/>
    <x v="18"/>
    <x v="98"/>
    <x v="1"/>
    <n v="2017"/>
  </r>
  <r>
    <n v="18"/>
    <s v="minivan"/>
    <n v="22"/>
    <n v="6"/>
    <n v="3.6"/>
    <s v="fwd"/>
    <s v="gas"/>
    <n v="28"/>
    <x v="21"/>
    <x v="99"/>
    <x v="1"/>
    <n v="2017"/>
  </r>
  <r>
    <n v="121"/>
    <s v="subcompact car"/>
    <n v="112"/>
    <m/>
    <m/>
    <s v="rwd"/>
    <s v="electricity"/>
    <n v="102"/>
    <x v="18"/>
    <x v="64"/>
    <x v="1"/>
    <n v="2017"/>
  </r>
  <r>
    <n v="14"/>
    <s v="two seater"/>
    <n v="17"/>
    <n v="10"/>
    <n v="5.2"/>
    <s v="awd"/>
    <s v="gas"/>
    <n v="22"/>
    <x v="4"/>
    <x v="12"/>
    <x v="1"/>
    <n v="2017"/>
  </r>
  <r>
    <n v="14"/>
    <s v="two seater"/>
    <n v="17"/>
    <n v="10"/>
    <n v="5.2"/>
    <s v="awd"/>
    <s v="gas"/>
    <n v="22"/>
    <x v="4"/>
    <x v="11"/>
    <x v="1"/>
    <n v="2017"/>
  </r>
  <r>
    <n v="24"/>
    <s v="compact car"/>
    <n v="27"/>
    <n v="4"/>
    <n v="2"/>
    <s v="awd"/>
    <s v="gas"/>
    <n v="31"/>
    <x v="4"/>
    <x v="100"/>
    <x v="1"/>
    <n v="2017"/>
  </r>
  <r>
    <n v="25"/>
    <s v="compact car"/>
    <n v="28"/>
    <n v="4"/>
    <n v="2"/>
    <s v="fwd"/>
    <s v="gas"/>
    <n v="33"/>
    <x v="4"/>
    <x v="101"/>
    <x v="1"/>
    <n v="2017"/>
  </r>
  <r>
    <n v="20"/>
    <s v="compact car"/>
    <n v="23"/>
    <n v="4"/>
    <n v="2"/>
    <s v="awd"/>
    <s v="gas"/>
    <n v="27"/>
    <x v="2"/>
    <x v="31"/>
    <x v="0"/>
    <n v="2017"/>
  </r>
  <r>
    <n v="18"/>
    <s v="compact car"/>
    <n v="21"/>
    <n v="4"/>
    <n v="2"/>
    <s v="awd"/>
    <s v="gas"/>
    <n v="24"/>
    <x v="2"/>
    <x v="31"/>
    <x v="1"/>
    <n v="2017"/>
  </r>
  <r>
    <n v="17"/>
    <s v="compact car"/>
    <n v="19"/>
    <n v="4"/>
    <n v="2.5"/>
    <s v="awd"/>
    <s v="gas"/>
    <n v="23"/>
    <x v="2"/>
    <x v="31"/>
    <x v="0"/>
    <n v="2017"/>
  </r>
  <r>
    <n v="19"/>
    <s v="large car"/>
    <n v="22"/>
    <n v="6"/>
    <n v="3"/>
    <s v="awd"/>
    <s v="gas"/>
    <n v="28"/>
    <x v="20"/>
    <x v="102"/>
    <x v="1"/>
    <n v="2017"/>
  </r>
  <r>
    <n v="20"/>
    <s v="small sport utility vehicle"/>
    <n v="23"/>
    <n v="6"/>
    <n v="3.5"/>
    <s v="fwd"/>
    <s v="gas"/>
    <n v="28"/>
    <x v="19"/>
    <x v="103"/>
    <x v="1"/>
    <n v="2017"/>
  </r>
  <r>
    <n v="19"/>
    <s v="small sport utility vehicle"/>
    <n v="22"/>
    <n v="6"/>
    <n v="3.5"/>
    <s v="awd"/>
    <s v="gas"/>
    <n v="27"/>
    <x v="19"/>
    <x v="104"/>
    <x v="1"/>
    <n v="2017"/>
  </r>
  <r>
    <n v="43"/>
    <s v="compact car"/>
    <n v="42"/>
    <n v="4"/>
    <n v="1.5"/>
    <s v="fwd"/>
    <s v="gas"/>
    <n v="42"/>
    <x v="11"/>
    <x v="105"/>
    <x v="1"/>
    <n v="2017"/>
  </r>
  <r>
    <n v="15"/>
    <s v="two seater"/>
    <n v="18"/>
    <n v="8"/>
    <n v="5"/>
    <s v="awd"/>
    <s v="gas"/>
    <n v="23"/>
    <x v="14"/>
    <x v="69"/>
    <x v="1"/>
    <n v="2017"/>
  </r>
  <r>
    <n v="15"/>
    <s v="two seater"/>
    <n v="18"/>
    <n v="8"/>
    <n v="5"/>
    <s v="awd"/>
    <s v="gas"/>
    <n v="23"/>
    <x v="14"/>
    <x v="70"/>
    <x v="1"/>
    <n v="2017"/>
  </r>
  <r>
    <n v="20"/>
    <s v="two seater"/>
    <n v="23"/>
    <n v="6"/>
    <n v="3"/>
    <s v="rwd"/>
    <s v="gas"/>
    <n v="28"/>
    <x v="14"/>
    <x v="53"/>
    <x v="1"/>
    <n v="2017"/>
  </r>
  <r>
    <n v="20"/>
    <s v="two seater"/>
    <n v="23"/>
    <n v="6"/>
    <n v="3"/>
    <s v="rwd"/>
    <s v="gas"/>
    <n v="28"/>
    <x v="14"/>
    <x v="52"/>
    <x v="1"/>
    <n v="2017"/>
  </r>
  <r>
    <n v="19"/>
    <s v="two seater"/>
    <n v="22"/>
    <n v="6"/>
    <n v="3"/>
    <s v="rwd"/>
    <s v="gas"/>
    <n v="27"/>
    <x v="14"/>
    <x v="59"/>
    <x v="1"/>
    <n v="2017"/>
  </r>
  <r>
    <n v="19"/>
    <s v="two seater"/>
    <n v="22"/>
    <n v="6"/>
    <n v="3"/>
    <s v="rwd"/>
    <s v="gas"/>
    <n v="27"/>
    <x v="14"/>
    <x v="60"/>
    <x v="1"/>
    <n v="2017"/>
  </r>
  <r>
    <n v="18"/>
    <s v="two seater"/>
    <n v="21"/>
    <n v="6"/>
    <n v="3"/>
    <s v="awd"/>
    <s v="gas"/>
    <n v="26"/>
    <x v="14"/>
    <x v="65"/>
    <x v="1"/>
    <n v="2017"/>
  </r>
  <r>
    <n v="18"/>
    <s v="two seater"/>
    <n v="21"/>
    <n v="6"/>
    <n v="3"/>
    <s v="awd"/>
    <s v="gas"/>
    <n v="26"/>
    <x v="14"/>
    <x v="66"/>
    <x v="1"/>
    <n v="2017"/>
  </r>
  <r>
    <n v="16"/>
    <s v="two seater"/>
    <n v="19"/>
    <n v="6"/>
    <n v="3"/>
    <s v="rwd"/>
    <s v="gas"/>
    <n v="24"/>
    <x v="14"/>
    <x v="53"/>
    <x v="0"/>
    <n v="2017"/>
  </r>
  <r>
    <n v="16"/>
    <s v="two seater"/>
    <n v="19"/>
    <n v="6"/>
    <n v="3"/>
    <s v="rwd"/>
    <s v="gas"/>
    <n v="24"/>
    <x v="14"/>
    <x v="52"/>
    <x v="0"/>
    <n v="2017"/>
  </r>
  <r>
    <n v="15"/>
    <s v="two seater"/>
    <n v="18"/>
    <n v="6"/>
    <n v="3"/>
    <s v="rwd"/>
    <s v="gas"/>
    <n v="24"/>
    <x v="14"/>
    <x v="59"/>
    <x v="0"/>
    <n v="2017"/>
  </r>
  <r>
    <n v="15"/>
    <s v="two seater"/>
    <n v="18"/>
    <n v="6"/>
    <n v="3"/>
    <s v="rwd"/>
    <s v="gas"/>
    <n v="24"/>
    <x v="14"/>
    <x v="60"/>
    <x v="0"/>
    <n v="2017"/>
  </r>
  <r>
    <n v="22"/>
    <s v="minicompact car"/>
    <n v="25"/>
    <n v="4"/>
    <n v="2"/>
    <s v="fwd"/>
    <s v="gas"/>
    <n v="31"/>
    <x v="22"/>
    <x v="106"/>
    <x v="0"/>
    <n v="2017"/>
  </r>
  <r>
    <n v="26"/>
    <s v="small sport utility vehicle"/>
    <n v="28"/>
    <n v="4"/>
    <n v="1.5"/>
    <s v="fwd"/>
    <s v="gas"/>
    <n v="32"/>
    <x v="11"/>
    <x v="107"/>
    <x v="1"/>
    <n v="2018"/>
  </r>
  <r>
    <n v="24"/>
    <s v="small sport utility vehicle"/>
    <n v="26"/>
    <n v="4"/>
    <n v="1.5"/>
    <s v="awd"/>
    <s v="gas"/>
    <n v="30"/>
    <x v="11"/>
    <x v="108"/>
    <x v="1"/>
    <n v="2018"/>
  </r>
  <r>
    <n v="24"/>
    <s v="subcompact car"/>
    <n v="27"/>
    <n v="4"/>
    <n v="2"/>
    <s v="awd"/>
    <s v="gas"/>
    <n v="34"/>
    <x v="4"/>
    <x v="109"/>
    <x v="1"/>
    <n v="2018"/>
  </r>
  <r>
    <n v="24"/>
    <s v="subcompact car"/>
    <n v="27"/>
    <n v="4"/>
    <n v="2"/>
    <s v="awd"/>
    <s v="gas"/>
    <n v="33"/>
    <x v="4"/>
    <x v="110"/>
    <x v="0"/>
    <n v="2018"/>
  </r>
  <r>
    <n v="24"/>
    <s v="compact car"/>
    <n v="27"/>
    <n v="4"/>
    <n v="2"/>
    <s v="awd"/>
    <s v="gas"/>
    <n v="34"/>
    <x v="4"/>
    <x v="100"/>
    <x v="1"/>
    <n v="2018"/>
  </r>
  <r>
    <n v="24"/>
    <s v="compact car"/>
    <n v="27"/>
    <n v="4"/>
    <n v="2"/>
    <s v="awd"/>
    <s v="gas"/>
    <n v="33"/>
    <x v="4"/>
    <x v="100"/>
    <x v="0"/>
    <n v="2018"/>
  </r>
  <r>
    <n v="21"/>
    <s v="compact car"/>
    <n v="23"/>
    <n v="4"/>
    <n v="2"/>
    <s v="awd"/>
    <s v="gas"/>
    <n v="27"/>
    <x v="2"/>
    <x v="31"/>
    <x v="0"/>
    <n v="2018"/>
  </r>
  <r>
    <n v="18"/>
    <s v="compact car"/>
    <n v="21"/>
    <n v="4"/>
    <n v="2"/>
    <s v="awd"/>
    <s v="gas"/>
    <n v="24"/>
    <x v="2"/>
    <x v="31"/>
    <x v="1"/>
    <n v="2018"/>
  </r>
  <r>
    <n v="24"/>
    <s v="midsize car"/>
    <n v="27"/>
    <n v="4"/>
    <n v="2"/>
    <s v="awd"/>
    <s v="gas"/>
    <n v="34"/>
    <x v="4"/>
    <x v="111"/>
    <x v="1"/>
    <n v="2018"/>
  </r>
  <r>
    <n v="18"/>
    <s v="large car"/>
    <n v="20"/>
    <n v="6"/>
    <n v="3.8"/>
    <s v="awd"/>
    <s v="gas"/>
    <n v="25"/>
    <x v="23"/>
    <x v="112"/>
    <x v="1"/>
    <n v="2018"/>
  </r>
  <r>
    <n v="19"/>
    <s v="large car"/>
    <n v="22"/>
    <n v="6"/>
    <n v="3.8"/>
    <s v="rwd"/>
    <s v="gas"/>
    <n v="27"/>
    <x v="23"/>
    <x v="113"/>
    <x v="1"/>
    <n v="2018"/>
  </r>
  <r>
    <n v="23"/>
    <s v="small sport utility vehicle"/>
    <n v="25"/>
    <n v="4"/>
    <n v="2"/>
    <s v="awd"/>
    <s v="gas"/>
    <n v="27"/>
    <x v="4"/>
    <x v="114"/>
    <x v="1"/>
    <n v="2018"/>
  </r>
  <r>
    <n v="24"/>
    <s v="subcompact car"/>
    <n v="27"/>
    <n v="4"/>
    <n v="2"/>
    <s v="awd"/>
    <s v="gas"/>
    <n v="34"/>
    <x v="4"/>
    <x v="110"/>
    <x v="1"/>
    <n v="2018"/>
  </r>
  <r>
    <n v="21"/>
    <s v="subcompact car"/>
    <n v="24"/>
    <n v="6"/>
    <n v="3"/>
    <s v="awd"/>
    <s v="gas"/>
    <n v="30"/>
    <x v="4"/>
    <x v="115"/>
    <x v="1"/>
    <n v="2018"/>
  </r>
  <r>
    <n v="20"/>
    <s v="subcompact car"/>
    <n v="23"/>
    <n v="6"/>
    <n v="3"/>
    <s v="awd"/>
    <s v="gas"/>
    <n v="29"/>
    <x v="4"/>
    <x v="116"/>
    <x v="1"/>
    <n v="2018"/>
  </r>
  <r>
    <n v="21"/>
    <s v="compact car"/>
    <n v="24"/>
    <n v="6"/>
    <n v="3"/>
    <s v="awd"/>
    <s v="gas"/>
    <n v="30"/>
    <x v="4"/>
    <x v="117"/>
    <x v="1"/>
    <n v="2018"/>
  </r>
  <r>
    <n v="21"/>
    <s v="midsize car"/>
    <n v="24"/>
    <n v="6"/>
    <n v="3"/>
    <s v="awd"/>
    <s v="gas"/>
    <n v="30"/>
    <x v="4"/>
    <x v="118"/>
    <x v="1"/>
    <n v="2018"/>
  </r>
  <r>
    <n v="17"/>
    <s v="large car"/>
    <n v="20"/>
    <n v="6"/>
    <n v="3.3"/>
    <s v="awd"/>
    <s v="gas"/>
    <n v="24"/>
    <x v="23"/>
    <x v="112"/>
    <x v="1"/>
    <n v="2018"/>
  </r>
  <r>
    <n v="17"/>
    <s v="large car"/>
    <n v="20"/>
    <n v="6"/>
    <n v="3.3"/>
    <s v="rwd"/>
    <s v="gas"/>
    <n v="25"/>
    <x v="23"/>
    <x v="113"/>
    <x v="1"/>
    <n v="2018"/>
  </r>
  <r>
    <n v="19"/>
    <s v="small sport utility vehicle"/>
    <n v="21"/>
    <n v="6"/>
    <n v="3"/>
    <s v="awd"/>
    <s v="gas"/>
    <n v="24"/>
    <x v="4"/>
    <x v="119"/>
    <x v="1"/>
    <n v="2018"/>
  </r>
  <r>
    <n v="12"/>
    <s v="standard sport utility vehicle"/>
    <n v="15"/>
    <n v="12"/>
    <n v="6"/>
    <s v="awd"/>
    <s v="gas"/>
    <n v="19"/>
    <x v="16"/>
    <x v="120"/>
    <x v="1"/>
    <n v="2018"/>
  </r>
  <r>
    <n v="24"/>
    <s v="subcompact car"/>
    <n v="27"/>
    <n v="4"/>
    <n v="2"/>
    <s v="rwd"/>
    <s v="gas"/>
    <n v="34"/>
    <x v="20"/>
    <x v="121"/>
    <x v="1"/>
    <n v="2018"/>
  </r>
  <r>
    <n v="22"/>
    <s v="subcompact car"/>
    <n v="26"/>
    <n v="4"/>
    <n v="2"/>
    <s v="awd"/>
    <s v="gas"/>
    <n v="32"/>
    <x v="20"/>
    <x v="122"/>
    <x v="1"/>
    <n v="2018"/>
  </r>
  <r>
    <n v="21"/>
    <s v="subcompact car"/>
    <n v="24"/>
    <n v="6"/>
    <n v="3"/>
    <s v="rwd"/>
    <s v="gas"/>
    <n v="29"/>
    <x v="20"/>
    <x v="123"/>
    <x v="1"/>
    <n v="2018"/>
  </r>
  <r>
    <n v="20"/>
    <s v="subcompact car"/>
    <n v="23"/>
    <n v="6"/>
    <n v="3"/>
    <s v="awd"/>
    <s v="gas"/>
    <n v="29"/>
    <x v="20"/>
    <x v="124"/>
    <x v="1"/>
    <n v="2018"/>
  </r>
  <r>
    <n v="17"/>
    <s v="subcompact car"/>
    <n v="20"/>
    <n v="6"/>
    <n v="3"/>
    <s v="rwd"/>
    <s v="gas"/>
    <n v="25"/>
    <x v="20"/>
    <x v="125"/>
    <x v="0"/>
    <n v="2018"/>
  </r>
  <r>
    <n v="16"/>
    <s v="subcompact car"/>
    <n v="19"/>
    <n v="6"/>
    <n v="3"/>
    <s v="rwd"/>
    <s v="gas"/>
    <n v="22"/>
    <x v="20"/>
    <x v="125"/>
    <x v="1"/>
    <n v="2018"/>
  </r>
  <r>
    <n v="20"/>
    <s v="subcompact car"/>
    <n v="23"/>
    <n v="6"/>
    <n v="3"/>
    <s v="rwd"/>
    <s v="gas"/>
    <n v="29"/>
    <x v="20"/>
    <x v="126"/>
    <x v="1"/>
    <n v="2018"/>
  </r>
  <r>
    <n v="19"/>
    <s v="subcompact car"/>
    <n v="22"/>
    <n v="6"/>
    <n v="3"/>
    <s v="awd"/>
    <s v="gas"/>
    <n v="28"/>
    <x v="20"/>
    <x v="127"/>
    <x v="1"/>
    <n v="2018"/>
  </r>
  <r>
    <n v="17"/>
    <s v="subcompact car"/>
    <n v="20"/>
    <n v="8"/>
    <n v="4.4000000000000004"/>
    <s v="rwd"/>
    <s v="gas"/>
    <n v="25"/>
    <x v="20"/>
    <x v="128"/>
    <x v="1"/>
    <n v="2018"/>
  </r>
  <r>
    <n v="16"/>
    <s v="subcompact car"/>
    <n v="19"/>
    <n v="8"/>
    <n v="4.4000000000000004"/>
    <s v="awd"/>
    <s v="gas"/>
    <n v="25"/>
    <x v="20"/>
    <x v="129"/>
    <x v="1"/>
    <n v="2018"/>
  </r>
  <r>
    <n v="15"/>
    <s v="subcompact car"/>
    <n v="17"/>
    <n v="8"/>
    <n v="4.4000000000000004"/>
    <s v="rwd"/>
    <s v="gas"/>
    <n v="22"/>
    <x v="20"/>
    <x v="130"/>
    <x v="0"/>
    <n v="2018"/>
  </r>
  <r>
    <n v="14"/>
    <s v="subcompact car"/>
    <n v="16"/>
    <n v="8"/>
    <n v="4.4000000000000004"/>
    <s v="rwd"/>
    <s v="gas"/>
    <n v="20"/>
    <x v="20"/>
    <x v="130"/>
    <x v="1"/>
    <n v="2018"/>
  </r>
  <r>
    <n v="24"/>
    <s v="compact car"/>
    <n v="27"/>
    <n v="4"/>
    <n v="2"/>
    <s v="rwd"/>
    <s v="gas"/>
    <n v="34"/>
    <x v="20"/>
    <x v="131"/>
    <x v="1"/>
    <n v="2018"/>
  </r>
  <r>
    <n v="21"/>
    <s v="compact car"/>
    <n v="25"/>
    <n v="4"/>
    <n v="2"/>
    <s v="rwd"/>
    <s v="gas"/>
    <n v="33"/>
    <x v="20"/>
    <x v="131"/>
    <x v="0"/>
    <n v="2018"/>
  </r>
  <r>
    <n v="23"/>
    <s v="compact car"/>
    <n v="27"/>
    <n v="4"/>
    <n v="2"/>
    <s v="awd"/>
    <s v="gas"/>
    <n v="33"/>
    <x v="20"/>
    <x v="132"/>
    <x v="1"/>
    <n v="2018"/>
  </r>
  <r>
    <n v="24"/>
    <s v="compact car"/>
    <n v="27"/>
    <n v="4"/>
    <n v="2"/>
    <s v="rwd"/>
    <s v="gas"/>
    <n v="34"/>
    <x v="20"/>
    <x v="133"/>
    <x v="1"/>
    <n v="2018"/>
  </r>
  <r>
    <n v="23"/>
    <s v="compact car"/>
    <n v="27"/>
    <n v="4"/>
    <n v="2"/>
    <s v="awd"/>
    <s v="gas"/>
    <n v="33"/>
    <x v="20"/>
    <x v="134"/>
    <x v="1"/>
    <n v="2018"/>
  </r>
  <r>
    <n v="21"/>
    <s v="compact car"/>
    <n v="25"/>
    <n v="6"/>
    <n v="3"/>
    <s v="rwd"/>
    <s v="gas"/>
    <n v="32"/>
    <x v="20"/>
    <x v="135"/>
    <x v="1"/>
    <n v="2018"/>
  </r>
  <r>
    <n v="21"/>
    <s v="compact car"/>
    <n v="25"/>
    <n v="6"/>
    <n v="3"/>
    <s v="awd"/>
    <s v="gas"/>
    <n v="31"/>
    <x v="20"/>
    <x v="136"/>
    <x v="1"/>
    <n v="2018"/>
  </r>
  <r>
    <n v="19"/>
    <s v="compact car"/>
    <n v="23"/>
    <n v="6"/>
    <n v="3"/>
    <s v="awd"/>
    <s v="gas"/>
    <n v="29"/>
    <x v="20"/>
    <x v="136"/>
    <x v="0"/>
    <n v="2018"/>
  </r>
  <r>
    <n v="21"/>
    <s v="compact car"/>
    <n v="25"/>
    <n v="6"/>
    <n v="3"/>
    <s v="rwd"/>
    <s v="gas"/>
    <n v="32"/>
    <x v="20"/>
    <x v="137"/>
    <x v="1"/>
    <n v="2018"/>
  </r>
  <r>
    <n v="21"/>
    <s v="compact car"/>
    <n v="25"/>
    <n v="6"/>
    <n v="3"/>
    <s v="awd"/>
    <s v="gas"/>
    <n v="31"/>
    <x v="20"/>
    <x v="138"/>
    <x v="1"/>
    <n v="2018"/>
  </r>
  <r>
    <n v="17"/>
    <s v="compact car"/>
    <n v="20"/>
    <n v="6"/>
    <n v="3"/>
    <s v="rwd"/>
    <s v="gas"/>
    <n v="25"/>
    <x v="20"/>
    <x v="139"/>
    <x v="0"/>
    <n v="2018"/>
  </r>
  <r>
    <n v="17"/>
    <s v="compact car"/>
    <n v="20"/>
    <n v="6"/>
    <n v="3"/>
    <s v="rwd"/>
    <s v="gas"/>
    <n v="24"/>
    <x v="20"/>
    <x v="139"/>
    <x v="1"/>
    <n v="2018"/>
  </r>
  <r>
    <n v="20"/>
    <s v="compact car"/>
    <n v="23"/>
    <n v="6"/>
    <n v="3"/>
    <s v="rwd"/>
    <s v="gas"/>
    <n v="29"/>
    <x v="20"/>
    <x v="140"/>
    <x v="1"/>
    <n v="2018"/>
  </r>
  <r>
    <n v="19"/>
    <s v="compact car"/>
    <n v="22"/>
    <n v="6"/>
    <n v="3"/>
    <s v="awd"/>
    <s v="gas"/>
    <n v="28"/>
    <x v="20"/>
    <x v="141"/>
    <x v="1"/>
    <n v="2018"/>
  </r>
  <r>
    <n v="17"/>
    <s v="compact car"/>
    <n v="20"/>
    <n v="8"/>
    <n v="4.4000000000000004"/>
    <s v="rwd"/>
    <s v="gas"/>
    <n v="25"/>
    <x v="20"/>
    <x v="142"/>
    <x v="1"/>
    <n v="2018"/>
  </r>
  <r>
    <n v="16"/>
    <s v="compact car"/>
    <n v="19"/>
    <n v="8"/>
    <n v="4.4000000000000004"/>
    <s v="awd"/>
    <s v="gas"/>
    <n v="25"/>
    <x v="20"/>
    <x v="143"/>
    <x v="1"/>
    <n v="2018"/>
  </r>
  <r>
    <n v="16"/>
    <s v="compact car"/>
    <n v="19"/>
    <n v="8"/>
    <n v="4.4000000000000004"/>
    <s v="awd"/>
    <s v="gas"/>
    <n v="25"/>
    <x v="20"/>
    <x v="144"/>
    <x v="1"/>
    <n v="2018"/>
  </r>
  <r>
    <n v="20"/>
    <s v="small sport utility vehicle"/>
    <n v="23"/>
    <n v="6"/>
    <n v="3.2"/>
    <s v="fwd"/>
    <s v="gas"/>
    <n v="29"/>
    <x v="8"/>
    <x v="145"/>
    <x v="1"/>
    <n v="2019"/>
  </r>
  <r>
    <n v="19"/>
    <s v="small sport utility vehicle"/>
    <n v="22"/>
    <n v="6"/>
    <n v="3.2"/>
    <s v="awd"/>
    <s v="gas"/>
    <n v="27"/>
    <x v="8"/>
    <x v="146"/>
    <x v="1"/>
    <n v="2019"/>
  </r>
  <r>
    <n v="18"/>
    <s v="small sport utility vehicle"/>
    <n v="21"/>
    <n v="6"/>
    <n v="3.2"/>
    <s v="4wd"/>
    <s v="gas"/>
    <n v="26"/>
    <x v="8"/>
    <x v="147"/>
    <x v="1"/>
    <n v="2019"/>
  </r>
  <r>
    <n v="18"/>
    <s v="small sport utility vehicle"/>
    <n v="21"/>
    <n v="6"/>
    <n v="3.2"/>
    <s v="4wd"/>
    <s v="gas"/>
    <n v="24"/>
    <x v="8"/>
    <x v="148"/>
    <x v="1"/>
    <n v="2019"/>
  </r>
  <r>
    <n v="16"/>
    <s v="two seater"/>
    <n v="19"/>
    <n v="8"/>
    <n v="6.2"/>
    <s v="rwd"/>
    <s v="gas"/>
    <n v="25"/>
    <x v="11"/>
    <x v="149"/>
    <x v="0"/>
    <n v="2019"/>
  </r>
  <r>
    <n v="15"/>
    <s v="two seater"/>
    <n v="18"/>
    <n v="8"/>
    <n v="6.2"/>
    <s v="rwd"/>
    <s v="gas"/>
    <n v="25"/>
    <x v="11"/>
    <x v="149"/>
    <x v="1"/>
    <n v="2019"/>
  </r>
  <r>
    <n v="14"/>
    <s v="two seater"/>
    <n v="17"/>
    <n v="8"/>
    <n v="6.2"/>
    <s v="rwd"/>
    <s v="gas"/>
    <n v="23"/>
    <x v="11"/>
    <x v="150"/>
    <x v="1"/>
    <n v="2019"/>
  </r>
  <r>
    <n v="30"/>
    <s v="compact car"/>
    <n v="34"/>
    <n v="4"/>
    <n v="1.4"/>
    <s v="fwd"/>
    <s v="gas"/>
    <n v="40"/>
    <x v="24"/>
    <x v="151"/>
    <x v="1"/>
    <n v="2019"/>
  </r>
  <r>
    <n v="30"/>
    <s v="compact car"/>
    <n v="34"/>
    <n v="4"/>
    <n v="1.4"/>
    <s v="fwd"/>
    <s v="gas"/>
    <n v="40"/>
    <x v="24"/>
    <x v="151"/>
    <x v="0"/>
    <n v="2019"/>
  </r>
  <r>
    <n v="22"/>
    <s v="small sport utility vehicle"/>
    <n v="25"/>
    <n v="4"/>
    <n v="2.4"/>
    <s v="fwd"/>
    <s v="gas"/>
    <n v="29"/>
    <x v="5"/>
    <x v="25"/>
    <x v="1"/>
    <n v="2019"/>
  </r>
  <r>
    <n v="24"/>
    <s v="small sport utility vehicle"/>
    <n v="27"/>
    <n v="4"/>
    <n v="2"/>
    <s v="fwd"/>
    <s v="gas"/>
    <n v="31"/>
    <x v="25"/>
    <x v="152"/>
    <x v="1"/>
    <n v="2019"/>
  </r>
  <r>
    <n v="19"/>
    <s v="small sport utility vehicle"/>
    <n v="22"/>
    <n v="6"/>
    <n v="3.3"/>
    <s v="fwd"/>
    <s v="gas"/>
    <n v="26"/>
    <x v="5"/>
    <x v="25"/>
    <x v="1"/>
    <n v="2019"/>
  </r>
  <r>
    <n v="24"/>
    <s v="small sport utility vehicle"/>
    <n v="26"/>
    <n v="4"/>
    <n v="2"/>
    <s v="awd"/>
    <s v="gas"/>
    <n v="30"/>
    <x v="25"/>
    <x v="153"/>
    <x v="1"/>
    <n v="2019"/>
  </r>
  <r>
    <n v="21"/>
    <s v="small sport utility vehicle"/>
    <n v="23"/>
    <n v="4"/>
    <n v="2.4"/>
    <s v="awd"/>
    <s v="gas"/>
    <n v="26"/>
    <x v="5"/>
    <x v="26"/>
    <x v="1"/>
    <n v="2019"/>
  </r>
  <r>
    <n v="19"/>
    <s v="small sport utility vehicle"/>
    <n v="21"/>
    <n v="6"/>
    <n v="3.3"/>
    <s v="awd"/>
    <s v="gas"/>
    <n v="24"/>
    <x v="5"/>
    <x v="26"/>
    <x v="1"/>
    <n v="2019"/>
  </r>
  <r>
    <n v="15"/>
    <s v="two seater"/>
    <n v="17"/>
    <n v="8"/>
    <n v="6.2"/>
    <s v="rwd"/>
    <s v="gas"/>
    <n v="22"/>
    <x v="11"/>
    <x v="150"/>
    <x v="0"/>
    <n v="2019"/>
  </r>
  <r>
    <n v="18"/>
    <s v="minivan"/>
    <n v="21"/>
    <n v="6"/>
    <n v="3.3"/>
    <s v="fwd"/>
    <s v="gas"/>
    <n v="24"/>
    <x v="5"/>
    <x v="76"/>
    <x v="1"/>
    <n v="2019"/>
  </r>
  <r>
    <n v="23"/>
    <s v="small sport utility vehicle"/>
    <n v="26"/>
    <n v="4"/>
    <n v="2"/>
    <s v="fwd"/>
    <s v="gas"/>
    <n v="31"/>
    <x v="8"/>
    <x v="145"/>
    <x v="1"/>
    <n v="2019"/>
  </r>
  <r>
    <n v="22"/>
    <s v="small sport utility vehicle"/>
    <n v="25"/>
    <n v="4"/>
    <n v="2.4"/>
    <s v="fwd"/>
    <s v="gas"/>
    <n v="31"/>
    <x v="8"/>
    <x v="145"/>
    <x v="1"/>
    <n v="2019"/>
  </r>
  <r>
    <n v="21"/>
    <s v="small sport utility vehicle"/>
    <n v="24"/>
    <n v="4"/>
    <n v="2"/>
    <s v="awd"/>
    <s v="gas"/>
    <n v="29"/>
    <x v="8"/>
    <x v="146"/>
    <x v="1"/>
    <n v="2019"/>
  </r>
  <r>
    <n v="21"/>
    <s v="small sport utility vehicle"/>
    <n v="24"/>
    <n v="4"/>
    <n v="2.4"/>
    <s v="awd"/>
    <s v="gas"/>
    <n v="29"/>
    <x v="8"/>
    <x v="146"/>
    <x v="1"/>
    <n v="2019"/>
  </r>
  <r>
    <n v="20"/>
    <s v="small sport utility vehicle"/>
    <n v="22"/>
    <n v="4"/>
    <n v="2"/>
    <s v="4wd"/>
    <s v="gas"/>
    <n v="26"/>
    <x v="8"/>
    <x v="148"/>
    <x v="1"/>
    <n v="2019"/>
  </r>
  <r>
    <n v="20"/>
    <s v="small sport utility vehicle"/>
    <n v="23"/>
    <n v="4"/>
    <n v="2"/>
    <s v="4wd"/>
    <s v="gas"/>
    <n v="27"/>
    <x v="8"/>
    <x v="147"/>
    <x v="1"/>
    <n v="2019"/>
  </r>
  <r>
    <n v="17"/>
    <s v="compact car"/>
    <n v="20"/>
    <n v="6"/>
    <n v="3.3"/>
    <s v="awd"/>
    <s v="gas"/>
    <n v="25"/>
    <x v="23"/>
    <x v="154"/>
    <x v="1"/>
    <n v="2019"/>
  </r>
  <r>
    <n v="17"/>
    <s v="compact car"/>
    <n v="20"/>
    <n v="6"/>
    <n v="3.3"/>
    <s v="rwd"/>
    <s v="gas"/>
    <n v="26"/>
    <x v="23"/>
    <x v="155"/>
    <x v="1"/>
    <n v="2019"/>
  </r>
  <r>
    <n v="21"/>
    <s v="compact car"/>
    <n v="23"/>
    <n v="4"/>
    <n v="2"/>
    <s v="awd"/>
    <s v="gas"/>
    <n v="28"/>
    <x v="23"/>
    <x v="154"/>
    <x v="1"/>
    <n v="2019"/>
  </r>
  <r>
    <n v="22"/>
    <s v="compact car"/>
    <n v="25"/>
    <n v="4"/>
    <n v="2"/>
    <s v="rwd"/>
    <s v="gas"/>
    <n v="30"/>
    <x v="23"/>
    <x v="155"/>
    <x v="1"/>
    <n v="2019"/>
  </r>
  <r>
    <n v="18"/>
    <s v="compact car"/>
    <n v="22"/>
    <n v="4"/>
    <n v="2"/>
    <s v="rwd"/>
    <s v="gas"/>
    <n v="28"/>
    <x v="23"/>
    <x v="155"/>
    <x v="0"/>
    <n v="2019"/>
  </r>
  <r>
    <n v="20"/>
    <s v="small sport utility vehicle"/>
    <n v="22"/>
    <n v="4"/>
    <n v="2"/>
    <s v="awd"/>
    <s v="gas"/>
    <n v="25"/>
    <x v="26"/>
    <x v="156"/>
    <x v="1"/>
    <n v="2019"/>
  </r>
  <r>
    <n v="19"/>
    <s v="small pickup truck"/>
    <n v="22"/>
    <n v="6"/>
    <n v="3.5"/>
    <s v="fwd"/>
    <s v="gas"/>
    <n v="26"/>
    <x v="15"/>
    <x v="157"/>
    <x v="1"/>
    <n v="2019"/>
  </r>
  <r>
    <n v="18"/>
    <s v="standard pickup truck"/>
    <n v="21"/>
    <n v="6"/>
    <n v="3.5"/>
    <s v="awd"/>
    <s v="gas"/>
    <n v="25"/>
    <x v="15"/>
    <x v="158"/>
    <x v="1"/>
    <n v="2019"/>
  </r>
  <r>
    <n v="23"/>
    <s v="small sport utility vehicle"/>
    <n v="26"/>
    <n v="4"/>
    <n v="2"/>
    <s v="awd"/>
    <s v="gas"/>
    <n v="31"/>
    <x v="10"/>
    <x v="159"/>
    <x v="1"/>
    <n v="2019"/>
  </r>
  <r>
    <n v="27"/>
    <s v="compact car"/>
    <n v="30"/>
    <n v="4"/>
    <n v="2"/>
    <s v="fwd"/>
    <s v="gas"/>
    <n v="34"/>
    <x v="17"/>
    <x v="62"/>
    <x v="1"/>
    <n v="2019"/>
  </r>
  <r>
    <n v="25"/>
    <s v="compact car"/>
    <n v="28"/>
    <n v="4"/>
    <n v="2"/>
    <s v="fwd"/>
    <s v="gas"/>
    <n v="33"/>
    <x v="17"/>
    <x v="62"/>
    <x v="0"/>
    <n v="2019"/>
  </r>
  <r>
    <n v="28"/>
    <s v="compact car"/>
    <n v="30"/>
    <n v="4"/>
    <n v="1.6"/>
    <s v="fwd"/>
    <s v="gas"/>
    <n v="34"/>
    <x v="17"/>
    <x v="62"/>
    <x v="1"/>
    <n v="2019"/>
  </r>
  <r>
    <n v="26"/>
    <s v="compact car"/>
    <n v="29"/>
    <n v="4"/>
    <n v="1.6"/>
    <s v="fwd"/>
    <s v="gas"/>
    <n v="33"/>
    <x v="17"/>
    <x v="62"/>
    <x v="0"/>
    <n v="2019"/>
  </r>
  <r>
    <n v="15"/>
    <s v="standard pickup truck"/>
    <n v="17"/>
    <n v="8"/>
    <n v="5.7"/>
    <s v="rwd"/>
    <s v="gas"/>
    <n v="22"/>
    <x v="27"/>
    <x v="160"/>
    <x v="1"/>
    <n v="2019"/>
  </r>
  <r>
    <n v="15"/>
    <s v="standard pickup truck"/>
    <n v="17"/>
    <n v="8"/>
    <n v="5.7"/>
    <s v="4wd"/>
    <s v="gas"/>
    <n v="21"/>
    <x v="27"/>
    <x v="161"/>
    <x v="1"/>
    <n v="2019"/>
  </r>
  <r>
    <n v="22"/>
    <s v="small sport utility vehicle"/>
    <n v="25"/>
    <n v="4"/>
    <n v="2.5"/>
    <s v="fwd"/>
    <s v="gas"/>
    <n v="29"/>
    <x v="26"/>
    <x v="162"/>
    <x v="1"/>
    <n v="2019"/>
  </r>
  <r>
    <n v="21"/>
    <s v="small sport utility vehicle"/>
    <n v="24"/>
    <n v="4"/>
    <n v="2.5"/>
    <s v="awd"/>
    <s v="gas"/>
    <n v="27"/>
    <x v="26"/>
    <x v="156"/>
    <x v="1"/>
    <n v="2019"/>
  </r>
  <r>
    <n v="23"/>
    <s v="compact car"/>
    <n v="26"/>
    <n v="4"/>
    <n v="2.4"/>
    <s v="fwd"/>
    <s v="gas"/>
    <n v="32"/>
    <x v="19"/>
    <x v="163"/>
    <x v="1"/>
    <n v="2019"/>
  </r>
  <r>
    <n v="20"/>
    <s v="compact car"/>
    <n v="23"/>
    <n v="6"/>
    <n v="3.5"/>
    <s v="fwd"/>
    <s v="gas"/>
    <n v="30"/>
    <x v="19"/>
    <x v="163"/>
    <x v="1"/>
    <n v="2019"/>
  </r>
  <r>
    <n v="20"/>
    <s v="compact car"/>
    <n v="23"/>
    <n v="6"/>
    <n v="3.5"/>
    <s v="awd"/>
    <s v="gas"/>
    <n v="29"/>
    <x v="19"/>
    <x v="164"/>
    <x v="1"/>
    <n v="2019"/>
  </r>
  <r>
    <n v="20"/>
    <s v="compact car"/>
    <n v="23"/>
    <n v="6"/>
    <n v="3.5"/>
    <s v="awd"/>
    <s v="gas"/>
    <n v="29"/>
    <x v="19"/>
    <x v="165"/>
    <x v="1"/>
    <n v="2019"/>
  </r>
  <r>
    <n v="13"/>
    <s v="two seater"/>
    <n v="15"/>
    <n v="8"/>
    <n v="6.2"/>
    <s v="rwd"/>
    <s v="gas"/>
    <n v="19"/>
    <x v="11"/>
    <x v="166"/>
    <x v="0"/>
    <n v="2019"/>
  </r>
  <r>
    <n v="12"/>
    <s v="two seater"/>
    <n v="15"/>
    <n v="8"/>
    <n v="6.2"/>
    <s v="rwd"/>
    <s v="gas"/>
    <n v="20"/>
    <x v="11"/>
    <x v="166"/>
    <x v="1"/>
    <n v="2019"/>
  </r>
  <r>
    <n v="27"/>
    <s v="minicompact car"/>
    <n v="30"/>
    <n v="3"/>
    <n v="1.5"/>
    <s v="fwd"/>
    <s v="gas"/>
    <n v="35"/>
    <x v="22"/>
    <x v="167"/>
    <x v="1"/>
    <n v="2019"/>
  </r>
  <r>
    <n v="28"/>
    <s v="minicompact car"/>
    <n v="31"/>
    <n v="3"/>
    <n v="1.5"/>
    <s v="fwd"/>
    <s v="gas"/>
    <n v="37"/>
    <x v="22"/>
    <x v="167"/>
    <x v="0"/>
    <n v="2019"/>
  </r>
  <r>
    <n v="25"/>
    <s v="minicompact car"/>
    <n v="28"/>
    <n v="4"/>
    <n v="2"/>
    <s v="fwd"/>
    <s v="gas"/>
    <n v="33"/>
    <x v="22"/>
    <x v="168"/>
    <x v="1"/>
    <n v="2019"/>
  </r>
  <r>
    <n v="23"/>
    <s v="minicompact car"/>
    <n v="26"/>
    <n v="4"/>
    <n v="2"/>
    <s v="fwd"/>
    <s v="gas"/>
    <n v="32"/>
    <x v="22"/>
    <x v="168"/>
    <x v="0"/>
    <n v="2019"/>
  </r>
  <r>
    <n v="31"/>
    <s v="compact car"/>
    <n v="34"/>
    <n v="4"/>
    <n v="2"/>
    <s v="fwd"/>
    <s v="gas"/>
    <n v="40"/>
    <x v="28"/>
    <x v="169"/>
    <x v="1"/>
    <n v="2020"/>
  </r>
  <r>
    <n v="53"/>
    <s v="compact car"/>
    <n v="52"/>
    <n v="4"/>
    <n v="1.8"/>
    <s v="fwd"/>
    <s v="gas"/>
    <n v="52"/>
    <x v="28"/>
    <x v="170"/>
    <x v="1"/>
    <n v="2020"/>
  </r>
  <r>
    <n v="29"/>
    <s v="compact car"/>
    <n v="32"/>
    <n v="4"/>
    <n v="2"/>
    <s v="fwd"/>
    <s v="gas"/>
    <n v="36"/>
    <x v="28"/>
    <x v="169"/>
    <x v="0"/>
    <n v="2020"/>
  </r>
  <r>
    <n v="31"/>
    <s v="compact car"/>
    <n v="34"/>
    <n v="4"/>
    <n v="2"/>
    <s v="fwd"/>
    <s v="gas"/>
    <n v="38"/>
    <x v="28"/>
    <x v="171"/>
    <x v="1"/>
    <n v="2020"/>
  </r>
  <r>
    <n v="30"/>
    <s v="compact car"/>
    <n v="33"/>
    <n v="4"/>
    <n v="1.8"/>
    <s v="fwd"/>
    <s v="gas"/>
    <n v="38"/>
    <x v="28"/>
    <x v="169"/>
    <x v="1"/>
    <n v="2020"/>
  </r>
  <r>
    <n v="29"/>
    <s v="compact car"/>
    <n v="33"/>
    <n v="4"/>
    <n v="1.8"/>
    <s v="fwd"/>
    <s v="gas"/>
    <n v="39"/>
    <x v="28"/>
    <x v="169"/>
    <x v="0"/>
    <n v="2020"/>
  </r>
  <r>
    <n v="29"/>
    <s v="compact car"/>
    <n v="32"/>
    <n v="4"/>
    <n v="1.8"/>
    <s v="fwd"/>
    <s v="gas"/>
    <n v="37"/>
    <x v="28"/>
    <x v="172"/>
    <x v="1"/>
    <n v="2020"/>
  </r>
  <r>
    <n v="27"/>
    <s v="small station wagon"/>
    <n v="30"/>
    <n v="4"/>
    <n v="2"/>
    <s v="fwd"/>
    <s v="gas"/>
    <n v="33"/>
    <x v="5"/>
    <x v="173"/>
    <x v="1"/>
    <n v="2020"/>
  </r>
  <r>
    <n v="29"/>
    <s v="small station wagon"/>
    <n v="31"/>
    <n v="4"/>
    <n v="2"/>
    <s v="fwd"/>
    <s v="gas"/>
    <n v="35"/>
    <x v="5"/>
    <x v="174"/>
    <x v="1"/>
    <n v="2020"/>
  </r>
  <r>
    <n v="25"/>
    <s v="small station wagon"/>
    <n v="27"/>
    <n v="4"/>
    <n v="2"/>
    <s v="fwd"/>
    <s v="gas"/>
    <n v="31"/>
    <x v="5"/>
    <x v="173"/>
    <x v="0"/>
    <n v="2020"/>
  </r>
  <r>
    <n v="27"/>
    <s v="small station wagon"/>
    <n v="29"/>
    <n v="4"/>
    <n v="1.6"/>
    <s v="fwd"/>
    <s v="gas"/>
    <n v="32"/>
    <x v="5"/>
    <x v="173"/>
    <x v="1"/>
    <n v="2020"/>
  </r>
  <r>
    <n v="23"/>
    <s v="small sport utility vehicle"/>
    <n v="26"/>
    <n v="4"/>
    <n v="2.4"/>
    <s v="fwd"/>
    <s v="gas"/>
    <n v="30"/>
    <x v="5"/>
    <x v="92"/>
    <x v="1"/>
    <n v="2020"/>
  </r>
  <r>
    <n v="20"/>
    <s v="small sport utility vehicle"/>
    <n v="23"/>
    <n v="4"/>
    <n v="2"/>
    <s v="fwd"/>
    <s v="gas"/>
    <n v="28"/>
    <x v="5"/>
    <x v="92"/>
    <x v="1"/>
    <n v="2020"/>
  </r>
  <r>
    <n v="20"/>
    <s v="small sport utility vehicle"/>
    <n v="23"/>
    <n v="6"/>
    <n v="3.8"/>
    <s v="fwd"/>
    <s v="gas"/>
    <n v="26"/>
    <x v="5"/>
    <x v="175"/>
    <x v="1"/>
    <n v="2020"/>
  </r>
  <r>
    <n v="22"/>
    <s v="small sport utility vehicle"/>
    <n v="23"/>
    <n v="4"/>
    <n v="2.4"/>
    <s v="awd"/>
    <s v="gas"/>
    <n v="26"/>
    <x v="5"/>
    <x v="94"/>
    <x v="1"/>
    <n v="2020"/>
  </r>
  <r>
    <n v="19"/>
    <s v="small sport utility vehicle"/>
    <n v="21"/>
    <n v="4"/>
    <n v="2"/>
    <s v="awd"/>
    <s v="gas"/>
    <n v="24"/>
    <x v="5"/>
    <x v="94"/>
    <x v="1"/>
    <n v="2020"/>
  </r>
  <r>
    <n v="19"/>
    <s v="small sport utility vehicle"/>
    <n v="21"/>
    <n v="6"/>
    <n v="3.8"/>
    <s v="awd"/>
    <s v="gas"/>
    <n v="24"/>
    <x v="5"/>
    <x v="176"/>
    <x v="1"/>
    <n v="2020"/>
  </r>
  <r>
    <n v="19"/>
    <s v="small sport utility vehicle"/>
    <n v="22"/>
    <n v="4"/>
    <n v="2"/>
    <s v="4wd"/>
    <s v="gas"/>
    <n v="26"/>
    <x v="29"/>
    <x v="177"/>
    <x v="1"/>
    <n v="2020"/>
  </r>
  <r>
    <n v="19"/>
    <s v="standard sport utility vehicle"/>
    <n v="21"/>
    <n v="6"/>
    <n v="3"/>
    <s v="4wd"/>
    <s v="gas"/>
    <n v="24"/>
    <x v="29"/>
    <x v="178"/>
    <x v="1"/>
    <n v="2020"/>
  </r>
  <r>
    <n v="23"/>
    <s v="two seater"/>
    <n v="26"/>
    <n v="4"/>
    <n v="2"/>
    <s v="rwd"/>
    <s v="gas"/>
    <n v="30"/>
    <x v="14"/>
    <x v="53"/>
    <x v="1"/>
    <n v="2020"/>
  </r>
  <r>
    <n v="23"/>
    <s v="two seater"/>
    <n v="26"/>
    <n v="4"/>
    <n v="2"/>
    <s v="rwd"/>
    <s v="gas"/>
    <n v="30"/>
    <x v="14"/>
    <x v="52"/>
    <x v="1"/>
    <n v="2020"/>
  </r>
  <r>
    <n v="25"/>
    <s v="compact car"/>
    <n v="28"/>
    <n v="4"/>
    <n v="2"/>
    <s v="rwd"/>
    <s v="gas"/>
    <n v="34"/>
    <x v="14"/>
    <x v="179"/>
    <x v="1"/>
    <n v="2020"/>
  </r>
  <r>
    <n v="24"/>
    <s v="compact car"/>
    <n v="27"/>
    <n v="4"/>
    <n v="2"/>
    <s v="rwd"/>
    <s v="gas"/>
    <n v="32"/>
    <x v="14"/>
    <x v="180"/>
    <x v="1"/>
    <n v="2020"/>
  </r>
  <r>
    <n v="24"/>
    <s v="compact car"/>
    <n v="28"/>
    <n v="4"/>
    <n v="2"/>
    <s v="awd"/>
    <s v="gas"/>
    <n v="34"/>
    <x v="14"/>
    <x v="181"/>
    <x v="1"/>
    <n v="2020"/>
  </r>
  <r>
    <n v="22"/>
    <s v="compact car"/>
    <n v="25"/>
    <n v="4"/>
    <n v="2"/>
    <s v="awd"/>
    <s v="gas"/>
    <n v="30"/>
    <x v="14"/>
    <x v="182"/>
    <x v="1"/>
    <n v="2020"/>
  </r>
  <r>
    <n v="25"/>
    <s v="midsize car"/>
    <n v="28"/>
    <n v="4"/>
    <n v="2"/>
    <s v="rwd"/>
    <s v="gas"/>
    <n v="34"/>
    <x v="14"/>
    <x v="183"/>
    <x v="1"/>
    <n v="2020"/>
  </r>
  <r>
    <n v="23"/>
    <s v="midsize car"/>
    <n v="26"/>
    <n v="4"/>
    <n v="2"/>
    <s v="rwd"/>
    <s v="gas"/>
    <n v="31"/>
    <x v="14"/>
    <x v="184"/>
    <x v="1"/>
    <n v="2020"/>
  </r>
  <r>
    <n v="23"/>
    <s v="midsize car"/>
    <n v="27"/>
    <n v="4"/>
    <n v="2"/>
    <s v="awd"/>
    <s v="gas"/>
    <n v="33"/>
    <x v="14"/>
    <x v="185"/>
    <x v="1"/>
    <n v="2020"/>
  </r>
  <r>
    <n v="22"/>
    <s v="midsize car"/>
    <n v="25"/>
    <n v="4"/>
    <n v="2"/>
    <s v="awd"/>
    <s v="gas"/>
    <n v="31"/>
    <x v="14"/>
    <x v="186"/>
    <x v="1"/>
    <n v="2020"/>
  </r>
  <r>
    <n v="21"/>
    <s v="midsize station wagon"/>
    <n v="24"/>
    <n v="4"/>
    <n v="2"/>
    <s v="awd"/>
    <s v="gas"/>
    <n v="28"/>
    <x v="14"/>
    <x v="187"/>
    <x v="1"/>
    <n v="2020"/>
  </r>
  <r>
    <n v="21"/>
    <s v="small sport utility vehicle"/>
    <n v="24"/>
    <n v="4"/>
    <n v="2"/>
    <s v="awd"/>
    <s v="gas"/>
    <n v="28"/>
    <x v="14"/>
    <x v="188"/>
    <x v="1"/>
    <n v="2020"/>
  </r>
  <r>
    <n v="21"/>
    <s v="small sport utility vehicle"/>
    <n v="23"/>
    <n v="4"/>
    <n v="2"/>
    <s v="awd"/>
    <s v="gas"/>
    <n v="27"/>
    <x v="14"/>
    <x v="189"/>
    <x v="1"/>
    <n v="2020"/>
  </r>
  <r>
    <n v="22"/>
    <s v="small sport utility vehicle"/>
    <n v="24"/>
    <n v="4"/>
    <n v="2"/>
    <s v="awd"/>
    <s v="gas"/>
    <n v="27"/>
    <x v="14"/>
    <x v="190"/>
    <x v="1"/>
    <n v="2020"/>
  </r>
  <r>
    <n v="22"/>
    <s v="small sport utility vehicle"/>
    <n v="24"/>
    <n v="4"/>
    <n v="2"/>
    <s v="awd"/>
    <s v="gas"/>
    <n v="27"/>
    <x v="14"/>
    <x v="191"/>
    <x v="1"/>
    <n v="2020"/>
  </r>
  <r>
    <n v="21"/>
    <s v="small sport utility vehicle"/>
    <n v="23"/>
    <n v="4"/>
    <n v="2"/>
    <s v="awd"/>
    <s v="gas"/>
    <n v="27"/>
    <x v="30"/>
    <x v="192"/>
    <x v="1"/>
    <n v="2020"/>
  </r>
  <r>
    <n v="20"/>
    <s v="small sport utility vehicle"/>
    <n v="22"/>
    <n v="4"/>
    <n v="2"/>
    <s v="awd"/>
    <s v="gas"/>
    <n v="26"/>
    <x v="30"/>
    <x v="193"/>
    <x v="1"/>
    <n v="2020"/>
  </r>
  <r>
    <n v="20"/>
    <s v="two seater"/>
    <n v="23"/>
    <n v="6"/>
    <n v="3"/>
    <s v="rwd"/>
    <s v="gas"/>
    <n v="28"/>
    <x v="14"/>
    <x v="53"/>
    <x v="1"/>
    <n v="2020"/>
  </r>
  <r>
    <n v="20"/>
    <s v="two seater"/>
    <n v="23"/>
    <n v="6"/>
    <n v="3"/>
    <s v="rwd"/>
    <s v="gas"/>
    <n v="28"/>
    <x v="14"/>
    <x v="52"/>
    <x v="1"/>
    <n v="2020"/>
  </r>
  <r>
    <n v="19"/>
    <s v="two seater"/>
    <n v="22"/>
    <n v="6"/>
    <n v="3"/>
    <s v="rwd"/>
    <s v="gas"/>
    <n v="27"/>
    <x v="14"/>
    <x v="59"/>
    <x v="1"/>
    <n v="2020"/>
  </r>
  <r>
    <n v="19"/>
    <s v="two seater"/>
    <n v="22"/>
    <n v="6"/>
    <n v="3"/>
    <s v="rwd"/>
    <s v="gas"/>
    <n v="27"/>
    <x v="14"/>
    <x v="60"/>
    <x v="1"/>
    <n v="2020"/>
  </r>
  <r>
    <n v="18"/>
    <s v="two seater"/>
    <n v="21"/>
    <n v="6"/>
    <n v="3"/>
    <s v="awd"/>
    <s v="gas"/>
    <n v="26"/>
    <x v="14"/>
    <x v="65"/>
    <x v="1"/>
    <n v="2020"/>
  </r>
  <r>
    <n v="18"/>
    <s v="two seater"/>
    <n v="21"/>
    <n v="6"/>
    <n v="3"/>
    <s v="awd"/>
    <s v="gas"/>
    <n v="26"/>
    <x v="14"/>
    <x v="66"/>
    <x v="1"/>
    <n v="2020"/>
  </r>
  <r>
    <n v="20"/>
    <s v="midsize car"/>
    <n v="23"/>
    <n v="6"/>
    <n v="3"/>
    <s v="awd"/>
    <s v="gas"/>
    <n v="28"/>
    <x v="14"/>
    <x v="185"/>
    <x v="1"/>
    <n v="2020"/>
  </r>
  <r>
    <n v="18"/>
    <s v="midsize station wagon"/>
    <n v="21"/>
    <n v="6"/>
    <n v="3"/>
    <s v="awd"/>
    <s v="gas"/>
    <n v="25"/>
    <x v="14"/>
    <x v="187"/>
    <x v="1"/>
    <n v="2020"/>
  </r>
  <r>
    <n v="18"/>
    <s v="small sport utility vehicle"/>
    <n v="20"/>
    <n v="6"/>
    <n v="3"/>
    <s v="awd"/>
    <s v="gas"/>
    <n v="23"/>
    <x v="14"/>
    <x v="190"/>
    <x v="1"/>
    <n v="2020"/>
  </r>
  <r>
    <n v="16"/>
    <s v="small sport utility vehicle"/>
    <n v="18"/>
    <n v="8"/>
    <n v="5"/>
    <s v="awd"/>
    <s v="gas"/>
    <n v="21"/>
    <x v="14"/>
    <x v="190"/>
    <x v="1"/>
    <n v="2020"/>
  </r>
  <r>
    <n v="20"/>
    <s v="small sport utility vehicle"/>
    <n v="23"/>
    <n v="4"/>
    <n v="2"/>
    <s v="awd"/>
    <s v="gas"/>
    <n v="27"/>
    <x v="30"/>
    <x v="194"/>
    <x v="1"/>
    <n v="2020"/>
  </r>
  <r>
    <n v="19"/>
    <s v="standard sport utility vehicle"/>
    <n v="21"/>
    <n v="6"/>
    <n v="3.8"/>
    <s v="awd"/>
    <s v="gas"/>
    <n v="24"/>
    <x v="17"/>
    <x v="195"/>
    <x v="1"/>
    <n v="2020"/>
  </r>
  <r>
    <n v="24"/>
    <s v="subcompact car"/>
    <n v="27"/>
    <n v="4"/>
    <n v="2"/>
    <s v="rwd"/>
    <s v="gas"/>
    <n v="32"/>
    <x v="20"/>
    <x v="196"/>
    <x v="1"/>
    <n v="2020"/>
  </r>
  <r>
    <n v="30"/>
    <s v="midsize car"/>
    <n v="34"/>
    <n v="4"/>
    <n v="2"/>
    <s v="fwd"/>
    <s v="gas"/>
    <n v="40"/>
    <x v="17"/>
    <x v="87"/>
    <x v="1"/>
    <n v="2020"/>
  </r>
  <r>
    <n v="29"/>
    <s v="small sport utility vehicle"/>
    <n v="31"/>
    <n v="4"/>
    <n v="2"/>
    <s v="fwd"/>
    <s v="gas"/>
    <n v="34"/>
    <x v="5"/>
    <x v="197"/>
    <x v="1"/>
    <n v="2021"/>
  </r>
  <r>
    <n v="25"/>
    <s v="small sport utility vehicle"/>
    <n v="27"/>
    <n v="4"/>
    <n v="1.6"/>
    <s v="awd"/>
    <s v="gas"/>
    <n v="30"/>
    <x v="5"/>
    <x v="198"/>
    <x v="1"/>
    <n v="2021"/>
  </r>
  <r>
    <n v="27"/>
    <s v="small sport utility vehicle"/>
    <n v="29"/>
    <n v="4"/>
    <n v="2"/>
    <s v="awd"/>
    <s v="gas"/>
    <n v="31"/>
    <x v="5"/>
    <x v="198"/>
    <x v="1"/>
    <n v="2021"/>
  </r>
  <r>
    <n v="19"/>
    <s v="two seater"/>
    <n v="22"/>
    <n v="6"/>
    <n v="3"/>
    <s v="rwd"/>
    <s v="gas"/>
    <n v="27"/>
    <x v="14"/>
    <x v="59"/>
    <x v="1"/>
    <n v="2021"/>
  </r>
  <r>
    <n v="19"/>
    <s v="two seater"/>
    <n v="22"/>
    <n v="6"/>
    <n v="3"/>
    <s v="rwd"/>
    <s v="gas"/>
    <n v="27"/>
    <x v="14"/>
    <x v="60"/>
    <x v="1"/>
    <n v="2021"/>
  </r>
  <r>
    <n v="18"/>
    <s v="two seater"/>
    <n v="21"/>
    <n v="6"/>
    <n v="3"/>
    <s v="awd"/>
    <s v="gas"/>
    <n v="26"/>
    <x v="14"/>
    <x v="65"/>
    <x v="1"/>
    <n v="2021"/>
  </r>
  <r>
    <n v="18"/>
    <s v="two seater"/>
    <n v="21"/>
    <n v="6"/>
    <n v="3"/>
    <s v="awd"/>
    <s v="gas"/>
    <n v="26"/>
    <x v="14"/>
    <x v="66"/>
    <x v="1"/>
    <n v="2021"/>
  </r>
  <r>
    <n v="16"/>
    <s v="two seater"/>
    <n v="18"/>
    <n v="8"/>
    <n v="5"/>
    <s v="awd"/>
    <s v="gas"/>
    <n v="24"/>
    <x v="14"/>
    <x v="69"/>
    <x v="1"/>
    <n v="2021"/>
  </r>
  <r>
    <n v="16"/>
    <s v="two seater"/>
    <n v="18"/>
    <n v="8"/>
    <n v="5"/>
    <s v="awd"/>
    <s v="gas"/>
    <n v="24"/>
    <x v="14"/>
    <x v="70"/>
    <x v="1"/>
    <n v="2021"/>
  </r>
  <r>
    <n v="17"/>
    <s v="small sport utility vehicle"/>
    <n v="19"/>
    <n v="6"/>
    <n v="3.6"/>
    <s v="fwd"/>
    <s v="gas"/>
    <n v="23"/>
    <x v="24"/>
    <x v="199"/>
    <x v="1"/>
    <n v="2021"/>
  </r>
  <r>
    <n v="16"/>
    <s v="standard sport utility vehicle"/>
    <n v="18"/>
    <n v="6"/>
    <n v="3.6"/>
    <s v="awd"/>
    <s v="gas"/>
    <n v="22"/>
    <x v="24"/>
    <x v="200"/>
    <x v="1"/>
    <n v="2021"/>
  </r>
  <r>
    <n v="20"/>
    <s v="compact car"/>
    <n v="23"/>
    <n v="4"/>
    <n v="2"/>
    <s v="awd"/>
    <s v="gas"/>
    <n v="27"/>
    <x v="23"/>
    <x v="154"/>
    <x v="1"/>
    <n v="2021"/>
  </r>
  <r>
    <n v="22"/>
    <s v="compact car"/>
    <n v="25"/>
    <n v="4"/>
    <n v="2"/>
    <s v="rwd"/>
    <s v="gas"/>
    <n v="30"/>
    <x v="23"/>
    <x v="155"/>
    <x v="1"/>
    <n v="2021"/>
  </r>
  <r>
    <n v="18"/>
    <s v="compact car"/>
    <n v="22"/>
    <n v="4"/>
    <n v="2"/>
    <s v="rwd"/>
    <s v="gas"/>
    <n v="28"/>
    <x v="23"/>
    <x v="155"/>
    <x v="0"/>
    <n v="2021"/>
  </r>
  <r>
    <n v="28"/>
    <s v="small station wagon"/>
    <n v="30"/>
    <n v="4"/>
    <n v="2"/>
    <s v="fwd"/>
    <s v="gas"/>
    <n v="33"/>
    <x v="5"/>
    <x v="173"/>
    <x v="1"/>
    <n v="2021"/>
  </r>
  <r>
    <n v="29"/>
    <s v="small station wagon"/>
    <n v="31"/>
    <n v="4"/>
    <n v="2"/>
    <s v="fwd"/>
    <s v="gas"/>
    <n v="35"/>
    <x v="5"/>
    <x v="174"/>
    <x v="1"/>
    <n v="2021"/>
  </r>
  <r>
    <n v="25"/>
    <s v="small station wagon"/>
    <n v="27"/>
    <n v="4"/>
    <n v="2"/>
    <s v="fwd"/>
    <s v="gas"/>
    <n v="31"/>
    <x v="5"/>
    <x v="173"/>
    <x v="0"/>
    <n v="2021"/>
  </r>
  <r>
    <n v="27"/>
    <s v="small station wagon"/>
    <n v="29"/>
    <n v="4"/>
    <n v="1.6"/>
    <s v="fwd"/>
    <s v="gas"/>
    <n v="32"/>
    <x v="5"/>
    <x v="173"/>
    <x v="1"/>
    <n v="2021"/>
  </r>
  <r>
    <n v="21"/>
    <s v="small sport utility vehicle"/>
    <n v="22"/>
    <n v="4"/>
    <n v="2"/>
    <s v="fwd"/>
    <s v="gas"/>
    <n v="24"/>
    <x v="24"/>
    <x v="199"/>
    <x v="1"/>
    <n v="2021"/>
  </r>
  <r>
    <n v="26"/>
    <s v="small sport utility vehicle"/>
    <n v="28"/>
    <n v="3"/>
    <n v="1.3"/>
    <s v="awd"/>
    <s v="gas"/>
    <n v="30"/>
    <x v="11"/>
    <x v="201"/>
    <x v="1"/>
    <n v="2021"/>
  </r>
  <r>
    <n v="17"/>
    <s v="compact car"/>
    <n v="20"/>
    <n v="6"/>
    <n v="3.3"/>
    <s v="awd"/>
    <s v="gas"/>
    <n v="25"/>
    <x v="23"/>
    <x v="154"/>
    <x v="1"/>
    <n v="2021"/>
  </r>
  <r>
    <n v="17"/>
    <s v="compact car"/>
    <n v="20"/>
    <n v="6"/>
    <n v="3.3"/>
    <s v="rwd"/>
    <s v="gas"/>
    <n v="26"/>
    <x v="23"/>
    <x v="155"/>
    <x v="1"/>
    <n v="2021"/>
  </r>
  <r>
    <n v="28"/>
    <s v="small sport utility vehicle"/>
    <n v="29"/>
    <n v="3"/>
    <n v="1.2"/>
    <s v="fwd"/>
    <s v="gas"/>
    <n v="31"/>
    <x v="26"/>
    <x v="202"/>
    <x v="1"/>
    <n v="2021"/>
  </r>
  <r>
    <n v="29"/>
    <s v="small sport utility vehicle"/>
    <n v="31"/>
    <n v="3"/>
    <n v="1.3"/>
    <s v="fwd"/>
    <s v="gas"/>
    <n v="33"/>
    <x v="11"/>
    <x v="203"/>
    <x v="1"/>
    <n v="2021"/>
  </r>
  <r>
    <n v="28"/>
    <s v="small sport utility vehicle"/>
    <n v="29"/>
    <n v="3"/>
    <n v="1.2"/>
    <s v="fwd"/>
    <s v="gas"/>
    <n v="31"/>
    <x v="11"/>
    <x v="203"/>
    <x v="1"/>
    <n v="2021"/>
  </r>
  <r>
    <n v="28"/>
    <s v="minicompact car"/>
    <n v="31"/>
    <n v="3"/>
    <n v="1.5"/>
    <s v="fwd"/>
    <s v="gas"/>
    <n v="37"/>
    <x v="22"/>
    <x v="167"/>
    <x v="1"/>
    <n v="2021"/>
  </r>
  <r>
    <n v="26"/>
    <s v="minicompact car"/>
    <n v="29"/>
    <n v="4"/>
    <n v="2"/>
    <s v="fwd"/>
    <s v="gas"/>
    <n v="34"/>
    <x v="22"/>
    <x v="168"/>
    <x v="1"/>
    <n v="2021"/>
  </r>
  <r>
    <n v="23"/>
    <s v="minicompact car"/>
    <n v="26"/>
    <n v="4"/>
    <n v="2"/>
    <s v="fwd"/>
    <s v="gas"/>
    <n v="32"/>
    <x v="22"/>
    <x v="168"/>
    <x v="0"/>
    <n v="2021"/>
  </r>
  <r>
    <n v="25"/>
    <s v="minicompact car"/>
    <n v="28"/>
    <n v="4"/>
    <n v="2"/>
    <s v="fwd"/>
    <s v="gas"/>
    <n v="33"/>
    <x v="22"/>
    <x v="106"/>
    <x v="1"/>
    <n v="2021"/>
  </r>
  <r>
    <n v="28"/>
    <s v="subcompact car"/>
    <n v="31"/>
    <n v="3"/>
    <n v="1.5"/>
    <s v="fwd"/>
    <s v="gas"/>
    <n v="37"/>
    <x v="22"/>
    <x v="204"/>
    <x v="1"/>
    <n v="2021"/>
  </r>
  <r>
    <n v="28"/>
    <s v="subcompact car"/>
    <n v="31"/>
    <n v="3"/>
    <n v="1.5"/>
    <s v="fwd"/>
    <s v="gas"/>
    <n v="37"/>
    <x v="22"/>
    <x v="205"/>
    <x v="1"/>
    <n v="2021"/>
  </r>
  <r>
    <n v="23"/>
    <s v="subcompact car"/>
    <n v="27"/>
    <n v="4"/>
    <n v="2"/>
    <s v="fwd"/>
    <s v="gas"/>
    <n v="33"/>
    <x v="22"/>
    <x v="206"/>
    <x v="0"/>
    <n v="2021"/>
  </r>
  <r>
    <n v="23"/>
    <s v="subcompact car"/>
    <n v="27"/>
    <n v="4"/>
    <n v="2"/>
    <s v="fwd"/>
    <s v="gas"/>
    <n v="33"/>
    <x v="22"/>
    <x v="207"/>
    <x v="0"/>
    <n v="2021"/>
  </r>
  <r>
    <n v="26"/>
    <s v="subcompact car"/>
    <n v="29"/>
    <n v="4"/>
    <n v="2"/>
    <s v="fwd"/>
    <s v="gas"/>
    <n v="34"/>
    <x v="22"/>
    <x v="208"/>
    <x v="1"/>
    <n v="2021"/>
  </r>
  <r>
    <n v="23"/>
    <s v="subcompact car"/>
    <n v="27"/>
    <n v="4"/>
    <n v="2"/>
    <s v="fwd"/>
    <s v="gas"/>
    <n v="33"/>
    <x v="22"/>
    <x v="208"/>
    <x v="0"/>
    <n v="2021"/>
  </r>
  <r>
    <n v="24"/>
    <s v="subcompact car"/>
    <n v="26"/>
    <n v="4"/>
    <n v="2"/>
    <s v="fwd"/>
    <s v="gas"/>
    <n v="30"/>
    <x v="22"/>
    <x v="209"/>
    <x v="1"/>
    <n v="2021"/>
  </r>
  <r>
    <n v="51"/>
    <s v="compact car"/>
    <n v="48"/>
    <n v="4"/>
    <n v="1.5"/>
    <s v="fwd"/>
    <s v="gas"/>
    <n v="45"/>
    <x v="15"/>
    <x v="210"/>
    <x v="1"/>
    <n v="2021"/>
  </r>
  <r>
    <n v="27"/>
    <s v="compact car"/>
    <n v="30"/>
    <n v="4"/>
    <n v="2"/>
    <s v="fwd"/>
    <s v="gas"/>
    <n v="34"/>
    <x v="17"/>
    <x v="62"/>
    <x v="1"/>
    <n v="2021"/>
  </r>
  <r>
    <n v="25"/>
    <s v="compact car"/>
    <n v="28"/>
    <n v="4"/>
    <n v="2"/>
    <s v="fwd"/>
    <s v="gas"/>
    <n v="33"/>
    <x v="17"/>
    <x v="62"/>
    <x v="0"/>
    <n v="2021"/>
  </r>
  <r>
    <n v="28"/>
    <s v="compact car"/>
    <n v="30"/>
    <n v="4"/>
    <n v="1.6"/>
    <s v="fwd"/>
    <s v="gas"/>
    <n v="34"/>
    <x v="17"/>
    <x v="62"/>
    <x v="1"/>
    <n v="2021"/>
  </r>
  <r>
    <n v="26"/>
    <s v="compact car"/>
    <n v="29"/>
    <n v="4"/>
    <n v="1.6"/>
    <s v="fwd"/>
    <s v="gas"/>
    <n v="33"/>
    <x v="17"/>
    <x v="62"/>
    <x v="0"/>
    <n v="2021"/>
  </r>
  <r>
    <n v="55"/>
    <s v="midsize car"/>
    <n v="52"/>
    <n v="4"/>
    <n v="1.5"/>
    <s v="fwd"/>
    <s v="gas"/>
    <n v="49"/>
    <x v="15"/>
    <x v="211"/>
    <x v="1"/>
    <n v="2021"/>
  </r>
  <r>
    <n v="17"/>
    <s v="large car"/>
    <n v="19"/>
    <n v="8"/>
    <n v="4.4000000000000004"/>
    <s v="awd"/>
    <s v="gas"/>
    <n v="24"/>
    <x v="20"/>
    <x v="212"/>
    <x v="1"/>
    <n v="2021"/>
  </r>
  <r>
    <n v="17"/>
    <s v="large car"/>
    <n v="19"/>
    <n v="8"/>
    <n v="4.4000000000000004"/>
    <s v="awd"/>
    <s v="gas"/>
    <n v="24"/>
    <x v="20"/>
    <x v="213"/>
    <x v="1"/>
    <n v="2021"/>
  </r>
  <r>
    <n v="19"/>
    <s v="small pickup truck"/>
    <n v="22"/>
    <n v="4"/>
    <n v="2.5"/>
    <s v="rwd"/>
    <s v="gas"/>
    <n v="25"/>
    <x v="11"/>
    <x v="214"/>
    <x v="1"/>
    <n v="2021"/>
  </r>
  <r>
    <n v="18"/>
    <s v="small pickup truck"/>
    <n v="21"/>
    <n v="6"/>
    <n v="3.6"/>
    <s v="rwd"/>
    <s v="gas"/>
    <n v="25"/>
    <x v="11"/>
    <x v="214"/>
    <x v="1"/>
    <n v="2021"/>
  </r>
  <r>
    <n v="19"/>
    <s v="small pickup truck"/>
    <n v="22"/>
    <n v="4"/>
    <n v="2.5"/>
    <s v="rwd"/>
    <s v="gas"/>
    <n v="25"/>
    <x v="12"/>
    <x v="215"/>
    <x v="1"/>
    <n v="2021"/>
  </r>
  <r>
    <n v="18"/>
    <s v="small pickup truck"/>
    <n v="21"/>
    <n v="6"/>
    <n v="3.6"/>
    <s v="rwd"/>
    <s v="gas"/>
    <n v="25"/>
    <x v="12"/>
    <x v="215"/>
    <x v="1"/>
    <n v="2021"/>
  </r>
  <r>
    <n v="19"/>
    <s v="small pickup truck"/>
    <n v="21"/>
    <n v="4"/>
    <n v="2.5"/>
    <s v="4wd"/>
    <s v="gas"/>
    <n v="24"/>
    <x v="11"/>
    <x v="216"/>
    <x v="1"/>
    <n v="2021"/>
  </r>
  <r>
    <n v="17"/>
    <s v="small pickup truck"/>
    <n v="19"/>
    <n v="6"/>
    <n v="3.6"/>
    <s v="4wd"/>
    <s v="gas"/>
    <n v="24"/>
    <x v="11"/>
    <x v="216"/>
    <x v="1"/>
    <n v="2021"/>
  </r>
  <r>
    <n v="19"/>
    <s v="minivan"/>
    <n v="22"/>
    <n v="6"/>
    <n v="3.5"/>
    <s v="fwd"/>
    <s v="gas"/>
    <n v="28"/>
    <x v="15"/>
    <x v="217"/>
    <x v="1"/>
    <n v="2022"/>
  </r>
  <r>
    <n v="21"/>
    <s v="midsize car"/>
    <n v="24"/>
    <n v="4"/>
    <n v="2.5"/>
    <s v="awd"/>
    <s v="gas"/>
    <n v="29"/>
    <x v="5"/>
    <x v="218"/>
    <x v="1"/>
    <n v="2022"/>
  </r>
  <r>
    <n v="22"/>
    <s v="midsize car"/>
    <n v="25"/>
    <n v="4"/>
    <n v="2.5"/>
    <s v="rwd"/>
    <s v="gas"/>
    <n v="32"/>
    <x v="5"/>
    <x v="219"/>
    <x v="1"/>
    <n v="2022"/>
  </r>
  <r>
    <n v="17"/>
    <s v="midsize car"/>
    <n v="20"/>
    <n v="6"/>
    <n v="3.3"/>
    <s v="awd"/>
    <s v="gas"/>
    <n v="24"/>
    <x v="5"/>
    <x v="218"/>
    <x v="1"/>
    <n v="2022"/>
  </r>
  <r>
    <n v="18"/>
    <s v="midsize car"/>
    <n v="20"/>
    <n v="6"/>
    <n v="3.3"/>
    <s v="rwd"/>
    <s v="gas"/>
    <n v="25"/>
    <x v="5"/>
    <x v="219"/>
    <x v="1"/>
    <n v="2022"/>
  </r>
  <r>
    <n v="19"/>
    <s v="minivan"/>
    <n v="22"/>
    <n v="6"/>
    <n v="3.5"/>
    <s v="fwd"/>
    <s v="gas"/>
    <n v="26"/>
    <x v="5"/>
    <x v="220"/>
    <x v="1"/>
    <n v="2022"/>
  </r>
  <r>
    <n v="19"/>
    <s v="small sport utility vehicle"/>
    <n v="22"/>
    <n v="6"/>
    <n v="3.5"/>
    <s v="fwd"/>
    <s v="gas"/>
    <n v="26"/>
    <x v="19"/>
    <x v="221"/>
    <x v="1"/>
    <n v="2022"/>
  </r>
  <r>
    <n v="26"/>
    <s v="small sport utility vehicle"/>
    <n v="29"/>
    <n v="4"/>
    <n v="2.5"/>
    <s v="fwd"/>
    <s v="gas"/>
    <n v="33"/>
    <x v="17"/>
    <x v="222"/>
    <x v="1"/>
    <n v="2022"/>
  </r>
  <r>
    <n v="25"/>
    <s v="small sport utility vehicle"/>
    <n v="26"/>
    <n v="4"/>
    <n v="1.5"/>
    <s v="fwd"/>
    <s v="gas"/>
    <n v="28"/>
    <x v="18"/>
    <x v="223"/>
    <x v="1"/>
    <n v="2022"/>
  </r>
  <r>
    <n v="26"/>
    <s v="small sport utility vehicle"/>
    <n v="27"/>
    <n v="4"/>
    <n v="1.5"/>
    <s v="fwd"/>
    <s v="gas"/>
    <n v="29"/>
    <x v="18"/>
    <x v="224"/>
    <x v="1"/>
    <n v="2022"/>
  </r>
  <r>
    <n v="19"/>
    <s v="small sport utility vehicle"/>
    <n v="21"/>
    <n v="6"/>
    <n v="3.5"/>
    <s v="awd"/>
    <s v="gas"/>
    <n v="25"/>
    <x v="19"/>
    <x v="225"/>
    <x v="1"/>
    <n v="2022"/>
  </r>
  <r>
    <n v="25"/>
    <s v="small sport utility vehicle"/>
    <n v="25"/>
    <n v="4"/>
    <n v="1.5"/>
    <s v="4wd"/>
    <s v="gas"/>
    <n v="26"/>
    <x v="18"/>
    <x v="226"/>
    <x v="1"/>
    <n v="2022"/>
  </r>
  <r>
    <n v="25"/>
    <s v="small sport utility vehicle"/>
    <n v="26"/>
    <n v="4"/>
    <n v="1.5"/>
    <s v="4wd"/>
    <s v="gas"/>
    <n v="28"/>
    <x v="18"/>
    <x v="227"/>
    <x v="1"/>
    <n v="2022"/>
  </r>
  <r>
    <n v="18"/>
    <s v="compact car"/>
    <n v="21"/>
    <n v="6"/>
    <n v="3.3"/>
    <s v="rwd"/>
    <s v="gas"/>
    <n v="27"/>
    <x v="23"/>
    <x v="155"/>
    <x v="1"/>
    <n v="2022"/>
  </r>
  <r>
    <n v="20"/>
    <s v="small sport utility vehicle"/>
    <n v="23"/>
    <n v="4"/>
    <n v="2"/>
    <s v="fwd"/>
    <s v="gas"/>
    <n v="28"/>
    <x v="5"/>
    <x v="92"/>
    <x v="1"/>
    <n v="2022"/>
  </r>
  <r>
    <n v="23"/>
    <s v="small sport utility vehicle"/>
    <n v="26"/>
    <n v="4"/>
    <n v="2.4"/>
    <s v="fwd"/>
    <s v="gas"/>
    <n v="30"/>
    <x v="5"/>
    <x v="92"/>
    <x v="1"/>
    <n v="2022"/>
  </r>
  <r>
    <n v="24"/>
    <s v="small sport utility vehicle"/>
    <n v="27"/>
    <n v="4"/>
    <n v="2.5"/>
    <s v="fwd"/>
    <s v="gas"/>
    <n v="31"/>
    <x v="18"/>
    <x v="228"/>
    <x v="1"/>
    <n v="2022"/>
  </r>
  <r>
    <n v="19"/>
    <s v="small sport utility vehicle"/>
    <n v="21"/>
    <n v="6"/>
    <n v="3.5"/>
    <s v="awd"/>
    <s v="gas"/>
    <n v="25"/>
    <x v="23"/>
    <x v="229"/>
    <x v="1"/>
    <n v="2022"/>
  </r>
  <r>
    <n v="24"/>
    <s v="small sport utility vehicle"/>
    <n v="26"/>
    <n v="4"/>
    <n v="2.5"/>
    <s v="awd"/>
    <s v="gas"/>
    <n v="29"/>
    <x v="17"/>
    <x v="230"/>
    <x v="1"/>
    <n v="2022"/>
  </r>
  <r>
    <n v="19"/>
    <s v="small sport utility vehicle"/>
    <n v="21"/>
    <n v="4"/>
    <n v="2"/>
    <s v="awd"/>
    <s v="gas"/>
    <n v="24"/>
    <x v="5"/>
    <x v="94"/>
    <x v="1"/>
    <n v="2022"/>
  </r>
  <r>
    <n v="22"/>
    <s v="small sport utility vehicle"/>
    <n v="23"/>
    <n v="4"/>
    <n v="2.4"/>
    <s v="awd"/>
    <s v="gas"/>
    <n v="26"/>
    <x v="5"/>
    <x v="94"/>
    <x v="1"/>
    <n v="2022"/>
  </r>
  <r>
    <n v="24"/>
    <s v="small sport utility vehicle"/>
    <n v="26"/>
    <n v="4"/>
    <n v="2.5"/>
    <s v="4wd"/>
    <s v="gas"/>
    <n v="30"/>
    <x v="18"/>
    <x v="231"/>
    <x v="1"/>
    <n v="2022"/>
  </r>
  <r>
    <n v="29"/>
    <s v="small sport utility vehicle"/>
    <n v="32"/>
    <n v="4"/>
    <n v="1.6"/>
    <s v="fwd"/>
    <s v="gas"/>
    <n v="35"/>
    <x v="17"/>
    <x v="232"/>
    <x v="1"/>
    <n v="2022"/>
  </r>
  <r>
    <n v="30"/>
    <s v="small sport utility vehicle"/>
    <n v="32"/>
    <n v="4"/>
    <n v="2"/>
    <s v="fwd"/>
    <s v="gas"/>
    <n v="35"/>
    <x v="17"/>
    <x v="232"/>
    <x v="1"/>
    <n v="2022"/>
  </r>
  <r>
    <n v="27"/>
    <s v="small sport utility vehicle"/>
    <n v="29"/>
    <n v="4"/>
    <n v="1.6"/>
    <s v="awd"/>
    <s v="gas"/>
    <n v="32"/>
    <x v="17"/>
    <x v="233"/>
    <x v="1"/>
    <n v="2022"/>
  </r>
  <r>
    <n v="28"/>
    <s v="small sport utility vehicle"/>
    <n v="30"/>
    <n v="4"/>
    <n v="2"/>
    <s v="awd"/>
    <s v="gas"/>
    <n v="33"/>
    <x v="17"/>
    <x v="233"/>
    <x v="1"/>
    <n v="2022"/>
  </r>
  <r>
    <n v="29"/>
    <s v="minicompact car"/>
    <n v="32"/>
    <n v="3"/>
    <n v="1.5"/>
    <s v="fwd"/>
    <s v="gas"/>
    <n v="38"/>
    <x v="22"/>
    <x v="167"/>
    <x v="1"/>
    <n v="2022"/>
  </r>
  <r>
    <n v="27"/>
    <s v="minicompact car"/>
    <n v="31"/>
    <n v="3"/>
    <n v="1.5"/>
    <s v="fwd"/>
    <s v="gas"/>
    <n v="37"/>
    <x v="22"/>
    <x v="167"/>
    <x v="0"/>
    <n v="2022"/>
  </r>
  <r>
    <n v="23"/>
    <s v="minicompact car"/>
    <n v="26"/>
    <n v="4"/>
    <n v="2"/>
    <s v="fwd"/>
    <s v="gas"/>
    <n v="33"/>
    <x v="22"/>
    <x v="168"/>
    <x v="0"/>
    <n v="2022"/>
  </r>
  <r>
    <n v="15"/>
    <s v="subcompact car"/>
    <n v="17"/>
    <n v="8"/>
    <n v="4.4000000000000004"/>
    <s v="awd"/>
    <s v="gas"/>
    <n v="21"/>
    <x v="20"/>
    <x v="234"/>
    <x v="1"/>
    <n v="2022"/>
  </r>
  <r>
    <n v="15"/>
    <s v="subcompact car"/>
    <n v="17"/>
    <n v="8"/>
    <n v="4.4000000000000004"/>
    <s v="awd"/>
    <s v="gas"/>
    <n v="21"/>
    <x v="20"/>
    <x v="235"/>
    <x v="1"/>
    <n v="2022"/>
  </r>
  <r>
    <n v="29"/>
    <s v="subcompact car"/>
    <n v="32"/>
    <n v="3"/>
    <n v="1.5"/>
    <s v="fwd"/>
    <s v="gas"/>
    <n v="38"/>
    <x v="22"/>
    <x v="204"/>
    <x v="1"/>
    <n v="2022"/>
  </r>
  <r>
    <n v="27"/>
    <s v="subcompact car"/>
    <n v="31"/>
    <n v="3"/>
    <n v="1.5"/>
    <s v="fwd"/>
    <s v="gas"/>
    <n v="37"/>
    <x v="22"/>
    <x v="204"/>
    <x v="0"/>
    <n v="2022"/>
  </r>
  <r>
    <n v="29"/>
    <s v="subcompact car"/>
    <n v="32"/>
    <n v="3"/>
    <n v="1.5"/>
    <s v="fwd"/>
    <s v="gas"/>
    <n v="38"/>
    <x v="22"/>
    <x v="205"/>
    <x v="1"/>
    <n v="2022"/>
  </r>
  <r>
    <n v="27"/>
    <s v="subcompact car"/>
    <n v="31"/>
    <n v="3"/>
    <n v="1.5"/>
    <s v="fwd"/>
    <s v="gas"/>
    <n v="37"/>
    <x v="22"/>
    <x v="205"/>
    <x v="0"/>
    <n v="2022"/>
  </r>
  <r>
    <n v="23"/>
    <s v="subcompact car"/>
    <n v="27"/>
    <n v="4"/>
    <n v="2"/>
    <s v="fwd"/>
    <s v="gas"/>
    <n v="33"/>
    <x v="22"/>
    <x v="206"/>
    <x v="0"/>
    <n v="2022"/>
  </r>
  <r>
    <n v="23"/>
    <s v="subcompact car"/>
    <n v="27"/>
    <n v="4"/>
    <n v="2"/>
    <s v="fwd"/>
    <s v="gas"/>
    <n v="33"/>
    <x v="22"/>
    <x v="207"/>
    <x v="0"/>
    <n v="2022"/>
  </r>
  <r>
    <n v="22"/>
    <s v="subcompact car"/>
    <n v="25"/>
    <n v="4"/>
    <n v="2"/>
    <s v="fwd"/>
    <s v="gas"/>
    <n v="31"/>
    <x v="22"/>
    <x v="236"/>
    <x v="0"/>
    <n v="2022"/>
  </r>
  <r>
    <n v="17"/>
    <s v="compact car"/>
    <n v="20"/>
    <n v="6"/>
    <n v="3.3"/>
    <s v="awd"/>
    <s v="gas"/>
    <n v="25"/>
    <x v="23"/>
    <x v="154"/>
    <x v="1"/>
    <n v="2022"/>
  </r>
  <r>
    <n v="24"/>
    <s v="midsize car"/>
    <n v="27"/>
    <n v="4"/>
    <n v="2"/>
    <s v="awd"/>
    <s v="gas"/>
    <n v="31"/>
    <x v="20"/>
    <x v="237"/>
    <x v="1"/>
    <n v="2022"/>
  </r>
  <r>
    <n v="23"/>
    <s v="midsize car"/>
    <n v="26"/>
    <n v="4"/>
    <n v="2"/>
    <s v="awd"/>
    <s v="gas"/>
    <n v="30"/>
    <x v="20"/>
    <x v="238"/>
    <x v="1"/>
    <n v="2022"/>
  </r>
  <r>
    <n v="15"/>
    <s v="midsize car"/>
    <n v="17"/>
    <n v="8"/>
    <n v="4.4000000000000004"/>
    <s v="awd"/>
    <s v="gas"/>
    <n v="21"/>
    <x v="20"/>
    <x v="239"/>
    <x v="1"/>
    <n v="2022"/>
  </r>
  <r>
    <n v="15"/>
    <s v="midsize car"/>
    <n v="17"/>
    <n v="8"/>
    <n v="4.4000000000000004"/>
    <s v="awd"/>
    <s v="gas"/>
    <n v="21"/>
    <x v="20"/>
    <x v="240"/>
    <x v="1"/>
    <n v="2022"/>
  </r>
  <r>
    <n v="26"/>
    <s v="midsize car"/>
    <n v="29"/>
    <n v="3"/>
    <n v="1.5"/>
    <s v="fwd"/>
    <s v="gas"/>
    <n v="33"/>
    <x v="22"/>
    <x v="241"/>
    <x v="1"/>
    <n v="2022"/>
  </r>
  <r>
    <n v="23"/>
    <s v="midsize car"/>
    <n v="26"/>
    <n v="3"/>
    <n v="1.5"/>
    <s v="awd"/>
    <s v="gas"/>
    <n v="30"/>
    <x v="22"/>
    <x v="242"/>
    <x v="1"/>
    <n v="2022"/>
  </r>
  <r>
    <n v="23"/>
    <s v="midsize car"/>
    <n v="26"/>
    <n v="4"/>
    <n v="2"/>
    <s v="fwd"/>
    <s v="gas"/>
    <n v="33"/>
    <x v="22"/>
    <x v="243"/>
    <x v="0"/>
    <n v="2022"/>
  </r>
  <r>
    <n v="37"/>
    <s v="small sport utility vehicle"/>
    <n v="37"/>
    <n v="4"/>
    <n v="1.6"/>
    <s v="awd"/>
    <s v="gas"/>
    <n v="36"/>
    <x v="17"/>
    <x v="244"/>
    <x v="1"/>
    <n v="2022"/>
  </r>
  <r>
    <n v="38"/>
    <s v="small sport utility vehicle"/>
    <n v="38"/>
    <n v="4"/>
    <n v="1.6"/>
    <s v="awd"/>
    <s v="gas"/>
    <n v="38"/>
    <x v="17"/>
    <x v="245"/>
    <x v="1"/>
    <n v="2022"/>
  </r>
  <r>
    <n v="17"/>
    <s v="subcompact car"/>
    <n v="20"/>
    <n v="8"/>
    <n v="4.4000000000000004"/>
    <s v="awd"/>
    <s v="gas"/>
    <n v="25"/>
    <x v="20"/>
    <x v="246"/>
    <x v="1"/>
    <n v="2022"/>
  </r>
  <r>
    <n v="17"/>
    <s v="subcompact car"/>
    <n v="19"/>
    <n v="8"/>
    <n v="4.4000000000000004"/>
    <s v="awd"/>
    <s v="gas"/>
    <n v="24"/>
    <x v="20"/>
    <x v="247"/>
    <x v="1"/>
    <n v="2022"/>
  </r>
  <r>
    <n v="18"/>
    <s v="standard sport utility vehicle"/>
    <n v="19"/>
    <n v="4"/>
    <n v="2"/>
    <s v="4wd"/>
    <s v="gas"/>
    <n v="21"/>
    <x v="30"/>
    <x v="248"/>
    <x v="1"/>
    <n v="2023"/>
  </r>
  <r>
    <n v="25"/>
    <s v="small sport utility vehicle"/>
    <n v="28"/>
    <n v="4"/>
    <n v="2.5"/>
    <s v="fwd"/>
    <s v="gas"/>
    <n v="32"/>
    <x v="5"/>
    <x v="92"/>
    <x v="1"/>
    <n v="2023"/>
  </r>
  <r>
    <n v="23"/>
    <s v="small sport utility vehicle"/>
    <n v="25"/>
    <n v="4"/>
    <n v="2.5"/>
    <s v="awd"/>
    <s v="gas"/>
    <n v="28"/>
    <x v="5"/>
    <x v="94"/>
    <x v="1"/>
    <n v="2023"/>
  </r>
  <r>
    <n v="19"/>
    <s v="standard sport utility vehicle"/>
    <n v="21"/>
    <n v="4"/>
    <n v="2"/>
    <s v="4wd"/>
    <s v="gas"/>
    <n v="22"/>
    <x v="30"/>
    <x v="249"/>
    <x v="1"/>
    <n v="2023"/>
  </r>
  <r>
    <n v="19"/>
    <s v="standard sport utility vehicle"/>
    <n v="22"/>
    <n v="6"/>
    <n v="3"/>
    <s v="4wd"/>
    <s v="gas"/>
    <n v="25"/>
    <x v="30"/>
    <x v="250"/>
    <x v="1"/>
    <n v="2023"/>
  </r>
  <r>
    <n v="17"/>
    <s v="standard sport utility vehicle"/>
    <n v="18"/>
    <n v="4"/>
    <n v="2"/>
    <s v="4wd"/>
    <s v="gas"/>
    <n v="20"/>
    <x v="30"/>
    <x v="251"/>
    <x v="1"/>
    <n v="2023"/>
  </r>
  <r>
    <n v="18"/>
    <s v="standard sport utility vehicle"/>
    <n v="20"/>
    <n v="6"/>
    <n v="3"/>
    <s v="4wd"/>
    <s v="gas"/>
    <n v="23"/>
    <x v="30"/>
    <x v="252"/>
    <x v="1"/>
    <n v="2023"/>
  </r>
  <r>
    <n v="18"/>
    <s v="standard sport utility vehicle"/>
    <n v="20"/>
    <n v="6"/>
    <n v="3"/>
    <s v="4wd"/>
    <s v="gas"/>
    <n v="23"/>
    <x v="30"/>
    <x v="253"/>
    <x v="1"/>
    <n v="2023"/>
  </r>
  <r>
    <n v="15"/>
    <s v="standard sport utility vehicle"/>
    <n v="16"/>
    <n v="8"/>
    <n v="5"/>
    <s v="4wd"/>
    <s v="gas"/>
    <n v="19"/>
    <x v="30"/>
    <x v="248"/>
    <x v="1"/>
    <n v="2023"/>
  </r>
  <r>
    <n v="14"/>
    <s v="standard sport utility vehicle"/>
    <n v="16"/>
    <n v="8"/>
    <n v="5"/>
    <s v="4wd"/>
    <s v="gas"/>
    <n v="19"/>
    <x v="30"/>
    <x v="251"/>
    <x v="1"/>
    <n v="2023"/>
  </r>
  <r>
    <n v="20"/>
    <s v="small sport utility vehicle"/>
    <n v="22"/>
    <n v="4"/>
    <n v="2"/>
    <s v="awd"/>
    <s v="gas"/>
    <n v="27"/>
    <x v="30"/>
    <x v="254"/>
    <x v="1"/>
    <n v="2023"/>
  </r>
  <r>
    <n v="19"/>
    <s v="small sport utility vehicle"/>
    <n v="20"/>
    <n v="4"/>
    <n v="2"/>
    <s v="awd"/>
    <s v="gas"/>
    <n v="23"/>
    <x v="30"/>
    <x v="255"/>
    <x v="1"/>
    <n v="2023"/>
  </r>
  <r>
    <n v="16"/>
    <s v="two seater"/>
    <n v="18"/>
    <n v="8"/>
    <n v="5"/>
    <s v="awd"/>
    <s v="gas"/>
    <n v="24"/>
    <x v="14"/>
    <x v="69"/>
    <x v="1"/>
    <n v="2023"/>
  </r>
  <r>
    <n v="16"/>
    <s v="two seater"/>
    <n v="18"/>
    <n v="8"/>
    <n v="5"/>
    <s v="awd"/>
    <s v="gas"/>
    <n v="24"/>
    <x v="14"/>
    <x v="70"/>
    <x v="1"/>
    <n v="2023"/>
  </r>
  <r>
    <n v="17"/>
    <s v="two seater"/>
    <n v="19"/>
    <n v="8"/>
    <n v="5"/>
    <s v="rwd"/>
    <s v="gas"/>
    <n v="24"/>
    <x v="14"/>
    <x v="256"/>
    <x v="1"/>
    <n v="2023"/>
  </r>
  <r>
    <n v="17"/>
    <s v="two seater"/>
    <n v="19"/>
    <n v="8"/>
    <n v="5"/>
    <s v="rwd"/>
    <s v="gas"/>
    <n v="24"/>
    <x v="14"/>
    <x v="257"/>
    <x v="1"/>
    <n v="2023"/>
  </r>
  <r>
    <n v="16"/>
    <s v="two seater"/>
    <n v="18"/>
    <n v="8"/>
    <n v="5"/>
    <s v="awd"/>
    <s v="gas"/>
    <n v="24"/>
    <x v="14"/>
    <x v="258"/>
    <x v="1"/>
    <n v="2023"/>
  </r>
  <r>
    <n v="16"/>
    <s v="two seater"/>
    <n v="18"/>
    <n v="8"/>
    <n v="5"/>
    <s v="awd"/>
    <s v="gas"/>
    <n v="24"/>
    <x v="14"/>
    <x v="259"/>
    <x v="1"/>
    <n v="2023"/>
  </r>
  <r>
    <n v="17"/>
    <s v="compact car"/>
    <n v="20"/>
    <n v="6"/>
    <n v="3.3"/>
    <s v="awd"/>
    <s v="gas"/>
    <n v="26"/>
    <x v="23"/>
    <x v="154"/>
    <x v="1"/>
    <n v="2023"/>
  </r>
  <r>
    <n v="18"/>
    <s v="compact car"/>
    <n v="21"/>
    <n v="6"/>
    <n v="3.3"/>
    <s v="rwd"/>
    <s v="gas"/>
    <n v="27"/>
    <x v="23"/>
    <x v="155"/>
    <x v="1"/>
    <n v="2023"/>
  </r>
  <r>
    <n v="21"/>
    <s v="compact car"/>
    <n v="25"/>
    <n v="4"/>
    <n v="2"/>
    <s v="rwd"/>
    <s v="gas"/>
    <n v="31"/>
    <x v="23"/>
    <x v="155"/>
    <x v="1"/>
    <n v="2023"/>
  </r>
  <r>
    <n v="21"/>
    <s v="small sport utility vehicle"/>
    <n v="23"/>
    <n v="4"/>
    <n v="2"/>
    <s v="awd"/>
    <s v="gas"/>
    <n v="26"/>
    <x v="30"/>
    <x v="260"/>
    <x v="1"/>
    <n v="2023"/>
  </r>
  <r>
    <n v="20"/>
    <s v="compact car"/>
    <n v="23"/>
    <n v="4"/>
    <n v="2"/>
    <s v="awd"/>
    <s v="gas"/>
    <n v="28"/>
    <x v="23"/>
    <x v="154"/>
    <x v="1"/>
    <n v="2023"/>
  </r>
  <r>
    <n v="19"/>
    <s v="minivan"/>
    <n v="22"/>
    <n v="6"/>
    <n v="3.5"/>
    <s v="fwd"/>
    <s v="gas"/>
    <n v="28"/>
    <x v="15"/>
    <x v="217"/>
    <x v="1"/>
    <n v="2023"/>
  </r>
  <r>
    <n v="19"/>
    <s v="small sport utility vehicle"/>
    <n v="22"/>
    <n v="4"/>
    <n v="2.5"/>
    <s v="awd"/>
    <s v="gas"/>
    <n v="26"/>
    <x v="23"/>
    <x v="229"/>
    <x v="1"/>
    <n v="2023"/>
  </r>
  <r>
    <n v="22"/>
    <s v="small sport utility vehicle"/>
    <n v="24"/>
    <n v="4"/>
    <n v="2.5"/>
    <s v="awd"/>
    <s v="gas"/>
    <n v="28"/>
    <x v="23"/>
    <x v="229"/>
    <x v="1"/>
    <n v="2023"/>
  </r>
  <r>
    <n v="19"/>
    <s v="small sport utility vehicle"/>
    <n v="21"/>
    <n v="6"/>
    <n v="3.5"/>
    <s v="awd"/>
    <s v="gas"/>
    <n v="24"/>
    <x v="23"/>
    <x v="229"/>
    <x v="1"/>
    <n v="2023"/>
  </r>
  <r>
    <n v="38"/>
    <s v="small sport utility vehicle"/>
    <n v="38"/>
    <n v="4"/>
    <n v="1.6"/>
    <s v="awd"/>
    <s v="gas"/>
    <n v="38"/>
    <x v="5"/>
    <x v="261"/>
    <x v="1"/>
    <n v="2023"/>
  </r>
  <r>
    <n v="42"/>
    <s v="small sport utility vehicle"/>
    <n v="43"/>
    <n v="4"/>
    <n v="1.6"/>
    <s v="fwd"/>
    <s v="gas"/>
    <n v="44"/>
    <x v="5"/>
    <x v="262"/>
    <x v="1"/>
    <n v="2023"/>
  </r>
  <r>
    <n v="20"/>
    <s v="standard sport utility vehicle"/>
    <n v="22"/>
    <n v="4"/>
    <n v="2.5"/>
    <s v="awd"/>
    <s v="gas"/>
    <n v="24"/>
    <x v="23"/>
    <x v="263"/>
    <x v="1"/>
    <n v="2023"/>
  </r>
  <r>
    <n v="18"/>
    <s v="standard sport utility vehicle"/>
    <n v="20"/>
    <n v="6"/>
    <n v="3.5"/>
    <s v="awd"/>
    <s v="gas"/>
    <n v="23"/>
    <x v="23"/>
    <x v="263"/>
    <x v="1"/>
    <n v="2023"/>
  </r>
  <r>
    <n v="29"/>
    <s v="minicompact car"/>
    <n v="32"/>
    <n v="3"/>
    <n v="1.5"/>
    <s v="fwd"/>
    <s v="gas"/>
    <n v="38"/>
    <x v="22"/>
    <x v="167"/>
    <x v="1"/>
    <n v="2023"/>
  </r>
  <r>
    <n v="27"/>
    <s v="minicompact car"/>
    <n v="31"/>
    <n v="3"/>
    <n v="1.5"/>
    <s v="fwd"/>
    <s v="gas"/>
    <n v="37"/>
    <x v="22"/>
    <x v="167"/>
    <x v="0"/>
    <n v="2023"/>
  </r>
  <r>
    <n v="17"/>
    <s v="subcompact car"/>
    <n v="19"/>
    <n v="8"/>
    <n v="4.4000000000000004"/>
    <s v="awd"/>
    <s v="gas"/>
    <n v="24"/>
    <x v="20"/>
    <x v="246"/>
    <x v="1"/>
    <n v="2023"/>
  </r>
  <r>
    <n v="17"/>
    <s v="subcompact car"/>
    <n v="19"/>
    <n v="8"/>
    <n v="4.4000000000000004"/>
    <s v="awd"/>
    <s v="gas"/>
    <n v="24"/>
    <x v="20"/>
    <x v="247"/>
    <x v="1"/>
    <n v="2023"/>
  </r>
  <r>
    <n v="15"/>
    <s v="subcompact car"/>
    <n v="17"/>
    <n v="8"/>
    <n v="4.4000000000000004"/>
    <s v="awd"/>
    <s v="gas"/>
    <n v="22"/>
    <x v="20"/>
    <x v="234"/>
    <x v="1"/>
    <n v="2023"/>
  </r>
  <r>
    <n v="15"/>
    <s v="subcompact car"/>
    <n v="17"/>
    <n v="8"/>
    <n v="4.4000000000000004"/>
    <s v="awd"/>
    <s v="gas"/>
    <n v="22"/>
    <x v="20"/>
    <x v="235"/>
    <x v="1"/>
    <n v="2023"/>
  </r>
  <r>
    <n v="29"/>
    <s v="subcompact car"/>
    <n v="32"/>
    <n v="3"/>
    <n v="1.5"/>
    <s v="fwd"/>
    <s v="gas"/>
    <n v="38"/>
    <x v="22"/>
    <x v="204"/>
    <x v="1"/>
    <n v="2023"/>
  </r>
  <r>
    <n v="27"/>
    <s v="subcompact car"/>
    <n v="31"/>
    <n v="3"/>
    <n v="1.5"/>
    <s v="fwd"/>
    <s v="gas"/>
    <n v="37"/>
    <x v="22"/>
    <x v="204"/>
    <x v="0"/>
    <n v="2023"/>
  </r>
  <r>
    <n v="29"/>
    <s v="subcompact car"/>
    <n v="32"/>
    <n v="3"/>
    <n v="1.5"/>
    <s v="fwd"/>
    <s v="gas"/>
    <n v="38"/>
    <x v="22"/>
    <x v="205"/>
    <x v="1"/>
    <n v="2023"/>
  </r>
  <r>
    <n v="27"/>
    <s v="subcompact car"/>
    <n v="31"/>
    <n v="3"/>
    <n v="1.5"/>
    <s v="fwd"/>
    <s v="gas"/>
    <n v="37"/>
    <x v="22"/>
    <x v="205"/>
    <x v="0"/>
    <n v="2023"/>
  </r>
  <r>
    <n v="24"/>
    <s v="midsize car"/>
    <n v="27"/>
    <n v="4"/>
    <n v="2"/>
    <s v="awd"/>
    <s v="gas"/>
    <n v="31"/>
    <x v="20"/>
    <x v="238"/>
    <x v="1"/>
    <n v="2023"/>
  </r>
  <r>
    <n v="17"/>
    <s v="midsize car"/>
    <n v="19"/>
    <n v="8"/>
    <n v="4.4000000000000004"/>
    <s v="awd"/>
    <s v="gas"/>
    <n v="24"/>
    <x v="20"/>
    <x v="264"/>
    <x v="1"/>
    <n v="2023"/>
  </r>
  <r>
    <n v="17"/>
    <s v="midsize car"/>
    <n v="19"/>
    <n v="8"/>
    <n v="4.4000000000000004"/>
    <s v="awd"/>
    <s v="gas"/>
    <n v="24"/>
    <x v="20"/>
    <x v="265"/>
    <x v="1"/>
    <n v="2023"/>
  </r>
  <r>
    <n v="15"/>
    <s v="midsize car"/>
    <n v="17"/>
    <n v="8"/>
    <n v="4.4000000000000004"/>
    <s v="awd"/>
    <s v="gas"/>
    <n v="22"/>
    <x v="20"/>
    <x v="240"/>
    <x v="1"/>
    <n v="2023"/>
  </r>
  <r>
    <n v="21"/>
    <s v="midsize car"/>
    <n v="24"/>
    <n v="4"/>
    <n v="2.5"/>
    <s v="awd"/>
    <s v="gas"/>
    <n v="29"/>
    <x v="5"/>
    <x v="218"/>
    <x v="1"/>
    <n v="2023"/>
  </r>
  <r>
    <n v="22"/>
    <s v="midsize car"/>
    <n v="25"/>
    <n v="4"/>
    <n v="2.5"/>
    <s v="rwd"/>
    <s v="gas"/>
    <n v="32"/>
    <x v="5"/>
    <x v="219"/>
    <x v="1"/>
    <n v="2023"/>
  </r>
  <r>
    <n v="17"/>
    <s v="midsize car"/>
    <n v="20"/>
    <n v="6"/>
    <n v="3.3"/>
    <s v="awd"/>
    <s v="gas"/>
    <n v="24"/>
    <x v="5"/>
    <x v="218"/>
    <x v="1"/>
    <n v="2023"/>
  </r>
  <r>
    <n v="18"/>
    <s v="midsize car"/>
    <n v="20"/>
    <n v="6"/>
    <n v="3.3"/>
    <s v="rwd"/>
    <s v="gas"/>
    <n v="25"/>
    <x v="5"/>
    <x v="219"/>
    <x v="1"/>
    <n v="2023"/>
  </r>
  <r>
    <n v="26"/>
    <s v="midsize car"/>
    <n v="28"/>
    <n v="3"/>
    <n v="1.5"/>
    <s v="fwd"/>
    <s v="gas"/>
    <n v="32"/>
    <x v="22"/>
    <x v="241"/>
    <x v="1"/>
    <n v="2023"/>
  </r>
  <r>
    <n v="16"/>
    <s v="two seater"/>
    <n v="18"/>
    <n v="8"/>
    <n v="5"/>
    <s v="awd"/>
    <s v="gas"/>
    <n v="24"/>
    <x v="14"/>
    <x v="69"/>
    <x v="1"/>
    <n v="2024"/>
  </r>
  <r>
    <n v="16"/>
    <s v="two seater"/>
    <n v="18"/>
    <n v="8"/>
    <n v="5"/>
    <s v="awd"/>
    <s v="gas"/>
    <n v="24"/>
    <x v="14"/>
    <x v="70"/>
    <x v="1"/>
    <n v="2024"/>
  </r>
  <r>
    <n v="17"/>
    <s v="two seater"/>
    <n v="19"/>
    <n v="8"/>
    <n v="5"/>
    <s v="rwd"/>
    <s v="gas"/>
    <n v="24"/>
    <x v="14"/>
    <x v="256"/>
    <x v="1"/>
    <n v="2024"/>
  </r>
  <r>
    <n v="17"/>
    <s v="two seater"/>
    <n v="19"/>
    <n v="8"/>
    <n v="5"/>
    <s v="rwd"/>
    <s v="gas"/>
    <n v="24"/>
    <x v="14"/>
    <x v="257"/>
    <x v="1"/>
    <n v="2024"/>
  </r>
  <r>
    <n v="16"/>
    <s v="two seater"/>
    <n v="18"/>
    <n v="8"/>
    <n v="5"/>
    <s v="awd"/>
    <s v="gas"/>
    <n v="24"/>
    <x v="14"/>
    <x v="258"/>
    <x v="1"/>
    <n v="2024"/>
  </r>
  <r>
    <n v="16"/>
    <s v="two seater"/>
    <n v="18"/>
    <n v="8"/>
    <n v="5"/>
    <s v="awd"/>
    <s v="gas"/>
    <n v="24"/>
    <x v="14"/>
    <x v="259"/>
    <x v="1"/>
    <n v="2024"/>
  </r>
  <r>
    <n v="28"/>
    <s v="small station wagon"/>
    <n v="30"/>
    <n v="3"/>
    <n v="1.2"/>
    <s v="fwd"/>
    <s v="gas"/>
    <n v="32"/>
    <x v="11"/>
    <x v="266"/>
    <x v="1"/>
    <n v="2024"/>
  </r>
  <r>
    <n v="20"/>
    <s v="small sport utility vehicle"/>
    <n v="23"/>
    <n v="4"/>
    <n v="2"/>
    <s v="awd"/>
    <s v="gas"/>
    <n v="26"/>
    <x v="14"/>
    <x v="188"/>
    <x v="1"/>
    <n v="2024"/>
  </r>
  <r>
    <n v="20"/>
    <s v="small sport utility vehicle"/>
    <n v="22"/>
    <n v="4"/>
    <n v="2"/>
    <s v="awd"/>
    <s v="gas"/>
    <n v="27"/>
    <x v="30"/>
    <x v="254"/>
    <x v="1"/>
    <n v="2024"/>
  </r>
  <r>
    <n v="19"/>
    <s v="small sport utility vehicle"/>
    <n v="20"/>
    <n v="4"/>
    <n v="2"/>
    <s v="awd"/>
    <s v="gas"/>
    <n v="23"/>
    <x v="30"/>
    <x v="255"/>
    <x v="1"/>
    <n v="2024"/>
  </r>
  <r>
    <n v="28"/>
    <s v="small sport utility vehicle"/>
    <n v="31"/>
    <n v="4"/>
    <n v="2"/>
    <s v="fwd"/>
    <s v="gas"/>
    <n v="34"/>
    <x v="5"/>
    <x v="197"/>
    <x v="1"/>
    <n v="2024"/>
  </r>
  <r>
    <n v="25"/>
    <s v="small sport utility vehicle"/>
    <n v="26"/>
    <n v="4"/>
    <n v="1.6"/>
    <s v="awd"/>
    <s v="gas"/>
    <n v="27"/>
    <x v="5"/>
    <x v="198"/>
    <x v="1"/>
    <n v="2024"/>
  </r>
  <r>
    <n v="27"/>
    <s v="small sport utility vehicle"/>
    <n v="29"/>
    <n v="4"/>
    <n v="2"/>
    <s v="awd"/>
    <s v="gas"/>
    <n v="31"/>
    <x v="5"/>
    <x v="198"/>
    <x v="1"/>
    <n v="2024"/>
  </r>
  <r>
    <n v="29"/>
    <s v="minicompact car"/>
    <n v="32"/>
    <n v="3"/>
    <n v="1.5"/>
    <s v="fwd"/>
    <s v="gas"/>
    <n v="38"/>
    <x v="22"/>
    <x v="167"/>
    <x v="1"/>
    <n v="2024"/>
  </r>
  <r>
    <n v="27"/>
    <s v="minicompact car"/>
    <n v="31"/>
    <n v="3"/>
    <n v="1.5"/>
    <s v="fwd"/>
    <s v="gas"/>
    <n v="38"/>
    <x v="22"/>
    <x v="167"/>
    <x v="0"/>
    <n v="2024"/>
  </r>
  <r>
    <n v="27"/>
    <s v="minicompact car"/>
    <n v="30"/>
    <n v="4"/>
    <n v="2"/>
    <s v="fwd"/>
    <s v="gas"/>
    <n v="36"/>
    <x v="22"/>
    <x v="168"/>
    <x v="1"/>
    <n v="2024"/>
  </r>
  <r>
    <n v="23"/>
    <s v="minicompact car"/>
    <n v="27"/>
    <n v="4"/>
    <n v="2"/>
    <s v="fwd"/>
    <s v="gas"/>
    <n v="33"/>
    <x v="22"/>
    <x v="168"/>
    <x v="0"/>
    <n v="2024"/>
  </r>
  <r>
    <n v="25"/>
    <s v="minicompact car"/>
    <n v="28"/>
    <n v="4"/>
    <n v="2"/>
    <s v="fwd"/>
    <s v="gas"/>
    <n v="33"/>
    <x v="22"/>
    <x v="106"/>
    <x v="1"/>
    <n v="2024"/>
  </r>
  <r>
    <n v="25"/>
    <s v="subcompact car"/>
    <n v="28"/>
    <n v="4"/>
    <n v="2"/>
    <s v="rwd"/>
    <s v="gas"/>
    <n v="34"/>
    <x v="20"/>
    <x v="131"/>
    <x v="1"/>
    <n v="2024"/>
  </r>
  <r>
    <n v="23"/>
    <s v="subcompact car"/>
    <n v="27"/>
    <n v="4"/>
    <n v="2"/>
    <s v="awd"/>
    <s v="gas"/>
    <n v="33"/>
    <x v="20"/>
    <x v="132"/>
    <x v="1"/>
    <n v="2024"/>
  </r>
  <r>
    <n v="25"/>
    <s v="subcompact car"/>
    <n v="28"/>
    <n v="4"/>
    <n v="2"/>
    <s v="rwd"/>
    <s v="gas"/>
    <n v="34"/>
    <x v="20"/>
    <x v="121"/>
    <x v="1"/>
    <n v="2024"/>
  </r>
  <r>
    <n v="23"/>
    <s v="subcompact car"/>
    <n v="27"/>
    <n v="4"/>
    <n v="2"/>
    <s v="awd"/>
    <s v="gas"/>
    <n v="33"/>
    <x v="20"/>
    <x v="122"/>
    <x v="1"/>
    <n v="2024"/>
  </r>
  <r>
    <n v="16"/>
    <s v="subcompact car"/>
    <n v="19"/>
    <n v="6"/>
    <n v="3"/>
    <s v="rwd"/>
    <s v="gas"/>
    <n v="23"/>
    <x v="20"/>
    <x v="139"/>
    <x v="0"/>
    <n v="2024"/>
  </r>
  <r>
    <n v="16"/>
    <s v="subcompact car"/>
    <n v="19"/>
    <n v="6"/>
    <n v="3"/>
    <s v="rwd"/>
    <s v="gas"/>
    <n v="23"/>
    <x v="20"/>
    <x v="267"/>
    <x v="1"/>
    <n v="2024"/>
  </r>
  <r>
    <n v="16"/>
    <s v="subcompact car"/>
    <n v="18"/>
    <n v="6"/>
    <n v="3"/>
    <s v="awd"/>
    <s v="gas"/>
    <n v="22"/>
    <x v="20"/>
    <x v="268"/>
    <x v="1"/>
    <n v="2024"/>
  </r>
  <r>
    <n v="16"/>
    <s v="subcompact car"/>
    <n v="18"/>
    <n v="6"/>
    <n v="3"/>
    <s v="awd"/>
    <s v="gas"/>
    <n v="23"/>
    <x v="20"/>
    <x v="269"/>
    <x v="1"/>
    <n v="2024"/>
  </r>
  <r>
    <n v="21"/>
    <s v="subcompact car"/>
    <n v="24"/>
    <n v="6"/>
    <n v="3"/>
    <s v="rwd"/>
    <s v="gas"/>
    <n v="29"/>
    <x v="20"/>
    <x v="270"/>
    <x v="1"/>
    <n v="2024"/>
  </r>
  <r>
    <n v="21"/>
    <s v="subcompact car"/>
    <n v="24"/>
    <n v="6"/>
    <n v="3"/>
    <s v="awd"/>
    <s v="gas"/>
    <n v="29"/>
    <x v="20"/>
    <x v="271"/>
    <x v="1"/>
    <n v="2024"/>
  </r>
  <r>
    <n v="21"/>
    <s v="subcompact car"/>
    <n v="24"/>
    <n v="6"/>
    <n v="3"/>
    <s v="rwd"/>
    <s v="gas"/>
    <n v="29"/>
    <x v="20"/>
    <x v="272"/>
    <x v="1"/>
    <n v="2024"/>
  </r>
  <r>
    <n v="21"/>
    <s v="subcompact car"/>
    <n v="24"/>
    <n v="6"/>
    <n v="3"/>
    <s v="awd"/>
    <s v="gas"/>
    <n v="29"/>
    <x v="20"/>
    <x v="273"/>
    <x v="1"/>
    <n v="2024"/>
  </r>
  <r>
    <n v="17"/>
    <s v="subcompact car"/>
    <n v="19"/>
    <n v="8"/>
    <n v="4.4000000000000004"/>
    <s v="awd"/>
    <s v="gas"/>
    <n v="24"/>
    <x v="20"/>
    <x v="246"/>
    <x v="1"/>
    <n v="2024"/>
  </r>
  <r>
    <n v="17"/>
    <s v="subcompact car"/>
    <n v="19"/>
    <n v="8"/>
    <n v="4.4000000000000004"/>
    <s v="awd"/>
    <s v="gas"/>
    <n v="24"/>
    <x v="20"/>
    <x v="247"/>
    <x v="1"/>
    <n v="2024"/>
  </r>
  <r>
    <n v="15"/>
    <s v="subcompact car"/>
    <n v="17"/>
    <n v="8"/>
    <n v="4.4000000000000004"/>
    <s v="awd"/>
    <s v="gas"/>
    <n v="22"/>
    <x v="20"/>
    <x v="234"/>
    <x v="1"/>
    <n v="2024"/>
  </r>
  <r>
    <n v="15"/>
    <s v="subcompact car"/>
    <n v="17"/>
    <n v="8"/>
    <n v="4.4000000000000004"/>
    <s v="awd"/>
    <s v="gas"/>
    <n v="22"/>
    <x v="20"/>
    <x v="235"/>
    <x v="1"/>
    <n v="2024"/>
  </r>
  <r>
    <n v="29"/>
    <s v="subcompact car"/>
    <n v="32"/>
    <n v="3"/>
    <n v="1.5"/>
    <s v="fwd"/>
    <s v="gas"/>
    <n v="38"/>
    <x v="22"/>
    <x v="204"/>
    <x v="1"/>
    <n v="2024"/>
  </r>
  <r>
    <n v="27"/>
    <s v="subcompact car"/>
    <n v="31"/>
    <n v="3"/>
    <n v="1.5"/>
    <s v="fwd"/>
    <s v="gas"/>
    <n v="38"/>
    <x v="22"/>
    <x v="204"/>
    <x v="0"/>
    <n v="2024"/>
  </r>
  <r>
    <n v="29"/>
    <s v="subcompact car"/>
    <n v="32"/>
    <n v="3"/>
    <n v="1.5"/>
    <s v="fwd"/>
    <s v="gas"/>
    <n v="38"/>
    <x v="22"/>
    <x v="205"/>
    <x v="1"/>
    <n v="2024"/>
  </r>
  <r>
    <n v="27"/>
    <s v="subcompact car"/>
    <n v="31"/>
    <n v="3"/>
    <n v="1.5"/>
    <s v="fwd"/>
    <s v="gas"/>
    <n v="38"/>
    <x v="22"/>
    <x v="205"/>
    <x v="0"/>
    <n v="2024"/>
  </r>
  <r>
    <n v="28"/>
    <s v="subcompact car"/>
    <n v="31"/>
    <n v="4"/>
    <n v="2"/>
    <s v="fwd"/>
    <s v="gas"/>
    <n v="38"/>
    <x v="22"/>
    <x v="206"/>
    <x v="1"/>
    <n v="2024"/>
  </r>
  <r>
    <n v="23"/>
    <s v="subcompact car"/>
    <n v="27"/>
    <n v="4"/>
    <n v="2"/>
    <s v="fwd"/>
    <s v="gas"/>
    <n v="33"/>
    <x v="22"/>
    <x v="206"/>
    <x v="0"/>
    <n v="2024"/>
  </r>
  <r>
    <n v="28"/>
    <s v="subcompact car"/>
    <n v="31"/>
    <n v="4"/>
    <n v="2"/>
    <s v="fwd"/>
    <s v="gas"/>
    <n v="38"/>
    <x v="22"/>
    <x v="207"/>
    <x v="1"/>
    <n v="2024"/>
  </r>
  <r>
    <n v="23"/>
    <s v="subcompact car"/>
    <n v="27"/>
    <n v="4"/>
    <n v="2"/>
    <s v="fwd"/>
    <s v="gas"/>
    <n v="33"/>
    <x v="22"/>
    <x v="207"/>
    <x v="0"/>
    <n v="2024"/>
  </r>
  <r>
    <n v="26"/>
    <s v="subcompact car"/>
    <n v="29"/>
    <n v="4"/>
    <n v="2"/>
    <s v="fwd"/>
    <s v="gas"/>
    <n v="35"/>
    <x v="22"/>
    <x v="236"/>
    <x v="1"/>
    <n v="2024"/>
  </r>
  <r>
    <n v="22"/>
    <s v="subcompact car"/>
    <n v="26"/>
    <n v="4"/>
    <n v="2"/>
    <s v="fwd"/>
    <s v="gas"/>
    <n v="32"/>
    <x v="22"/>
    <x v="236"/>
    <x v="0"/>
    <n v="2024"/>
  </r>
  <r>
    <n v="25"/>
    <s v="compact car"/>
    <n v="28"/>
    <n v="4"/>
    <n v="2"/>
    <s v="rwd"/>
    <s v="gas"/>
    <n v="34"/>
    <x v="20"/>
    <x v="133"/>
    <x v="1"/>
    <n v="2024"/>
  </r>
  <r>
    <n v="23"/>
    <s v="compact car"/>
    <n v="27"/>
    <n v="4"/>
    <n v="2"/>
    <s v="awd"/>
    <s v="gas"/>
    <n v="33"/>
    <x v="20"/>
    <x v="134"/>
    <x v="1"/>
    <n v="2024"/>
  </r>
  <r>
    <n v="21"/>
    <s v="midsize car"/>
    <n v="24"/>
    <n v="6"/>
    <n v="3"/>
    <s v="rwd"/>
    <s v="gas"/>
    <n v="29"/>
    <x v="20"/>
    <x v="274"/>
    <x v="1"/>
    <n v="2024"/>
  </r>
  <r>
    <n v="21"/>
    <s v="midsize car"/>
    <n v="24"/>
    <n v="6"/>
    <n v="3"/>
    <s v="awd"/>
    <s v="gas"/>
    <n v="29"/>
    <x v="20"/>
    <x v="275"/>
    <x v="1"/>
    <n v="2024"/>
  </r>
  <r>
    <n v="17"/>
    <s v="midsize car"/>
    <n v="19"/>
    <n v="8"/>
    <n v="4.4000000000000004"/>
    <s v="awd"/>
    <s v="gas"/>
    <n v="24"/>
    <x v="20"/>
    <x v="264"/>
    <x v="1"/>
    <n v="2024"/>
  </r>
  <r>
    <n v="17"/>
    <s v="midsize car"/>
    <n v="19"/>
    <n v="8"/>
    <n v="4.4000000000000004"/>
    <s v="awd"/>
    <s v="gas"/>
    <n v="24"/>
    <x v="20"/>
    <x v="265"/>
    <x v="1"/>
    <n v="20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49D38A-EB0E-4EE0-8427-11CF0AAD1BA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40:R54" firstHeaderRow="0" firstDataRow="1" firstDataCol="1"/>
  <pivotFields count="12">
    <pivotField showAll="0"/>
    <pivotField axis="axisRow" showAll="0">
      <items count="14">
        <item x="7"/>
        <item x="3"/>
        <item x="0"/>
        <item x="12"/>
        <item x="5"/>
        <item x="10"/>
        <item x="11"/>
        <item x="1"/>
        <item x="8"/>
        <item x="9"/>
        <item x="6"/>
        <item x="2"/>
        <item x="4"/>
        <item t="default"/>
      </items>
    </pivotField>
    <pivotField dataField="1" showAll="0">
      <items count="31">
        <item x="15"/>
        <item x="16"/>
        <item x="13"/>
        <item x="14"/>
        <item x="7"/>
        <item x="11"/>
        <item x="8"/>
        <item x="12"/>
        <item x="5"/>
        <item x="6"/>
        <item x="9"/>
        <item x="10"/>
        <item x="4"/>
        <item x="2"/>
        <item x="3"/>
        <item x="0"/>
        <item x="1"/>
        <item x="18"/>
        <item x="17"/>
        <item x="20"/>
        <item x="24"/>
        <item x="21"/>
        <item x="27"/>
        <item x="28"/>
        <item x="22"/>
        <item x="23"/>
        <item x="29"/>
        <item x="26"/>
        <item x="25"/>
        <item x="19"/>
        <item t="default"/>
      </items>
    </pivotField>
    <pivotField dataField="1" showAll="0">
      <items count="9">
        <item x="7"/>
        <item x="0"/>
        <item x="5"/>
        <item x="1"/>
        <item x="2"/>
        <item x="3"/>
        <item x="4"/>
        <item x="6"/>
        <item t="default"/>
      </items>
    </pivotField>
    <pivotField dataField="1" showAll="0">
      <items count="31">
        <item x="22"/>
        <item x="29"/>
        <item x="27"/>
        <item x="23"/>
        <item x="19"/>
        <item x="17"/>
        <item x="1"/>
        <item x="7"/>
        <item x="0"/>
        <item x="6"/>
        <item x="26"/>
        <item x="8"/>
        <item x="9"/>
        <item x="21"/>
        <item x="2"/>
        <item x="5"/>
        <item x="11"/>
        <item x="25"/>
        <item x="14"/>
        <item x="4"/>
        <item x="10"/>
        <item x="15"/>
        <item x="28"/>
        <item x="3"/>
        <item x="12"/>
        <item x="24"/>
        <item x="16"/>
        <item x="13"/>
        <item x="18"/>
        <item x="20"/>
        <item t="default"/>
      </items>
    </pivotField>
    <pivotField showAll="0"/>
    <pivotField showAll="0"/>
    <pivotField showAll="0"/>
    <pivotField showAll="0">
      <items count="32">
        <item x="19"/>
        <item x="6"/>
        <item x="4"/>
        <item x="16"/>
        <item x="20"/>
        <item x="26"/>
        <item x="13"/>
        <item x="11"/>
        <item x="21"/>
        <item x="1"/>
        <item x="23"/>
        <item x="12"/>
        <item x="15"/>
        <item x="17"/>
        <item x="25"/>
        <item x="14"/>
        <item x="8"/>
        <item x="5"/>
        <item x="30"/>
        <item x="0"/>
        <item x="29"/>
        <item x="22"/>
        <item x="18"/>
        <item x="3"/>
        <item x="9"/>
        <item x="27"/>
        <item x="7"/>
        <item x="2"/>
        <item x="28"/>
        <item x="24"/>
        <item x="10"/>
        <item t="default"/>
      </items>
    </pivotField>
    <pivotField showAll="0"/>
    <pivotField showAll="0"/>
    <pivotField showAll="0"/>
  </pivotFields>
  <rowFields count="1">
    <field x="1"/>
  </rowFields>
  <rowItems count="14">
    <i>
      <x/>
    </i>
    <i>
      <x v="1"/>
    </i>
    <i>
      <x v="2"/>
    </i>
    <i>
      <x v="3"/>
    </i>
    <i>
      <x v="4"/>
    </i>
    <i>
      <x v="5"/>
    </i>
    <i>
      <x v="6"/>
    </i>
    <i>
      <x v="7"/>
    </i>
    <i>
      <x v="8"/>
    </i>
    <i>
      <x v="9"/>
    </i>
    <i>
      <x v="10"/>
    </i>
    <i>
      <x v="11"/>
    </i>
    <i>
      <x v="12"/>
    </i>
    <i t="grand">
      <x/>
    </i>
  </rowItems>
  <colFields count="1">
    <field x="-2"/>
  </colFields>
  <colItems count="3">
    <i>
      <x/>
    </i>
    <i i="1">
      <x v="1"/>
    </i>
    <i i="2">
      <x v="2"/>
    </i>
  </colItems>
  <dataFields count="3">
    <dataField name="Sum of combination_mpg" fld="2" baseField="0" baseItem="0"/>
    <dataField name="Sum of displacement" fld="4" baseField="0" baseItem="0"/>
    <dataField name="Sum of cylinders" fld="3" baseField="0" baseItem="0"/>
  </dataFields>
  <formats count="4">
    <format dxfId="24">
      <pivotArea field="1" type="button" dataOnly="0" labelOnly="1" outline="0" axis="axisRow" fieldPosition="0"/>
    </format>
    <format dxfId="23">
      <pivotArea dataOnly="0" labelOnly="1" outline="0" fieldPosition="0">
        <references count="1">
          <reference field="4294967294" count="3">
            <x v="0"/>
            <x v="1"/>
            <x v="2"/>
          </reference>
        </references>
      </pivotArea>
    </format>
    <format dxfId="22">
      <pivotArea grandRow="1" outline="0" collapsedLevelsAreSubtotals="1" fieldPosition="0"/>
    </format>
    <format dxfId="21">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94D5EA-F79B-4CC6-BE8B-11BFE4C5A58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ow Labels">
  <location ref="O6:P20" firstHeaderRow="1" firstDataRow="1" firstDataCol="1"/>
  <pivotFields count="12">
    <pivotField showAll="0"/>
    <pivotField axis="axisRow" showAll="0">
      <items count="14">
        <item x="7"/>
        <item x="3"/>
        <item x="0"/>
        <item x="12"/>
        <item x="5"/>
        <item x="10"/>
        <item x="11"/>
        <item x="1"/>
        <item x="8"/>
        <item x="9"/>
        <item x="6"/>
        <item x="2"/>
        <item x="4"/>
        <item t="default"/>
      </items>
    </pivotField>
    <pivotField showAll="0"/>
    <pivotField showAll="0"/>
    <pivotField dataField="1" showAll="0">
      <items count="31">
        <item x="22"/>
        <item x="29"/>
        <item x="27"/>
        <item x="23"/>
        <item x="19"/>
        <item x="17"/>
        <item x="1"/>
        <item x="7"/>
        <item x="0"/>
        <item x="6"/>
        <item x="26"/>
        <item x="8"/>
        <item x="9"/>
        <item x="21"/>
        <item x="2"/>
        <item x="5"/>
        <item x="11"/>
        <item x="25"/>
        <item x="14"/>
        <item x="4"/>
        <item x="10"/>
        <item x="15"/>
        <item x="28"/>
        <item x="3"/>
        <item x="12"/>
        <item x="24"/>
        <item x="16"/>
        <item x="13"/>
        <item x="18"/>
        <item x="20"/>
        <item t="default"/>
      </items>
    </pivotField>
    <pivotField showAll="0"/>
    <pivotField showAll="0"/>
    <pivotField showAll="0"/>
    <pivotField showAll="0"/>
    <pivotField showAll="0"/>
    <pivotField showAll="0"/>
    <pivotField showAll="0"/>
  </pivotFields>
  <rowFields count="1">
    <field x="1"/>
  </rowFields>
  <rowItems count="14">
    <i>
      <x/>
    </i>
    <i>
      <x v="1"/>
    </i>
    <i>
      <x v="2"/>
    </i>
    <i>
      <x v="3"/>
    </i>
    <i>
      <x v="4"/>
    </i>
    <i>
      <x v="5"/>
    </i>
    <i>
      <x v="6"/>
    </i>
    <i>
      <x v="7"/>
    </i>
    <i>
      <x v="8"/>
    </i>
    <i>
      <x v="9"/>
    </i>
    <i>
      <x v="10"/>
    </i>
    <i>
      <x v="11"/>
    </i>
    <i>
      <x v="12"/>
    </i>
    <i t="grand">
      <x/>
    </i>
  </rowItems>
  <colItems count="1">
    <i/>
  </colItems>
  <dataFields count="1">
    <dataField name="Sum of displacement" fld="4" baseField="0" baseItem="0"/>
  </dataFields>
  <formats count="4">
    <format dxfId="28">
      <pivotArea field="1" type="button" dataOnly="0" labelOnly="1" outline="0" axis="axisRow" fieldPosition="0"/>
    </format>
    <format dxfId="27">
      <pivotArea dataOnly="0" labelOnly="1" outline="0" axis="axisValues" fieldPosition="0"/>
    </format>
    <format dxfId="26">
      <pivotArea grandRow="1" outline="0" collapsedLevelsAreSubtotals="1" fieldPosition="0"/>
    </format>
    <format dxfId="2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D12C83-3812-484B-8C6A-CDA5667DE14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6:S38" firstHeaderRow="1" firstDataRow="1" firstDataCol="1"/>
  <pivotFields count="12">
    <pivotField showAll="0"/>
    <pivotField showAll="0"/>
    <pivotField showAll="0"/>
    <pivotField showAll="0"/>
    <pivotField showAll="0"/>
    <pivotField showAll="0"/>
    <pivotField showAll="0"/>
    <pivotField dataField="1" showAll="0"/>
    <pivotField axis="axisRow" showAll="0">
      <items count="32">
        <item x="19"/>
        <item x="6"/>
        <item x="4"/>
        <item x="16"/>
        <item x="20"/>
        <item x="26"/>
        <item x="13"/>
        <item x="11"/>
        <item x="21"/>
        <item x="1"/>
        <item x="23"/>
        <item x="12"/>
        <item x="15"/>
        <item x="17"/>
        <item x="25"/>
        <item x="14"/>
        <item x="8"/>
        <item x="5"/>
        <item x="30"/>
        <item x="0"/>
        <item x="29"/>
        <item x="22"/>
        <item x="18"/>
        <item x="3"/>
        <item x="9"/>
        <item x="27"/>
        <item x="7"/>
        <item x="2"/>
        <item x="28"/>
        <item x="24"/>
        <item x="10"/>
        <item t="default"/>
      </items>
    </pivotField>
    <pivotField showAll="0"/>
    <pivotField showAll="0"/>
    <pivotField showAll="0"/>
  </pivotFields>
  <rowFields count="1">
    <field x="8"/>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Sum of highway_mpg" fld="7" baseField="0" baseItem="0"/>
  </dataFields>
  <formats count="4">
    <format dxfId="32">
      <pivotArea field="8" type="button" dataOnly="0" labelOnly="1" outline="0" axis="axisRow" fieldPosition="0"/>
    </format>
    <format dxfId="31">
      <pivotArea dataOnly="0" labelOnly="1" outline="0" axis="axisValues" fieldPosition="0"/>
    </format>
    <format dxfId="30">
      <pivotArea grandRow="1" outline="0" collapsedLevelsAreSubtotals="1" fieldPosition="0"/>
    </format>
    <format dxfId="2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529BAD3-A953-4C47-BE03-B3944D1435A8}"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9:D52" firstHeaderRow="1" firstDataRow="2" firstDataCol="1"/>
  <pivotFields count="12">
    <pivotField showAll="0"/>
    <pivotField showAll="0"/>
    <pivotField showAll="0"/>
    <pivotField showAll="0"/>
    <pivotField showAll="0"/>
    <pivotField showAll="0"/>
    <pivotField showAll="0"/>
    <pivotField showAll="0"/>
    <pivotField axis="axisRow" showAll="0">
      <items count="32">
        <item sd="0" x="19"/>
        <item sd="0" x="6"/>
        <item sd="0" x="4"/>
        <item sd="0" x="16"/>
        <item sd="0" x="20"/>
        <item sd="0" x="26"/>
        <item sd="0" x="13"/>
        <item sd="0" x="11"/>
        <item sd="0" x="21"/>
        <item sd="0" x="1"/>
        <item sd="0" x="23"/>
        <item sd="0" x="12"/>
        <item sd="0" x="15"/>
        <item sd="0" x="17"/>
        <item sd="0" x="25"/>
        <item sd="0" x="14"/>
        <item sd="0" x="8"/>
        <item sd="0" x="5"/>
        <item sd="0" x="30"/>
        <item sd="0" x="0"/>
        <item sd="0" x="29"/>
        <item sd="0" x="22"/>
        <item sd="0" x="18"/>
        <item sd="0" x="3"/>
        <item sd="0" x="9"/>
        <item sd="0" x="27"/>
        <item sd="0" x="7"/>
        <item sd="0" x="2"/>
        <item sd="0" x="28"/>
        <item sd="0" x="24"/>
        <item sd="0" x="10"/>
        <item t="default" sd="0"/>
      </items>
    </pivotField>
    <pivotField axis="axisRow" showAll="0">
      <items count="277">
        <item x="0"/>
        <item x="160"/>
        <item x="161"/>
        <item x="196"/>
        <item x="121"/>
        <item x="131"/>
        <item x="133"/>
        <item x="122"/>
        <item x="132"/>
        <item x="134"/>
        <item x="123"/>
        <item x="135"/>
        <item x="137"/>
        <item x="124"/>
        <item x="136"/>
        <item x="138"/>
        <item x="126"/>
        <item x="140"/>
        <item x="127"/>
        <item x="141"/>
        <item x="128"/>
        <item x="142"/>
        <item x="129"/>
        <item x="143"/>
        <item x="102"/>
        <item x="212"/>
        <item x="272"/>
        <item x="270"/>
        <item x="274"/>
        <item x="273"/>
        <item x="271"/>
        <item x="275"/>
        <item x="101"/>
        <item x="100"/>
        <item x="109"/>
        <item x="110"/>
        <item x="111"/>
        <item x="56"/>
        <item x="55"/>
        <item x="7"/>
        <item x="144"/>
        <item x="213"/>
        <item x="265"/>
        <item x="199"/>
        <item x="200"/>
        <item x="120"/>
        <item x="215"/>
        <item x="220"/>
        <item x="79"/>
        <item x="22"/>
        <item x="146"/>
        <item x="147"/>
        <item x="145"/>
        <item x="148"/>
        <item x="214"/>
        <item x="216"/>
        <item x="19"/>
        <item x="17"/>
        <item x="167"/>
        <item x="241"/>
        <item x="242"/>
        <item x="204"/>
        <item x="205"/>
        <item x="243"/>
        <item x="168"/>
        <item x="206"/>
        <item x="207"/>
        <item x="169"/>
        <item x="170"/>
        <item x="172"/>
        <item x="171"/>
        <item x="149"/>
        <item x="150"/>
        <item x="166"/>
        <item x="1"/>
        <item x="2"/>
        <item x="13"/>
        <item x="251"/>
        <item x="252"/>
        <item x="248"/>
        <item x="253"/>
        <item x="249"/>
        <item x="250"/>
        <item x="255"/>
        <item x="223"/>
        <item x="226"/>
        <item x="224"/>
        <item x="227"/>
        <item x="87"/>
        <item x="63"/>
        <item x="86"/>
        <item x="202"/>
        <item x="156"/>
        <item x="162"/>
        <item x="188"/>
        <item x="189"/>
        <item x="108"/>
        <item x="107"/>
        <item x="75"/>
        <item x="38"/>
        <item x="44"/>
        <item x="39"/>
        <item x="45"/>
        <item x="194"/>
        <item x="4"/>
        <item x="190"/>
        <item x="191"/>
        <item x="52"/>
        <item x="53"/>
        <item x="259"/>
        <item x="258"/>
        <item x="257"/>
        <item x="256"/>
        <item x="70"/>
        <item x="69"/>
        <item x="68"/>
        <item x="51"/>
        <item x="66"/>
        <item x="65"/>
        <item x="60"/>
        <item x="59"/>
        <item x="50"/>
        <item x="154"/>
        <item x="155"/>
        <item x="112"/>
        <item x="113"/>
        <item x="177"/>
        <item x="178"/>
        <item x="21"/>
        <item x="6"/>
        <item x="229"/>
        <item x="263"/>
        <item x="57"/>
        <item x="58"/>
        <item x="67"/>
        <item x="64"/>
        <item x="211"/>
        <item x="210"/>
        <item x="151"/>
        <item x="106"/>
        <item x="209"/>
        <item x="208"/>
        <item x="236"/>
        <item x="24"/>
        <item x="233"/>
        <item x="232"/>
        <item x="267"/>
        <item x="269"/>
        <item x="268"/>
        <item x="125"/>
        <item x="139"/>
        <item x="239"/>
        <item x="130"/>
        <item x="235"/>
        <item x="234"/>
        <item x="240"/>
        <item x="247"/>
        <item x="246"/>
        <item x="264"/>
        <item x="225"/>
        <item x="221"/>
        <item x="98"/>
        <item x="61"/>
        <item x="10"/>
        <item x="3"/>
        <item x="5"/>
        <item x="217"/>
        <item x="228"/>
        <item x="231"/>
        <item x="99"/>
        <item x="195"/>
        <item x="20"/>
        <item x="18"/>
        <item x="114"/>
        <item x="85"/>
        <item x="152"/>
        <item x="153"/>
        <item x="12"/>
        <item x="11"/>
        <item x="254"/>
        <item x="260"/>
        <item x="192"/>
        <item x="193"/>
        <item x="15"/>
        <item x="104"/>
        <item x="103"/>
        <item x="158"/>
        <item x="157"/>
        <item x="73"/>
        <item x="74"/>
        <item x="117"/>
        <item x="115"/>
        <item x="116"/>
        <item x="118"/>
        <item x="23"/>
        <item x="32"/>
        <item x="90"/>
        <item x="88"/>
        <item x="83"/>
        <item x="81"/>
        <item x="84"/>
        <item x="82"/>
        <item x="91"/>
        <item x="89"/>
        <item x="76"/>
        <item x="77"/>
        <item x="78"/>
        <item x="198"/>
        <item x="197"/>
        <item x="35"/>
        <item x="37"/>
        <item x="34"/>
        <item x="36"/>
        <item x="8"/>
        <item x="9"/>
        <item x="26"/>
        <item x="54"/>
        <item x="25"/>
        <item x="173"/>
        <item x="174"/>
        <item x="94"/>
        <item x="95"/>
        <item x="93"/>
        <item x="92"/>
        <item x="261"/>
        <item x="262"/>
        <item x="119"/>
        <item x="16"/>
        <item x="218"/>
        <item x="219"/>
        <item x="41"/>
        <item x="47"/>
        <item x="40"/>
        <item x="46"/>
        <item x="176"/>
        <item x="175"/>
        <item x="164"/>
        <item x="165"/>
        <item x="163"/>
        <item x="201"/>
        <item x="203"/>
        <item x="266"/>
        <item x="30"/>
        <item x="29"/>
        <item x="230"/>
        <item x="222"/>
        <item x="244"/>
        <item x="245"/>
        <item x="33"/>
        <item x="14"/>
        <item x="62"/>
        <item x="105"/>
        <item x="31"/>
        <item x="238"/>
        <item x="237"/>
        <item x="159"/>
        <item x="27"/>
        <item x="28"/>
        <item x="179"/>
        <item x="180"/>
        <item x="181"/>
        <item x="182"/>
        <item x="183"/>
        <item x="184"/>
        <item x="185"/>
        <item x="186"/>
        <item x="187"/>
        <item x="71"/>
        <item x="72"/>
        <item x="96"/>
        <item x="97"/>
        <item x="42"/>
        <item x="43"/>
        <item x="49"/>
        <item x="48"/>
        <item x="80"/>
        <item t="default"/>
      </items>
    </pivotField>
    <pivotField axis="axisCol" showAll="0">
      <items count="3">
        <item x="1"/>
        <item x="0"/>
        <item t="default"/>
      </items>
    </pivotField>
    <pivotField dataField="1" showAll="0"/>
  </pivotFields>
  <rowFields count="2">
    <field x="8"/>
    <field x="9"/>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10"/>
  </colFields>
  <colItems count="3">
    <i>
      <x/>
    </i>
    <i>
      <x v="1"/>
    </i>
    <i t="grand">
      <x/>
    </i>
  </colItems>
  <dataFields count="1">
    <dataField name="Sum of year" fld="11" baseField="0" baseItem="0"/>
  </dataField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1" format="0" series="1">
      <pivotArea type="data" outline="0" fieldPosition="0">
        <references count="2">
          <reference field="4294967294" count="1" selected="0">
            <x v="0"/>
          </reference>
          <reference field="10" count="1" selected="0">
            <x v="0"/>
          </reference>
        </references>
      </pivotArea>
    </chartFormat>
    <chartFormat chart="1" format="1"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52825D-A6C1-4D14-B507-FFA415CAE9F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B15" firstHeaderRow="1" firstDataRow="1" firstDataCol="1"/>
  <pivotFields count="12">
    <pivotField showAll="0"/>
    <pivotField axis="axisRow" showAll="0">
      <items count="14">
        <item x="7"/>
        <item x="3"/>
        <item x="0"/>
        <item x="12"/>
        <item x="5"/>
        <item x="10"/>
        <item x="11"/>
        <item x="1"/>
        <item x="8"/>
        <item x="9"/>
        <item x="6"/>
        <item x="2"/>
        <item x="4"/>
        <item t="default"/>
      </items>
    </pivotField>
    <pivotField showAll="0"/>
    <pivotField showAll="0"/>
    <pivotField dataField="1" showAll="0">
      <items count="31">
        <item x="22"/>
        <item x="29"/>
        <item x="27"/>
        <item x="23"/>
        <item x="19"/>
        <item x="17"/>
        <item x="1"/>
        <item x="7"/>
        <item x="0"/>
        <item x="6"/>
        <item x="26"/>
        <item x="8"/>
        <item x="9"/>
        <item x="21"/>
        <item x="2"/>
        <item x="5"/>
        <item x="11"/>
        <item x="25"/>
        <item x="14"/>
        <item x="4"/>
        <item x="10"/>
        <item x="15"/>
        <item x="28"/>
        <item x="3"/>
        <item x="12"/>
        <item x="24"/>
        <item x="16"/>
        <item x="13"/>
        <item x="18"/>
        <item x="20"/>
        <item t="default"/>
      </items>
    </pivotField>
    <pivotField showAll="0"/>
    <pivotField showAll="0"/>
    <pivotField showAll="0"/>
    <pivotField showAll="0"/>
    <pivotField showAll="0"/>
    <pivotField showAll="0"/>
    <pivotField showAll="0"/>
  </pivotFields>
  <rowFields count="1">
    <field x="1"/>
  </rowFields>
  <rowItems count="14">
    <i>
      <x/>
    </i>
    <i>
      <x v="1"/>
    </i>
    <i>
      <x v="2"/>
    </i>
    <i>
      <x v="3"/>
    </i>
    <i>
      <x v="4"/>
    </i>
    <i>
      <x v="5"/>
    </i>
    <i>
      <x v="6"/>
    </i>
    <i>
      <x v="7"/>
    </i>
    <i>
      <x v="8"/>
    </i>
    <i>
      <x v="9"/>
    </i>
    <i>
      <x v="10"/>
    </i>
    <i>
      <x v="11"/>
    </i>
    <i>
      <x v="12"/>
    </i>
    <i t="grand">
      <x/>
    </i>
  </rowItems>
  <colItems count="1">
    <i/>
  </colItems>
  <dataFields count="1">
    <dataField name="Sum of displacement" fld="4" baseField="0" baseItem="0"/>
  </dataFields>
  <formats count="10">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fieldPosition="0">
        <references count="1">
          <reference field="1" count="0"/>
        </references>
      </pivotArea>
    </format>
    <format dxfId="16">
      <pivotArea dataOnly="0" labelOnly="1" grandRow="1" outline="0" fieldPosition="0"/>
    </format>
    <format dxfId="15">
      <pivotArea dataOnly="0" labelOnly="1" outline="0" axis="axisValues" fieldPosition="0"/>
    </format>
    <format dxfId="14">
      <pivotArea field="1" type="button" dataOnly="0" labelOnly="1" outline="0" axis="axisRow" fieldPosition="0"/>
    </format>
    <format dxfId="13">
      <pivotArea dataOnly="0" labelOnly="1" outline="0" axis="axisValues" fieldPosition="0"/>
    </format>
    <format dxfId="12">
      <pivotArea grandRow="1" outline="0" collapsedLevelsAreSubtotals="1" fieldPosition="0"/>
    </format>
    <format dxfId="11">
      <pivotArea dataOnly="0" labelOnly="1" grandRow="1" outline="0" fieldPosition="0"/>
    </format>
  </formats>
  <chartFormats count="14">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0"/>
          </reference>
        </references>
      </pivotArea>
    </chartFormat>
    <chartFormat chart="4" format="2">
      <pivotArea type="data" outline="0" fieldPosition="0">
        <references count="2">
          <reference field="4294967294" count="1" selected="0">
            <x v="0"/>
          </reference>
          <reference field="1" count="1" selected="0">
            <x v="1"/>
          </reference>
        </references>
      </pivotArea>
    </chartFormat>
    <chartFormat chart="4" format="3">
      <pivotArea type="data" outline="0" fieldPosition="0">
        <references count="2">
          <reference field="4294967294" count="1" selected="0">
            <x v="0"/>
          </reference>
          <reference field="1" count="1" selected="0">
            <x v="2"/>
          </reference>
        </references>
      </pivotArea>
    </chartFormat>
    <chartFormat chart="4" format="4">
      <pivotArea type="data" outline="0" fieldPosition="0">
        <references count="2">
          <reference field="4294967294" count="1" selected="0">
            <x v="0"/>
          </reference>
          <reference field="1" count="1" selected="0">
            <x v="3"/>
          </reference>
        </references>
      </pivotArea>
    </chartFormat>
    <chartFormat chart="4" format="5">
      <pivotArea type="data" outline="0" fieldPosition="0">
        <references count="2">
          <reference field="4294967294" count="1" selected="0">
            <x v="0"/>
          </reference>
          <reference field="1" count="1" selected="0">
            <x v="4"/>
          </reference>
        </references>
      </pivotArea>
    </chartFormat>
    <chartFormat chart="4" format="6">
      <pivotArea type="data" outline="0" fieldPosition="0">
        <references count="2">
          <reference field="4294967294" count="1" selected="0">
            <x v="0"/>
          </reference>
          <reference field="1" count="1" selected="0">
            <x v="5"/>
          </reference>
        </references>
      </pivotArea>
    </chartFormat>
    <chartFormat chart="4" format="7">
      <pivotArea type="data" outline="0" fieldPosition="0">
        <references count="2">
          <reference field="4294967294" count="1" selected="0">
            <x v="0"/>
          </reference>
          <reference field="1" count="1" selected="0">
            <x v="6"/>
          </reference>
        </references>
      </pivotArea>
    </chartFormat>
    <chartFormat chart="4" format="8">
      <pivotArea type="data" outline="0" fieldPosition="0">
        <references count="2">
          <reference field="4294967294" count="1" selected="0">
            <x v="0"/>
          </reference>
          <reference field="1" count="1" selected="0">
            <x v="7"/>
          </reference>
        </references>
      </pivotArea>
    </chartFormat>
    <chartFormat chart="4" format="9">
      <pivotArea type="data" outline="0" fieldPosition="0">
        <references count="2">
          <reference field="4294967294" count="1" selected="0">
            <x v="0"/>
          </reference>
          <reference field="1" count="1" selected="0">
            <x v="8"/>
          </reference>
        </references>
      </pivotArea>
    </chartFormat>
    <chartFormat chart="4" format="10">
      <pivotArea type="data" outline="0" fieldPosition="0">
        <references count="2">
          <reference field="4294967294" count="1" selected="0">
            <x v="0"/>
          </reference>
          <reference field="1" count="1" selected="0">
            <x v="9"/>
          </reference>
        </references>
      </pivotArea>
    </chartFormat>
    <chartFormat chart="4" format="11">
      <pivotArea type="data" outline="0" fieldPosition="0">
        <references count="2">
          <reference field="4294967294" count="1" selected="0">
            <x v="0"/>
          </reference>
          <reference field="1" count="1" selected="0">
            <x v="10"/>
          </reference>
        </references>
      </pivotArea>
    </chartFormat>
    <chartFormat chart="4" format="12">
      <pivotArea type="data" outline="0" fieldPosition="0">
        <references count="2">
          <reference field="4294967294" count="1" selected="0">
            <x v="0"/>
          </reference>
          <reference field="1" count="1" selected="0">
            <x v="11"/>
          </reference>
        </references>
      </pivotArea>
    </chartFormat>
    <chartFormat chart="4" format="13">
      <pivotArea type="data" outline="0" fieldPosition="0">
        <references count="2">
          <reference field="4294967294" count="1" selected="0">
            <x v="0"/>
          </reference>
          <reference field="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5BB3A026-723D-4B3B-AAF6-F630B02972CA}" sourceName="class">
  <pivotTables>
    <pivotTable tabId="2" name="PivotTable2"/>
    <pivotTable tabId="4" name="PivotTable2"/>
  </pivotTables>
  <data>
    <tabular pivotCacheId="1058970991">
      <items count="13">
        <i x="7" s="1"/>
        <i x="3" s="1"/>
        <i x="0" s="1"/>
        <i x="12" s="1"/>
        <i x="5" s="1"/>
        <i x="10" s="1"/>
        <i x="11" s="1"/>
        <i x="1" s="1"/>
        <i x="8" s="1"/>
        <i x="9" s="1"/>
        <i x="6" s="1"/>
        <i x="2"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 xr10:uid="{D7C0C4FB-ED94-4CDE-AEC4-4D6D8DECF702}" sourceName="make">
  <pivotTables>
    <pivotTable tabId="2" name="PivotTable3"/>
    <pivotTable tabId="2" name="PivotTable1"/>
  </pivotTables>
  <data>
    <tabular pivotCacheId="1058970991">
      <items count="31">
        <i x="19" s="1"/>
        <i x="6" s="1"/>
        <i x="4" s="1"/>
        <i x="16" s="1"/>
        <i x="20" s="1"/>
        <i x="26" s="1"/>
        <i x="13" s="1"/>
        <i x="11" s="1"/>
        <i x="21" s="1"/>
        <i x="1" s="1"/>
        <i x="23" s="1"/>
        <i x="12" s="1"/>
        <i x="15" s="1"/>
        <i x="17" s="1"/>
        <i x="25" s="1"/>
        <i x="14" s="1"/>
        <i x="8" s="1"/>
        <i x="5" s="1"/>
        <i x="30" s="1"/>
        <i x="0" s="1"/>
        <i x="29" s="1"/>
        <i x="22" s="1"/>
        <i x="18" s="1"/>
        <i x="3" s="1"/>
        <i x="9" s="1"/>
        <i x="27" s="1"/>
        <i x="7" s="1"/>
        <i x="2" s="1"/>
        <i x="28" s="1"/>
        <i x="24"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xr10:uid="{A46224E6-084E-4EF3-83FF-3E97837A4D11}" cache="Slicer_class" caption="class" style="SlicerStyleDark5" rowHeight="241300"/>
  <slicer name="make" xr10:uid="{AFAAC24E-B361-4EC6-9F85-63812441925C}" cache="Slicer_make" caption="make"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0475A6-45E9-44CE-A2FC-3F92969D6B78}" name="Table1" displayName="Table1" ref="A1:F512" totalsRowShown="0" headerRowDxfId="10" dataDxfId="8" headerRowBorderDxfId="9" tableBorderDxfId="7" totalsRowBorderDxfId="6">
  <autoFilter ref="A1:F512" xr:uid="{610475A6-45E9-44CE-A2FC-3F92969D6B78}"/>
  <tableColumns count="6">
    <tableColumn id="1" xr3:uid="{C82CDB84-B5A8-4012-87CF-FF801246F600}" name="Order ID" dataDxfId="5"/>
    <tableColumn id="2" xr3:uid="{E5DEEA9B-2FCF-4EEE-8806-49AFE87815F0}" name="Customer ID" dataDxfId="4"/>
    <tableColumn id="3" xr3:uid="{6D2530C7-7C63-40FE-B397-6FA25ECAD516}" name="Product" dataDxfId="3"/>
    <tableColumn id="4" xr3:uid="{BE7FFA2E-787F-4C9B-9764-816D863735B7}" name="Unit Price" dataDxfId="2"/>
    <tableColumn id="5" xr3:uid="{977DFE07-0D9F-4545-B39F-F2584A9028CE}" name="Quantity" dataDxfId="1"/>
    <tableColumn id="6" xr3:uid="{DB5877F9-D058-451C-9491-57345EE7942F}" name="OrderValue"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D7998-32EC-457E-A220-BD380B16B31A}">
  <sheetPr codeName="Sheet1"/>
  <dimension ref="A1:Q525"/>
  <sheetViews>
    <sheetView workbookViewId="0">
      <selection activeCell="P14" sqref="P14"/>
    </sheetView>
  </sheetViews>
  <sheetFormatPr defaultRowHeight="14.5" x14ac:dyDescent="0.35"/>
  <cols>
    <col min="2" max="2" width="19" bestFit="1" customWidth="1"/>
    <col min="3" max="3" width="25.81640625" bestFit="1" customWidth="1"/>
    <col min="4" max="4" width="15.90625" bestFit="1" customWidth="1"/>
    <col min="5" max="5" width="22.08984375" bestFit="1" customWidth="1"/>
    <col min="6" max="6" width="7" bestFit="1" customWidth="1"/>
    <col min="7" max="7" width="9.1796875" bestFit="1" customWidth="1"/>
    <col min="8" max="8" width="3.90625" bestFit="1" customWidth="1"/>
    <col min="9" max="9" width="10.08984375" bestFit="1" customWidth="1"/>
    <col min="10" max="10" width="12.1796875" bestFit="1" customWidth="1"/>
    <col min="12" max="12" width="11.81640625" bestFit="1" customWidth="1"/>
    <col min="13" max="13" width="12.453125" bestFit="1" customWidth="1"/>
    <col min="14" max="14" width="10.08984375" bestFit="1" customWidth="1"/>
    <col min="16" max="16" width="21.453125" bestFit="1" customWidth="1"/>
    <col min="17" max="17" width="25.36328125" bestFit="1" customWidth="1"/>
  </cols>
  <sheetData>
    <row r="1" spans="1:17" x14ac:dyDescent="0.35">
      <c r="A1" s="1" t="s">
        <v>0</v>
      </c>
      <c r="B1" s="3" t="s">
        <v>1</v>
      </c>
      <c r="C1" s="3" t="s">
        <v>2</v>
      </c>
      <c r="D1" s="3" t="s">
        <v>3</v>
      </c>
      <c r="E1" s="3" t="s">
        <v>4</v>
      </c>
      <c r="F1" s="3" t="s">
        <v>5</v>
      </c>
      <c r="G1" s="3" t="s">
        <v>6</v>
      </c>
      <c r="H1" s="3" t="s">
        <v>7</v>
      </c>
      <c r="I1" s="3" t="s">
        <v>8</v>
      </c>
      <c r="J1" s="3" t="s">
        <v>9</v>
      </c>
      <c r="K1" s="3" t="s">
        <v>10</v>
      </c>
      <c r="L1" s="3" t="s">
        <v>11</v>
      </c>
      <c r="M1" s="3" t="s">
        <v>12</v>
      </c>
      <c r="N1" s="4" t="s">
        <v>13</v>
      </c>
    </row>
    <row r="2" spans="1:17" x14ac:dyDescent="0.35">
      <c r="A2" s="5" t="s">
        <v>14</v>
      </c>
      <c r="B2" s="5" t="s">
        <v>15</v>
      </c>
      <c r="C2" s="5" t="s">
        <v>16</v>
      </c>
      <c r="D2" s="5" t="s">
        <v>17</v>
      </c>
      <c r="E2" s="5" t="s">
        <v>18</v>
      </c>
      <c r="F2" s="5" t="s">
        <v>19</v>
      </c>
      <c r="G2" s="5" t="s">
        <v>20</v>
      </c>
      <c r="H2" s="5">
        <v>55</v>
      </c>
      <c r="I2" s="6">
        <v>42468</v>
      </c>
      <c r="J2" s="7">
        <v>141604</v>
      </c>
      <c r="K2" s="8">
        <v>0.15</v>
      </c>
      <c r="L2" s="5" t="s">
        <v>21</v>
      </c>
      <c r="M2" s="5" t="s">
        <v>22</v>
      </c>
      <c r="N2" s="6">
        <v>44485</v>
      </c>
    </row>
    <row r="3" spans="1:17" x14ac:dyDescent="0.35">
      <c r="A3" s="5" t="s">
        <v>23</v>
      </c>
      <c r="B3" s="5" t="s">
        <v>24</v>
      </c>
      <c r="C3" s="5" t="s">
        <v>25</v>
      </c>
      <c r="D3" s="5" t="s">
        <v>17</v>
      </c>
      <c r="E3" s="5" t="s">
        <v>26</v>
      </c>
      <c r="F3" s="5" t="s">
        <v>27</v>
      </c>
      <c r="G3" s="5" t="s">
        <v>28</v>
      </c>
      <c r="H3" s="5">
        <v>59</v>
      </c>
      <c r="I3" s="6">
        <v>35763</v>
      </c>
      <c r="J3" s="7">
        <v>99975</v>
      </c>
      <c r="K3" s="8">
        <v>0</v>
      </c>
      <c r="L3" s="5" t="s">
        <v>29</v>
      </c>
      <c r="M3" s="5" t="s">
        <v>30</v>
      </c>
      <c r="N3" s="6">
        <v>44485</v>
      </c>
      <c r="P3" s="19" t="s">
        <v>1443</v>
      </c>
      <c r="Q3" s="5"/>
    </row>
    <row r="4" spans="1:17" x14ac:dyDescent="0.35">
      <c r="A4" s="5" t="s">
        <v>31</v>
      </c>
      <c r="B4" s="5" t="s">
        <v>32</v>
      </c>
      <c r="C4" s="5" t="s">
        <v>33</v>
      </c>
      <c r="D4" s="5" t="s">
        <v>34</v>
      </c>
      <c r="E4" s="5" t="s">
        <v>35</v>
      </c>
      <c r="F4" s="5" t="s">
        <v>19</v>
      </c>
      <c r="G4" s="5" t="s">
        <v>36</v>
      </c>
      <c r="H4" s="5">
        <v>50</v>
      </c>
      <c r="I4" s="6">
        <v>39016</v>
      </c>
      <c r="J4" s="7">
        <v>163099</v>
      </c>
      <c r="K4" s="8">
        <v>0.2</v>
      </c>
      <c r="L4" s="5" t="s">
        <v>21</v>
      </c>
      <c r="M4" s="5" t="s">
        <v>37</v>
      </c>
      <c r="N4" s="6">
        <v>44485</v>
      </c>
      <c r="P4" s="16" t="s">
        <v>1441</v>
      </c>
      <c r="Q4" s="16">
        <f>COUNTIF(D:D,"IT")</f>
        <v>130</v>
      </c>
    </row>
    <row r="5" spans="1:17" x14ac:dyDescent="0.35">
      <c r="A5" s="5" t="s">
        <v>38</v>
      </c>
      <c r="B5" s="5" t="s">
        <v>39</v>
      </c>
      <c r="C5" s="5" t="s">
        <v>40</v>
      </c>
      <c r="D5" s="5" t="s">
        <v>17</v>
      </c>
      <c r="E5" s="5" t="s">
        <v>26</v>
      </c>
      <c r="F5" s="5" t="s">
        <v>19</v>
      </c>
      <c r="G5" s="5" t="s">
        <v>36</v>
      </c>
      <c r="H5" s="5">
        <v>26</v>
      </c>
      <c r="I5" s="6">
        <v>43735</v>
      </c>
      <c r="J5" s="7">
        <v>84913</v>
      </c>
      <c r="K5" s="8">
        <v>7.0000000000000007E-2</v>
      </c>
      <c r="L5" s="5" t="s">
        <v>21</v>
      </c>
      <c r="M5" s="5" t="s">
        <v>37</v>
      </c>
      <c r="N5" s="6">
        <v>44485</v>
      </c>
      <c r="P5" s="16" t="s">
        <v>1442</v>
      </c>
      <c r="Q5" s="16">
        <f>COUNTIFS(C:C,"Sr. Manger", L:L, "United States")</f>
        <v>36</v>
      </c>
    </row>
    <row r="6" spans="1:17" x14ac:dyDescent="0.35">
      <c r="A6" s="5" t="s">
        <v>41</v>
      </c>
      <c r="B6" s="5" t="s">
        <v>42</v>
      </c>
      <c r="C6" s="5" t="s">
        <v>43</v>
      </c>
      <c r="D6" s="5" t="s">
        <v>34</v>
      </c>
      <c r="E6" s="5" t="s">
        <v>26</v>
      </c>
      <c r="F6" s="5" t="s">
        <v>27</v>
      </c>
      <c r="G6" s="5" t="s">
        <v>28</v>
      </c>
      <c r="H6" s="5">
        <v>55</v>
      </c>
      <c r="I6" s="6">
        <v>35023</v>
      </c>
      <c r="J6" s="7">
        <v>95409</v>
      </c>
      <c r="K6" s="8">
        <v>0</v>
      </c>
      <c r="L6" s="5" t="s">
        <v>21</v>
      </c>
      <c r="M6" s="5" t="s">
        <v>44</v>
      </c>
      <c r="N6" s="6">
        <v>44485</v>
      </c>
      <c r="P6" s="5"/>
      <c r="Q6" s="5"/>
    </row>
    <row r="7" spans="1:17" x14ac:dyDescent="0.35">
      <c r="A7" s="5" t="s">
        <v>45</v>
      </c>
      <c r="B7" s="5" t="s">
        <v>46</v>
      </c>
      <c r="C7" s="5" t="s">
        <v>47</v>
      </c>
      <c r="D7" s="5" t="s">
        <v>48</v>
      </c>
      <c r="E7" s="5" t="s">
        <v>49</v>
      </c>
      <c r="F7" s="5" t="s">
        <v>27</v>
      </c>
      <c r="G7" s="5" t="s">
        <v>28</v>
      </c>
      <c r="H7" s="5">
        <v>57</v>
      </c>
      <c r="I7" s="6">
        <v>42759</v>
      </c>
      <c r="J7" s="7">
        <v>50994</v>
      </c>
      <c r="K7" s="8">
        <v>0</v>
      </c>
      <c r="L7" s="5" t="s">
        <v>29</v>
      </c>
      <c r="M7" s="5" t="s">
        <v>30</v>
      </c>
      <c r="N7" s="6">
        <v>44485</v>
      </c>
      <c r="P7" s="19" t="s">
        <v>1452</v>
      </c>
      <c r="Q7" s="5"/>
    </row>
    <row r="8" spans="1:17" x14ac:dyDescent="0.35">
      <c r="A8" s="5" t="s">
        <v>50</v>
      </c>
      <c r="B8" s="5" t="s">
        <v>51</v>
      </c>
      <c r="C8" s="5" t="s">
        <v>52</v>
      </c>
      <c r="D8" s="5" t="s">
        <v>17</v>
      </c>
      <c r="E8" s="5" t="s">
        <v>49</v>
      </c>
      <c r="F8" s="5" t="s">
        <v>19</v>
      </c>
      <c r="G8" s="5" t="s">
        <v>36</v>
      </c>
      <c r="H8" s="5">
        <v>27</v>
      </c>
      <c r="I8" s="6">
        <v>44013</v>
      </c>
      <c r="J8" s="7">
        <v>119746</v>
      </c>
      <c r="K8" s="8">
        <v>0.1</v>
      </c>
      <c r="L8" s="5" t="s">
        <v>21</v>
      </c>
      <c r="M8" s="5" t="s">
        <v>44</v>
      </c>
      <c r="N8" s="6">
        <v>44485</v>
      </c>
      <c r="P8" s="17">
        <f>SUM(J2:J525)</f>
        <v>59792078</v>
      </c>
      <c r="Q8" s="16" t="s">
        <v>1453</v>
      </c>
    </row>
    <row r="9" spans="1:17" x14ac:dyDescent="0.35">
      <c r="A9" s="5" t="s">
        <v>53</v>
      </c>
      <c r="B9" s="5" t="s">
        <v>54</v>
      </c>
      <c r="C9" s="5" t="s">
        <v>55</v>
      </c>
      <c r="D9" s="5" t="s">
        <v>34</v>
      </c>
      <c r="E9" s="5" t="s">
        <v>26</v>
      </c>
      <c r="F9" s="5" t="s">
        <v>27</v>
      </c>
      <c r="G9" s="5" t="s">
        <v>20</v>
      </c>
      <c r="H9" s="5">
        <v>25</v>
      </c>
      <c r="I9" s="6">
        <v>43967</v>
      </c>
      <c r="J9" s="7">
        <v>41336</v>
      </c>
      <c r="K9" s="8">
        <v>0</v>
      </c>
      <c r="L9" s="5" t="s">
        <v>21</v>
      </c>
      <c r="M9" s="5" t="s">
        <v>56</v>
      </c>
      <c r="N9" s="6">
        <v>44336</v>
      </c>
    </row>
    <row r="10" spans="1:17" x14ac:dyDescent="0.35">
      <c r="A10" s="5" t="s">
        <v>57</v>
      </c>
      <c r="B10" s="5" t="s">
        <v>58</v>
      </c>
      <c r="C10" s="5" t="s">
        <v>52</v>
      </c>
      <c r="D10" s="5" t="s">
        <v>59</v>
      </c>
      <c r="E10" s="5" t="s">
        <v>26</v>
      </c>
      <c r="F10" s="5" t="s">
        <v>27</v>
      </c>
      <c r="G10" s="5" t="s">
        <v>36</v>
      </c>
      <c r="H10" s="5">
        <v>29</v>
      </c>
      <c r="I10" s="6">
        <v>43490</v>
      </c>
      <c r="J10" s="7">
        <v>113527</v>
      </c>
      <c r="K10" s="8">
        <v>0.06</v>
      </c>
      <c r="L10" s="5" t="s">
        <v>21</v>
      </c>
      <c r="M10" s="5" t="s">
        <v>60</v>
      </c>
      <c r="N10" s="6">
        <v>44336</v>
      </c>
      <c r="P10" s="19" t="s">
        <v>1454</v>
      </c>
      <c r="Q10" s="5"/>
    </row>
    <row r="11" spans="1:17" x14ac:dyDescent="0.35">
      <c r="A11" s="5" t="s">
        <v>61</v>
      </c>
      <c r="B11" s="5" t="s">
        <v>62</v>
      </c>
      <c r="C11" s="5" t="s">
        <v>43</v>
      </c>
      <c r="D11" s="5" t="s">
        <v>34</v>
      </c>
      <c r="E11" s="5" t="s">
        <v>35</v>
      </c>
      <c r="F11" s="5" t="s">
        <v>19</v>
      </c>
      <c r="G11" s="5" t="s">
        <v>36</v>
      </c>
      <c r="H11" s="5">
        <v>34</v>
      </c>
      <c r="I11" s="6">
        <v>43264</v>
      </c>
      <c r="J11" s="7">
        <v>77203</v>
      </c>
      <c r="K11" s="8">
        <v>0</v>
      </c>
      <c r="L11" s="5" t="s">
        <v>21</v>
      </c>
      <c r="M11" s="5" t="s">
        <v>37</v>
      </c>
      <c r="N11" s="6">
        <v>44336</v>
      </c>
      <c r="P11" s="18">
        <f>AVERAGE(K2:K525)</f>
        <v>9.1507633587786269E-2</v>
      </c>
      <c r="Q11" s="16" t="s">
        <v>1455</v>
      </c>
    </row>
    <row r="12" spans="1:17" x14ac:dyDescent="0.35">
      <c r="A12" s="5" t="s">
        <v>63</v>
      </c>
      <c r="B12" s="5" t="s">
        <v>64</v>
      </c>
      <c r="C12" s="5" t="s">
        <v>16</v>
      </c>
      <c r="D12" s="5" t="s">
        <v>65</v>
      </c>
      <c r="E12" s="5" t="s">
        <v>26</v>
      </c>
      <c r="F12" s="5" t="s">
        <v>19</v>
      </c>
      <c r="G12" s="5" t="s">
        <v>28</v>
      </c>
      <c r="H12" s="5">
        <v>36</v>
      </c>
      <c r="I12" s="6">
        <v>39855</v>
      </c>
      <c r="J12" s="7">
        <v>157333</v>
      </c>
      <c r="K12" s="8">
        <v>0.15</v>
      </c>
      <c r="L12" s="5" t="s">
        <v>21</v>
      </c>
      <c r="M12" s="5" t="s">
        <v>56</v>
      </c>
      <c r="N12" s="6">
        <v>44336</v>
      </c>
    </row>
    <row r="13" spans="1:17" x14ac:dyDescent="0.35">
      <c r="A13" s="5" t="s">
        <v>66</v>
      </c>
      <c r="B13" s="5" t="s">
        <v>67</v>
      </c>
      <c r="C13" s="5" t="s">
        <v>68</v>
      </c>
      <c r="D13" s="5" t="s">
        <v>69</v>
      </c>
      <c r="E13" s="5" t="s">
        <v>35</v>
      </c>
      <c r="F13" s="5" t="s">
        <v>19</v>
      </c>
      <c r="G13" s="5" t="s">
        <v>36</v>
      </c>
      <c r="H13" s="5">
        <v>27</v>
      </c>
      <c r="I13" s="6">
        <v>44490</v>
      </c>
      <c r="J13" s="7">
        <v>109851</v>
      </c>
      <c r="K13" s="8">
        <v>0</v>
      </c>
      <c r="L13" s="5" t="s">
        <v>21</v>
      </c>
      <c r="M13" s="5" t="s">
        <v>22</v>
      </c>
      <c r="N13" s="6">
        <v>44336</v>
      </c>
      <c r="P13" s="19" t="s">
        <v>1456</v>
      </c>
      <c r="Q13" s="5"/>
    </row>
    <row r="14" spans="1:17" x14ac:dyDescent="0.35">
      <c r="A14" s="5" t="s">
        <v>70</v>
      </c>
      <c r="B14" s="5" t="s">
        <v>71</v>
      </c>
      <c r="C14" s="5" t="s">
        <v>52</v>
      </c>
      <c r="D14" s="5" t="s">
        <v>65</v>
      </c>
      <c r="E14" s="5" t="s">
        <v>26</v>
      </c>
      <c r="F14" s="5" t="s">
        <v>27</v>
      </c>
      <c r="G14" s="5" t="s">
        <v>36</v>
      </c>
      <c r="H14" s="5">
        <v>59</v>
      </c>
      <c r="I14" s="6">
        <v>36233</v>
      </c>
      <c r="J14" s="7">
        <v>105086</v>
      </c>
      <c r="K14" s="8">
        <v>0.09</v>
      </c>
      <c r="L14" s="5" t="s">
        <v>21</v>
      </c>
      <c r="M14" s="5" t="s">
        <v>60</v>
      </c>
      <c r="N14" s="6">
        <v>44336</v>
      </c>
      <c r="P14" s="16">
        <f>COUNT(H2:H525)</f>
        <v>524</v>
      </c>
      <c r="Q14" s="16" t="s">
        <v>1457</v>
      </c>
    </row>
    <row r="15" spans="1:17" x14ac:dyDescent="0.35">
      <c r="A15" s="5" t="s">
        <v>72</v>
      </c>
      <c r="B15" s="5" t="s">
        <v>73</v>
      </c>
      <c r="C15" s="5" t="s">
        <v>16</v>
      </c>
      <c r="D15" s="5" t="s">
        <v>34</v>
      </c>
      <c r="E15" s="5" t="s">
        <v>18</v>
      </c>
      <c r="F15" s="5" t="s">
        <v>19</v>
      </c>
      <c r="G15" s="5" t="s">
        <v>28</v>
      </c>
      <c r="H15" s="5">
        <v>51</v>
      </c>
      <c r="I15" s="6">
        <v>44357</v>
      </c>
      <c r="J15" s="7">
        <v>146742</v>
      </c>
      <c r="K15" s="8">
        <v>0.1</v>
      </c>
      <c r="L15" s="5" t="s">
        <v>29</v>
      </c>
      <c r="M15" s="5" t="s">
        <v>74</v>
      </c>
      <c r="N15" s="6">
        <v>44336</v>
      </c>
    </row>
    <row r="16" spans="1:17" x14ac:dyDescent="0.35">
      <c r="A16" s="5" t="s">
        <v>75</v>
      </c>
      <c r="B16" s="5" t="s">
        <v>76</v>
      </c>
      <c r="C16" s="5" t="s">
        <v>43</v>
      </c>
      <c r="D16" s="5" t="s">
        <v>59</v>
      </c>
      <c r="E16" s="5" t="s">
        <v>35</v>
      </c>
      <c r="F16" s="5" t="s">
        <v>27</v>
      </c>
      <c r="G16" s="5" t="s">
        <v>28</v>
      </c>
      <c r="H16" s="5">
        <v>31</v>
      </c>
      <c r="I16" s="6">
        <v>43043</v>
      </c>
      <c r="J16" s="7">
        <v>97078</v>
      </c>
      <c r="K16" s="8">
        <v>0</v>
      </c>
      <c r="L16" s="5" t="s">
        <v>21</v>
      </c>
      <c r="M16" s="5" t="s">
        <v>60</v>
      </c>
      <c r="N16" s="6">
        <v>43899</v>
      </c>
    </row>
    <row r="17" spans="1:14" x14ac:dyDescent="0.35">
      <c r="A17" s="5" t="s">
        <v>77</v>
      </c>
      <c r="B17" s="5" t="s">
        <v>78</v>
      </c>
      <c r="C17" s="5" t="s">
        <v>79</v>
      </c>
      <c r="D17" s="5" t="s">
        <v>80</v>
      </c>
      <c r="E17" s="5" t="s">
        <v>18</v>
      </c>
      <c r="F17" s="5" t="s">
        <v>19</v>
      </c>
      <c r="G17" s="5" t="s">
        <v>28</v>
      </c>
      <c r="H17" s="5">
        <v>41</v>
      </c>
      <c r="I17" s="6">
        <v>41346</v>
      </c>
      <c r="J17" s="7">
        <v>249270</v>
      </c>
      <c r="K17" s="8">
        <v>0.3</v>
      </c>
      <c r="L17" s="5" t="s">
        <v>21</v>
      </c>
      <c r="M17" s="5" t="s">
        <v>22</v>
      </c>
      <c r="N17" s="6">
        <v>43899</v>
      </c>
    </row>
    <row r="18" spans="1:14" x14ac:dyDescent="0.35">
      <c r="A18" s="5" t="s">
        <v>81</v>
      </c>
      <c r="B18" s="5" t="s">
        <v>82</v>
      </c>
      <c r="C18" s="5" t="s">
        <v>33</v>
      </c>
      <c r="D18" s="5" t="s">
        <v>34</v>
      </c>
      <c r="E18" s="5" t="s">
        <v>18</v>
      </c>
      <c r="F18" s="5" t="s">
        <v>19</v>
      </c>
      <c r="G18" s="5" t="s">
        <v>20</v>
      </c>
      <c r="H18" s="5">
        <v>65</v>
      </c>
      <c r="I18" s="6">
        <v>37319</v>
      </c>
      <c r="J18" s="7">
        <v>175837</v>
      </c>
      <c r="K18" s="8">
        <v>0.2</v>
      </c>
      <c r="L18" s="5" t="s">
        <v>21</v>
      </c>
      <c r="M18" s="5" t="s">
        <v>44</v>
      </c>
      <c r="N18" s="6">
        <v>43899</v>
      </c>
    </row>
    <row r="19" spans="1:14" x14ac:dyDescent="0.35">
      <c r="A19" s="5" t="s">
        <v>83</v>
      </c>
      <c r="B19" s="5" t="s">
        <v>84</v>
      </c>
      <c r="C19" s="5" t="s">
        <v>16</v>
      </c>
      <c r="D19" s="5" t="s">
        <v>80</v>
      </c>
      <c r="E19" s="5" t="s">
        <v>35</v>
      </c>
      <c r="F19" s="5" t="s">
        <v>19</v>
      </c>
      <c r="G19" s="5" t="s">
        <v>85</v>
      </c>
      <c r="H19" s="5">
        <v>64</v>
      </c>
      <c r="I19" s="6">
        <v>37956</v>
      </c>
      <c r="J19" s="7">
        <v>154828</v>
      </c>
      <c r="K19" s="8">
        <v>0.13</v>
      </c>
      <c r="L19" s="5" t="s">
        <v>21</v>
      </c>
      <c r="M19" s="5" t="s">
        <v>22</v>
      </c>
      <c r="N19" s="6">
        <v>43899</v>
      </c>
    </row>
    <row r="20" spans="1:14" x14ac:dyDescent="0.35">
      <c r="A20" s="5" t="s">
        <v>86</v>
      </c>
      <c r="B20" s="5" t="s">
        <v>87</v>
      </c>
      <c r="C20" s="5" t="s">
        <v>33</v>
      </c>
      <c r="D20" s="5" t="s">
        <v>17</v>
      </c>
      <c r="E20" s="5" t="s">
        <v>49</v>
      </c>
      <c r="F20" s="5" t="s">
        <v>27</v>
      </c>
      <c r="G20" s="5" t="s">
        <v>36</v>
      </c>
      <c r="H20" s="5">
        <v>64</v>
      </c>
      <c r="I20" s="6">
        <v>41581</v>
      </c>
      <c r="J20" s="7">
        <v>186503</v>
      </c>
      <c r="K20" s="8">
        <v>0.24</v>
      </c>
      <c r="L20" s="5" t="s">
        <v>21</v>
      </c>
      <c r="M20" s="5" t="s">
        <v>88</v>
      </c>
      <c r="N20" s="6">
        <v>43899</v>
      </c>
    </row>
    <row r="21" spans="1:14" x14ac:dyDescent="0.35">
      <c r="A21" s="5" t="s">
        <v>89</v>
      </c>
      <c r="B21" s="5" t="s">
        <v>90</v>
      </c>
      <c r="C21" s="5" t="s">
        <v>33</v>
      </c>
      <c r="D21" s="5" t="s">
        <v>48</v>
      </c>
      <c r="E21" s="5" t="s">
        <v>18</v>
      </c>
      <c r="F21" s="5" t="s">
        <v>27</v>
      </c>
      <c r="G21" s="5" t="s">
        <v>28</v>
      </c>
      <c r="H21" s="5">
        <v>45</v>
      </c>
      <c r="I21" s="6">
        <v>37446</v>
      </c>
      <c r="J21" s="7">
        <v>166331</v>
      </c>
      <c r="K21" s="8">
        <v>0.18</v>
      </c>
      <c r="L21" s="5" t="s">
        <v>29</v>
      </c>
      <c r="M21" s="5" t="s">
        <v>30</v>
      </c>
      <c r="N21" s="6">
        <v>43899</v>
      </c>
    </row>
    <row r="22" spans="1:14" x14ac:dyDescent="0.35">
      <c r="A22" s="5" t="s">
        <v>91</v>
      </c>
      <c r="B22" s="5" t="s">
        <v>92</v>
      </c>
      <c r="C22" s="5" t="s">
        <v>16</v>
      </c>
      <c r="D22" s="5" t="s">
        <v>17</v>
      </c>
      <c r="E22" s="5" t="s">
        <v>26</v>
      </c>
      <c r="F22" s="5" t="s">
        <v>27</v>
      </c>
      <c r="G22" s="5" t="s">
        <v>85</v>
      </c>
      <c r="H22" s="5">
        <v>56</v>
      </c>
      <c r="I22" s="6">
        <v>40917</v>
      </c>
      <c r="J22" s="7">
        <v>146140</v>
      </c>
      <c r="K22" s="8">
        <v>0.1</v>
      </c>
      <c r="L22" s="5" t="s">
        <v>93</v>
      </c>
      <c r="M22" s="5" t="s">
        <v>94</v>
      </c>
      <c r="N22" s="6">
        <v>43899</v>
      </c>
    </row>
    <row r="23" spans="1:14" x14ac:dyDescent="0.35">
      <c r="A23" s="5" t="s">
        <v>95</v>
      </c>
      <c r="B23" s="5" t="s">
        <v>96</v>
      </c>
      <c r="C23" s="5" t="s">
        <v>33</v>
      </c>
      <c r="D23" s="5" t="s">
        <v>48</v>
      </c>
      <c r="E23" s="5" t="s">
        <v>26</v>
      </c>
      <c r="F23" s="5" t="s">
        <v>19</v>
      </c>
      <c r="G23" s="5" t="s">
        <v>85</v>
      </c>
      <c r="H23" s="5">
        <v>36</v>
      </c>
      <c r="I23" s="6">
        <v>44288</v>
      </c>
      <c r="J23" s="7">
        <v>151703</v>
      </c>
      <c r="K23" s="8">
        <v>0.21</v>
      </c>
      <c r="L23" s="5" t="s">
        <v>21</v>
      </c>
      <c r="M23" s="5" t="s">
        <v>56</v>
      </c>
      <c r="N23" s="6">
        <v>43899</v>
      </c>
    </row>
    <row r="24" spans="1:14" x14ac:dyDescent="0.35">
      <c r="A24" s="5" t="s">
        <v>97</v>
      </c>
      <c r="B24" s="5" t="s">
        <v>98</v>
      </c>
      <c r="C24" s="5" t="s">
        <v>33</v>
      </c>
      <c r="D24" s="5" t="s">
        <v>17</v>
      </c>
      <c r="E24" s="5" t="s">
        <v>18</v>
      </c>
      <c r="F24" s="5" t="s">
        <v>27</v>
      </c>
      <c r="G24" s="5" t="s">
        <v>85</v>
      </c>
      <c r="H24" s="5">
        <v>59</v>
      </c>
      <c r="I24" s="6">
        <v>37400</v>
      </c>
      <c r="J24" s="7">
        <v>172787</v>
      </c>
      <c r="K24" s="8">
        <v>0.28000000000000003</v>
      </c>
      <c r="L24" s="5" t="s">
        <v>93</v>
      </c>
      <c r="M24" s="5" t="s">
        <v>99</v>
      </c>
      <c r="N24" s="6">
        <v>43899</v>
      </c>
    </row>
    <row r="25" spans="1:14" x14ac:dyDescent="0.35">
      <c r="A25" s="5" t="s">
        <v>100</v>
      </c>
      <c r="B25" s="5" t="s">
        <v>101</v>
      </c>
      <c r="C25" s="5" t="s">
        <v>55</v>
      </c>
      <c r="D25" s="5" t="s">
        <v>48</v>
      </c>
      <c r="E25" s="5" t="s">
        <v>35</v>
      </c>
      <c r="F25" s="5" t="s">
        <v>27</v>
      </c>
      <c r="G25" s="5" t="s">
        <v>36</v>
      </c>
      <c r="H25" s="5">
        <v>37</v>
      </c>
      <c r="I25" s="6">
        <v>43713</v>
      </c>
      <c r="J25" s="7">
        <v>49998</v>
      </c>
      <c r="K25" s="8">
        <v>0</v>
      </c>
      <c r="L25" s="5" t="s">
        <v>21</v>
      </c>
      <c r="M25" s="5" t="s">
        <v>22</v>
      </c>
      <c r="N25" s="6">
        <v>43899</v>
      </c>
    </row>
    <row r="26" spans="1:14" x14ac:dyDescent="0.35">
      <c r="A26" s="5" t="s">
        <v>102</v>
      </c>
      <c r="B26" s="5" t="s">
        <v>103</v>
      </c>
      <c r="C26" s="5" t="s">
        <v>79</v>
      </c>
      <c r="D26" s="5" t="s">
        <v>48</v>
      </c>
      <c r="E26" s="5" t="s">
        <v>35</v>
      </c>
      <c r="F26" s="5" t="s">
        <v>27</v>
      </c>
      <c r="G26" s="5" t="s">
        <v>28</v>
      </c>
      <c r="H26" s="5">
        <v>44</v>
      </c>
      <c r="I26" s="6">
        <v>41700</v>
      </c>
      <c r="J26" s="7">
        <v>207172</v>
      </c>
      <c r="K26" s="8">
        <v>0.31</v>
      </c>
      <c r="L26" s="5" t="s">
        <v>29</v>
      </c>
      <c r="M26" s="5" t="s">
        <v>30</v>
      </c>
      <c r="N26" s="6">
        <v>43899</v>
      </c>
    </row>
    <row r="27" spans="1:14" x14ac:dyDescent="0.35">
      <c r="A27" s="5" t="s">
        <v>104</v>
      </c>
      <c r="B27" s="5" t="s">
        <v>105</v>
      </c>
      <c r="C27" s="5" t="s">
        <v>33</v>
      </c>
      <c r="D27" s="5" t="s">
        <v>65</v>
      </c>
      <c r="E27" s="5" t="s">
        <v>35</v>
      </c>
      <c r="F27" s="5" t="s">
        <v>27</v>
      </c>
      <c r="G27" s="5" t="s">
        <v>20</v>
      </c>
      <c r="H27" s="5">
        <v>41</v>
      </c>
      <c r="I27" s="6">
        <v>42111</v>
      </c>
      <c r="J27" s="7">
        <v>152239</v>
      </c>
      <c r="K27" s="8">
        <v>0.23</v>
      </c>
      <c r="L27" s="5" t="s">
        <v>21</v>
      </c>
      <c r="M27" s="5" t="s">
        <v>88</v>
      </c>
      <c r="N27" s="6">
        <v>43899</v>
      </c>
    </row>
    <row r="28" spans="1:14" x14ac:dyDescent="0.35">
      <c r="A28" s="5" t="s">
        <v>106</v>
      </c>
      <c r="B28" s="5" t="s">
        <v>107</v>
      </c>
      <c r="C28" s="5" t="s">
        <v>108</v>
      </c>
      <c r="D28" s="5" t="s">
        <v>69</v>
      </c>
      <c r="E28" s="5" t="s">
        <v>49</v>
      </c>
      <c r="F28" s="5" t="s">
        <v>19</v>
      </c>
      <c r="G28" s="5" t="s">
        <v>85</v>
      </c>
      <c r="H28" s="5">
        <v>56</v>
      </c>
      <c r="I28" s="6">
        <v>38388</v>
      </c>
      <c r="J28" s="7">
        <v>98581</v>
      </c>
      <c r="K28" s="8">
        <v>0</v>
      </c>
      <c r="L28" s="5" t="s">
        <v>93</v>
      </c>
      <c r="M28" s="5" t="s">
        <v>99</v>
      </c>
      <c r="N28" s="6">
        <v>43899</v>
      </c>
    </row>
    <row r="29" spans="1:14" x14ac:dyDescent="0.35">
      <c r="A29" s="5" t="s">
        <v>109</v>
      </c>
      <c r="B29" s="5" t="s">
        <v>110</v>
      </c>
      <c r="C29" s="5" t="s">
        <v>79</v>
      </c>
      <c r="D29" s="5" t="s">
        <v>69</v>
      </c>
      <c r="E29" s="5" t="s">
        <v>35</v>
      </c>
      <c r="F29" s="5" t="s">
        <v>27</v>
      </c>
      <c r="G29" s="5" t="s">
        <v>28</v>
      </c>
      <c r="H29" s="5">
        <v>43</v>
      </c>
      <c r="I29" s="6">
        <v>38145</v>
      </c>
      <c r="J29" s="7">
        <v>246231</v>
      </c>
      <c r="K29" s="8">
        <v>0.31</v>
      </c>
      <c r="L29" s="5" t="s">
        <v>21</v>
      </c>
      <c r="M29" s="5" t="s">
        <v>22</v>
      </c>
      <c r="N29" s="6">
        <v>43899</v>
      </c>
    </row>
    <row r="30" spans="1:14" x14ac:dyDescent="0.35">
      <c r="A30" s="5" t="s">
        <v>111</v>
      </c>
      <c r="B30" s="5" t="s">
        <v>112</v>
      </c>
      <c r="C30" s="5" t="s">
        <v>113</v>
      </c>
      <c r="D30" s="5" t="s">
        <v>69</v>
      </c>
      <c r="E30" s="5" t="s">
        <v>35</v>
      </c>
      <c r="F30" s="5" t="s">
        <v>27</v>
      </c>
      <c r="G30" s="5" t="s">
        <v>28</v>
      </c>
      <c r="H30" s="5">
        <v>64</v>
      </c>
      <c r="I30" s="6">
        <v>35403</v>
      </c>
      <c r="J30" s="7">
        <v>99354</v>
      </c>
      <c r="K30" s="8">
        <v>0.12</v>
      </c>
      <c r="L30" s="5" t="s">
        <v>29</v>
      </c>
      <c r="M30" s="5" t="s">
        <v>114</v>
      </c>
      <c r="N30" s="6">
        <v>43899</v>
      </c>
    </row>
    <row r="31" spans="1:14" x14ac:dyDescent="0.35">
      <c r="A31" s="5" t="s">
        <v>115</v>
      </c>
      <c r="B31" s="5" t="s">
        <v>116</v>
      </c>
      <c r="C31" s="5" t="s">
        <v>79</v>
      </c>
      <c r="D31" s="5" t="s">
        <v>17</v>
      </c>
      <c r="E31" s="5" t="s">
        <v>49</v>
      </c>
      <c r="F31" s="5" t="s">
        <v>27</v>
      </c>
      <c r="G31" s="5" t="s">
        <v>28</v>
      </c>
      <c r="H31" s="5">
        <v>63</v>
      </c>
      <c r="I31" s="6">
        <v>41040</v>
      </c>
      <c r="J31" s="7">
        <v>231141</v>
      </c>
      <c r="K31" s="8">
        <v>0.34</v>
      </c>
      <c r="L31" s="5" t="s">
        <v>29</v>
      </c>
      <c r="M31" s="5" t="s">
        <v>114</v>
      </c>
      <c r="N31" s="6">
        <v>43899</v>
      </c>
    </row>
    <row r="32" spans="1:14" x14ac:dyDescent="0.35">
      <c r="A32" s="5" t="s">
        <v>117</v>
      </c>
      <c r="B32" s="5" t="s">
        <v>118</v>
      </c>
      <c r="C32" s="5" t="s">
        <v>119</v>
      </c>
      <c r="D32" s="5" t="s">
        <v>17</v>
      </c>
      <c r="E32" s="5" t="s">
        <v>18</v>
      </c>
      <c r="F32" s="5" t="s">
        <v>27</v>
      </c>
      <c r="G32" s="5" t="s">
        <v>28</v>
      </c>
      <c r="H32" s="5">
        <v>28</v>
      </c>
      <c r="I32" s="6">
        <v>42911</v>
      </c>
      <c r="J32" s="7">
        <v>54775</v>
      </c>
      <c r="K32" s="8">
        <v>0</v>
      </c>
      <c r="L32" s="5" t="s">
        <v>21</v>
      </c>
      <c r="M32" s="5" t="s">
        <v>88</v>
      </c>
      <c r="N32" s="6">
        <v>43899</v>
      </c>
    </row>
    <row r="33" spans="1:14" x14ac:dyDescent="0.35">
      <c r="A33" s="5" t="s">
        <v>120</v>
      </c>
      <c r="B33" s="5" t="s">
        <v>121</v>
      </c>
      <c r="C33" s="5" t="s">
        <v>55</v>
      </c>
      <c r="D33" s="5" t="s">
        <v>34</v>
      </c>
      <c r="E33" s="5" t="s">
        <v>26</v>
      </c>
      <c r="F33" s="5" t="s">
        <v>27</v>
      </c>
      <c r="G33" s="5" t="s">
        <v>85</v>
      </c>
      <c r="H33" s="5">
        <v>65</v>
      </c>
      <c r="I33" s="6">
        <v>38123</v>
      </c>
      <c r="J33" s="7">
        <v>55499</v>
      </c>
      <c r="K33" s="8">
        <v>0</v>
      </c>
      <c r="L33" s="5" t="s">
        <v>93</v>
      </c>
      <c r="M33" s="5" t="s">
        <v>94</v>
      </c>
      <c r="N33" s="6">
        <v>43899</v>
      </c>
    </row>
    <row r="34" spans="1:14" x14ac:dyDescent="0.35">
      <c r="A34" s="5" t="s">
        <v>122</v>
      </c>
      <c r="B34" s="5" t="s">
        <v>123</v>
      </c>
      <c r="C34" s="5" t="s">
        <v>124</v>
      </c>
      <c r="D34" s="5" t="s">
        <v>48</v>
      </c>
      <c r="E34" s="5" t="s">
        <v>18</v>
      </c>
      <c r="F34" s="5" t="s">
        <v>27</v>
      </c>
      <c r="G34" s="5" t="s">
        <v>36</v>
      </c>
      <c r="H34" s="5">
        <v>61</v>
      </c>
      <c r="I34" s="6">
        <v>39640</v>
      </c>
      <c r="J34" s="7">
        <v>66521</v>
      </c>
      <c r="K34" s="8">
        <v>0</v>
      </c>
      <c r="L34" s="5" t="s">
        <v>21</v>
      </c>
      <c r="M34" s="5" t="s">
        <v>22</v>
      </c>
      <c r="N34" s="6">
        <v>43899</v>
      </c>
    </row>
    <row r="35" spans="1:14" x14ac:dyDescent="0.35">
      <c r="A35" s="5" t="s">
        <v>125</v>
      </c>
      <c r="B35" s="5" t="s">
        <v>126</v>
      </c>
      <c r="C35" s="5" t="s">
        <v>47</v>
      </c>
      <c r="D35" s="5" t="s">
        <v>48</v>
      </c>
      <c r="E35" s="5" t="s">
        <v>35</v>
      </c>
      <c r="F35" s="5" t="s">
        <v>27</v>
      </c>
      <c r="G35" s="5" t="s">
        <v>28</v>
      </c>
      <c r="H35" s="5">
        <v>30</v>
      </c>
      <c r="I35" s="6">
        <v>42642</v>
      </c>
      <c r="J35" s="7">
        <v>59100</v>
      </c>
      <c r="K35" s="8">
        <v>0</v>
      </c>
      <c r="L35" s="5" t="s">
        <v>29</v>
      </c>
      <c r="M35" s="5" t="s">
        <v>30</v>
      </c>
      <c r="N35" s="6">
        <v>43899</v>
      </c>
    </row>
    <row r="36" spans="1:14" x14ac:dyDescent="0.35">
      <c r="A36" s="5" t="s">
        <v>127</v>
      </c>
      <c r="B36" s="5" t="s">
        <v>128</v>
      </c>
      <c r="C36" s="5" t="s">
        <v>55</v>
      </c>
      <c r="D36" s="5" t="s">
        <v>34</v>
      </c>
      <c r="E36" s="5" t="s">
        <v>18</v>
      </c>
      <c r="F36" s="5" t="s">
        <v>19</v>
      </c>
      <c r="G36" s="5" t="s">
        <v>36</v>
      </c>
      <c r="H36" s="5">
        <v>27</v>
      </c>
      <c r="I36" s="6">
        <v>43226</v>
      </c>
      <c r="J36" s="7">
        <v>49011</v>
      </c>
      <c r="K36" s="8">
        <v>0</v>
      </c>
      <c r="L36" s="5" t="s">
        <v>21</v>
      </c>
      <c r="M36" s="5" t="s">
        <v>37</v>
      </c>
      <c r="N36" s="6">
        <v>43899</v>
      </c>
    </row>
    <row r="37" spans="1:14" x14ac:dyDescent="0.35">
      <c r="A37" s="5" t="s">
        <v>129</v>
      </c>
      <c r="B37" s="5" t="s">
        <v>130</v>
      </c>
      <c r="C37" s="5" t="s">
        <v>131</v>
      </c>
      <c r="D37" s="5" t="s">
        <v>17</v>
      </c>
      <c r="E37" s="5" t="s">
        <v>26</v>
      </c>
      <c r="F37" s="5" t="s">
        <v>19</v>
      </c>
      <c r="G37" s="5" t="s">
        <v>36</v>
      </c>
      <c r="H37" s="5">
        <v>32</v>
      </c>
      <c r="I37" s="6">
        <v>41681</v>
      </c>
      <c r="J37" s="7">
        <v>99575</v>
      </c>
      <c r="K37" s="8">
        <v>0</v>
      </c>
      <c r="L37" s="5" t="s">
        <v>21</v>
      </c>
      <c r="M37" s="5" t="s">
        <v>60</v>
      </c>
      <c r="N37" s="6">
        <v>43899</v>
      </c>
    </row>
    <row r="38" spans="1:14" x14ac:dyDescent="0.35">
      <c r="A38" s="5" t="s">
        <v>132</v>
      </c>
      <c r="B38" s="5" t="s">
        <v>133</v>
      </c>
      <c r="C38" s="5" t="s">
        <v>68</v>
      </c>
      <c r="D38" s="5" t="s">
        <v>69</v>
      </c>
      <c r="E38" s="5" t="s">
        <v>26</v>
      </c>
      <c r="F38" s="5" t="s">
        <v>19</v>
      </c>
      <c r="G38" s="5" t="s">
        <v>28</v>
      </c>
      <c r="H38" s="5">
        <v>34</v>
      </c>
      <c r="I38" s="6">
        <v>43815</v>
      </c>
      <c r="J38" s="7">
        <v>99989</v>
      </c>
      <c r="K38" s="8">
        <v>0</v>
      </c>
      <c r="L38" s="5" t="s">
        <v>29</v>
      </c>
      <c r="M38" s="5" t="s">
        <v>134</v>
      </c>
      <c r="N38" s="6">
        <v>43899</v>
      </c>
    </row>
    <row r="39" spans="1:14" x14ac:dyDescent="0.35">
      <c r="A39" s="5" t="s">
        <v>135</v>
      </c>
      <c r="B39" s="5" t="s">
        <v>136</v>
      </c>
      <c r="C39" s="5" t="s">
        <v>79</v>
      </c>
      <c r="D39" s="5" t="s">
        <v>80</v>
      </c>
      <c r="E39" s="5" t="s">
        <v>18</v>
      </c>
      <c r="F39" s="5" t="s">
        <v>27</v>
      </c>
      <c r="G39" s="5" t="s">
        <v>36</v>
      </c>
      <c r="H39" s="5">
        <v>27</v>
      </c>
      <c r="I39" s="6">
        <v>43758</v>
      </c>
      <c r="J39" s="7">
        <v>256420</v>
      </c>
      <c r="K39" s="8">
        <v>0.3</v>
      </c>
      <c r="L39" s="5" t="s">
        <v>21</v>
      </c>
      <c r="M39" s="5" t="s">
        <v>44</v>
      </c>
      <c r="N39" s="6">
        <v>43899</v>
      </c>
    </row>
    <row r="40" spans="1:14" x14ac:dyDescent="0.35">
      <c r="A40" s="5" t="s">
        <v>137</v>
      </c>
      <c r="B40" s="5" t="s">
        <v>138</v>
      </c>
      <c r="C40" s="5" t="s">
        <v>25</v>
      </c>
      <c r="D40" s="5" t="s">
        <v>17</v>
      </c>
      <c r="E40" s="5" t="s">
        <v>26</v>
      </c>
      <c r="F40" s="5" t="s">
        <v>19</v>
      </c>
      <c r="G40" s="5" t="s">
        <v>85</v>
      </c>
      <c r="H40" s="5">
        <v>35</v>
      </c>
      <c r="I40" s="6">
        <v>41409</v>
      </c>
      <c r="J40" s="7">
        <v>78940</v>
      </c>
      <c r="K40" s="8">
        <v>0</v>
      </c>
      <c r="L40" s="5" t="s">
        <v>21</v>
      </c>
      <c r="M40" s="5" t="s">
        <v>56</v>
      </c>
      <c r="N40" s="6">
        <v>43899</v>
      </c>
    </row>
    <row r="41" spans="1:14" x14ac:dyDescent="0.35">
      <c r="A41" s="5" t="s">
        <v>139</v>
      </c>
      <c r="B41" s="5" t="s">
        <v>140</v>
      </c>
      <c r="C41" s="5" t="s">
        <v>131</v>
      </c>
      <c r="D41" s="5" t="s">
        <v>17</v>
      </c>
      <c r="E41" s="5" t="s">
        <v>49</v>
      </c>
      <c r="F41" s="5" t="s">
        <v>19</v>
      </c>
      <c r="G41" s="5" t="s">
        <v>85</v>
      </c>
      <c r="H41" s="5">
        <v>57</v>
      </c>
      <c r="I41" s="6">
        <v>34337</v>
      </c>
      <c r="J41" s="7">
        <v>82872</v>
      </c>
      <c r="K41" s="8">
        <v>0</v>
      </c>
      <c r="L41" s="5" t="s">
        <v>93</v>
      </c>
      <c r="M41" s="5" t="s">
        <v>94</v>
      </c>
      <c r="N41" s="6">
        <v>43899</v>
      </c>
    </row>
    <row r="42" spans="1:14" x14ac:dyDescent="0.35">
      <c r="A42" s="5" t="s">
        <v>141</v>
      </c>
      <c r="B42" s="5" t="s">
        <v>142</v>
      </c>
      <c r="C42" s="5" t="s">
        <v>143</v>
      </c>
      <c r="D42" s="5" t="s">
        <v>65</v>
      </c>
      <c r="E42" s="5" t="s">
        <v>35</v>
      </c>
      <c r="F42" s="5" t="s">
        <v>27</v>
      </c>
      <c r="G42" s="5" t="s">
        <v>28</v>
      </c>
      <c r="H42" s="5">
        <v>30</v>
      </c>
      <c r="I42" s="6">
        <v>42884</v>
      </c>
      <c r="J42" s="7">
        <v>86317</v>
      </c>
      <c r="K42" s="8">
        <v>0</v>
      </c>
      <c r="L42" s="5" t="s">
        <v>29</v>
      </c>
      <c r="M42" s="5" t="s">
        <v>134</v>
      </c>
      <c r="N42" s="6">
        <v>42932</v>
      </c>
    </row>
    <row r="43" spans="1:14" x14ac:dyDescent="0.35">
      <c r="A43" s="5" t="s">
        <v>144</v>
      </c>
      <c r="B43" s="5" t="s">
        <v>145</v>
      </c>
      <c r="C43" s="5" t="s">
        <v>52</v>
      </c>
      <c r="D43" s="5" t="s">
        <v>80</v>
      </c>
      <c r="E43" s="5" t="s">
        <v>35</v>
      </c>
      <c r="F43" s="5" t="s">
        <v>19</v>
      </c>
      <c r="G43" s="5" t="s">
        <v>36</v>
      </c>
      <c r="H43" s="5">
        <v>53</v>
      </c>
      <c r="I43" s="6">
        <v>41601</v>
      </c>
      <c r="J43" s="7">
        <v>113135</v>
      </c>
      <c r="K43" s="8">
        <v>0.05</v>
      </c>
      <c r="L43" s="5" t="s">
        <v>21</v>
      </c>
      <c r="M43" s="5" t="s">
        <v>60</v>
      </c>
      <c r="N43" s="6">
        <v>42932</v>
      </c>
    </row>
    <row r="44" spans="1:14" x14ac:dyDescent="0.35">
      <c r="A44" s="5" t="s">
        <v>146</v>
      </c>
      <c r="B44" s="5" t="s">
        <v>147</v>
      </c>
      <c r="C44" s="5" t="s">
        <v>79</v>
      </c>
      <c r="D44" s="5" t="s">
        <v>17</v>
      </c>
      <c r="E44" s="5" t="s">
        <v>35</v>
      </c>
      <c r="F44" s="5" t="s">
        <v>27</v>
      </c>
      <c r="G44" s="5" t="s">
        <v>36</v>
      </c>
      <c r="H44" s="5">
        <v>52</v>
      </c>
      <c r="I44" s="6">
        <v>38664</v>
      </c>
      <c r="J44" s="7">
        <v>199808</v>
      </c>
      <c r="K44" s="8">
        <v>0.32</v>
      </c>
      <c r="L44" s="5" t="s">
        <v>21</v>
      </c>
      <c r="M44" s="5" t="s">
        <v>22</v>
      </c>
      <c r="N44" s="6">
        <v>42932</v>
      </c>
    </row>
    <row r="45" spans="1:14" x14ac:dyDescent="0.35">
      <c r="A45" s="5" t="s">
        <v>148</v>
      </c>
      <c r="B45" s="5" t="s">
        <v>149</v>
      </c>
      <c r="C45" s="5" t="s">
        <v>47</v>
      </c>
      <c r="D45" s="5" t="s">
        <v>48</v>
      </c>
      <c r="E45" s="5" t="s">
        <v>35</v>
      </c>
      <c r="F45" s="5" t="s">
        <v>27</v>
      </c>
      <c r="G45" s="5" t="s">
        <v>28</v>
      </c>
      <c r="H45" s="5">
        <v>37</v>
      </c>
      <c r="I45" s="6">
        <v>41592</v>
      </c>
      <c r="J45" s="7">
        <v>56037</v>
      </c>
      <c r="K45" s="8">
        <v>0</v>
      </c>
      <c r="L45" s="5" t="s">
        <v>29</v>
      </c>
      <c r="M45" s="5" t="s">
        <v>74</v>
      </c>
      <c r="N45" s="6">
        <v>42932</v>
      </c>
    </row>
    <row r="46" spans="1:14" x14ac:dyDescent="0.35">
      <c r="A46" s="5" t="s">
        <v>150</v>
      </c>
      <c r="B46" s="5" t="s">
        <v>151</v>
      </c>
      <c r="C46" s="5" t="s">
        <v>16</v>
      </c>
      <c r="D46" s="5" t="s">
        <v>80</v>
      </c>
      <c r="E46" s="5" t="s">
        <v>18</v>
      </c>
      <c r="F46" s="5" t="s">
        <v>19</v>
      </c>
      <c r="G46" s="5" t="s">
        <v>36</v>
      </c>
      <c r="H46" s="5">
        <v>29</v>
      </c>
      <c r="I46" s="6">
        <v>43609</v>
      </c>
      <c r="J46" s="7">
        <v>122350</v>
      </c>
      <c r="K46" s="8">
        <v>0.12</v>
      </c>
      <c r="L46" s="5" t="s">
        <v>21</v>
      </c>
      <c r="M46" s="5" t="s">
        <v>44</v>
      </c>
      <c r="N46" s="6">
        <v>42932</v>
      </c>
    </row>
    <row r="47" spans="1:14" x14ac:dyDescent="0.35">
      <c r="A47" s="5" t="s">
        <v>152</v>
      </c>
      <c r="B47" s="5" t="s">
        <v>153</v>
      </c>
      <c r="C47" s="5" t="s">
        <v>131</v>
      </c>
      <c r="D47" s="5" t="s">
        <v>17</v>
      </c>
      <c r="E47" s="5" t="s">
        <v>18</v>
      </c>
      <c r="F47" s="5" t="s">
        <v>27</v>
      </c>
      <c r="G47" s="5" t="s">
        <v>36</v>
      </c>
      <c r="H47" s="5">
        <v>40</v>
      </c>
      <c r="I47" s="6">
        <v>40486</v>
      </c>
      <c r="J47" s="7">
        <v>92952</v>
      </c>
      <c r="K47" s="8">
        <v>0</v>
      </c>
      <c r="L47" s="5" t="s">
        <v>21</v>
      </c>
      <c r="M47" s="5" t="s">
        <v>22</v>
      </c>
      <c r="N47" s="6">
        <v>42932</v>
      </c>
    </row>
    <row r="48" spans="1:14" x14ac:dyDescent="0.35">
      <c r="A48" s="5" t="s">
        <v>154</v>
      </c>
      <c r="B48" s="5" t="s">
        <v>155</v>
      </c>
      <c r="C48" s="5" t="s">
        <v>40</v>
      </c>
      <c r="D48" s="5" t="s">
        <v>17</v>
      </c>
      <c r="E48" s="5" t="s">
        <v>49</v>
      </c>
      <c r="F48" s="5" t="s">
        <v>27</v>
      </c>
      <c r="G48" s="5" t="s">
        <v>85</v>
      </c>
      <c r="H48" s="5">
        <v>32</v>
      </c>
      <c r="I48" s="6">
        <v>41353</v>
      </c>
      <c r="J48" s="7">
        <v>79921</v>
      </c>
      <c r="K48" s="8">
        <v>0.05</v>
      </c>
      <c r="L48" s="5" t="s">
        <v>21</v>
      </c>
      <c r="M48" s="5" t="s">
        <v>60</v>
      </c>
      <c r="N48" s="6">
        <v>42932</v>
      </c>
    </row>
    <row r="49" spans="1:14" x14ac:dyDescent="0.35">
      <c r="A49" s="5" t="s">
        <v>156</v>
      </c>
      <c r="B49" s="5" t="s">
        <v>157</v>
      </c>
      <c r="C49" s="5" t="s">
        <v>33</v>
      </c>
      <c r="D49" s="5" t="s">
        <v>17</v>
      </c>
      <c r="E49" s="5" t="s">
        <v>18</v>
      </c>
      <c r="F49" s="5" t="s">
        <v>19</v>
      </c>
      <c r="G49" s="5" t="s">
        <v>20</v>
      </c>
      <c r="H49" s="5">
        <v>37</v>
      </c>
      <c r="I49" s="6">
        <v>40076</v>
      </c>
      <c r="J49" s="7">
        <v>167199</v>
      </c>
      <c r="K49" s="8">
        <v>0.2</v>
      </c>
      <c r="L49" s="5" t="s">
        <v>21</v>
      </c>
      <c r="M49" s="5" t="s">
        <v>22</v>
      </c>
      <c r="N49" s="6">
        <v>42932</v>
      </c>
    </row>
    <row r="50" spans="1:14" x14ac:dyDescent="0.35">
      <c r="A50" s="5" t="s">
        <v>158</v>
      </c>
      <c r="B50" s="5" t="s">
        <v>159</v>
      </c>
      <c r="C50" s="5" t="s">
        <v>108</v>
      </c>
      <c r="D50" s="5" t="s">
        <v>69</v>
      </c>
      <c r="E50" s="5" t="s">
        <v>18</v>
      </c>
      <c r="F50" s="5" t="s">
        <v>27</v>
      </c>
      <c r="G50" s="5" t="s">
        <v>36</v>
      </c>
      <c r="H50" s="5">
        <v>52</v>
      </c>
      <c r="I50" s="6">
        <v>41199</v>
      </c>
      <c r="J50" s="7">
        <v>71476</v>
      </c>
      <c r="K50" s="8">
        <v>0</v>
      </c>
      <c r="L50" s="5" t="s">
        <v>21</v>
      </c>
      <c r="M50" s="5" t="s">
        <v>44</v>
      </c>
      <c r="N50" s="6">
        <v>42932</v>
      </c>
    </row>
    <row r="51" spans="1:14" x14ac:dyDescent="0.35">
      <c r="A51" s="5" t="s">
        <v>160</v>
      </c>
      <c r="B51" s="5" t="s">
        <v>161</v>
      </c>
      <c r="C51" s="5" t="s">
        <v>33</v>
      </c>
      <c r="D51" s="5" t="s">
        <v>69</v>
      </c>
      <c r="E51" s="5" t="s">
        <v>26</v>
      </c>
      <c r="F51" s="5" t="s">
        <v>19</v>
      </c>
      <c r="G51" s="5" t="s">
        <v>36</v>
      </c>
      <c r="H51" s="5">
        <v>45</v>
      </c>
      <c r="I51" s="6">
        <v>41941</v>
      </c>
      <c r="J51" s="7">
        <v>189420</v>
      </c>
      <c r="K51" s="8">
        <v>0.2</v>
      </c>
      <c r="L51" s="5" t="s">
        <v>21</v>
      </c>
      <c r="M51" s="5" t="s">
        <v>22</v>
      </c>
      <c r="N51" s="6">
        <v>42932</v>
      </c>
    </row>
    <row r="52" spans="1:14" x14ac:dyDescent="0.35">
      <c r="A52" s="5" t="s">
        <v>162</v>
      </c>
      <c r="B52" s="5" t="s">
        <v>163</v>
      </c>
      <c r="C52" s="5" t="s">
        <v>164</v>
      </c>
      <c r="D52" s="5" t="s">
        <v>65</v>
      </c>
      <c r="E52" s="5" t="s">
        <v>18</v>
      </c>
      <c r="F52" s="5" t="s">
        <v>19</v>
      </c>
      <c r="G52" s="5" t="s">
        <v>36</v>
      </c>
      <c r="H52" s="5">
        <v>64</v>
      </c>
      <c r="I52" s="6">
        <v>37184</v>
      </c>
      <c r="J52" s="7">
        <v>64057</v>
      </c>
      <c r="K52" s="8">
        <v>0</v>
      </c>
      <c r="L52" s="5" t="s">
        <v>21</v>
      </c>
      <c r="M52" s="5" t="s">
        <v>44</v>
      </c>
      <c r="N52" s="6">
        <v>42932</v>
      </c>
    </row>
    <row r="53" spans="1:14" x14ac:dyDescent="0.35">
      <c r="A53" s="5" t="s">
        <v>165</v>
      </c>
      <c r="B53" s="5" t="s">
        <v>166</v>
      </c>
      <c r="C53" s="5" t="s">
        <v>124</v>
      </c>
      <c r="D53" s="5" t="s">
        <v>80</v>
      </c>
      <c r="E53" s="5" t="s">
        <v>26</v>
      </c>
      <c r="F53" s="5" t="s">
        <v>19</v>
      </c>
      <c r="G53" s="5" t="s">
        <v>20</v>
      </c>
      <c r="H53" s="5">
        <v>27</v>
      </c>
      <c r="I53" s="6">
        <v>44460</v>
      </c>
      <c r="J53" s="7">
        <v>68728</v>
      </c>
      <c r="K53" s="8">
        <v>0</v>
      </c>
      <c r="L53" s="5" t="s">
        <v>21</v>
      </c>
      <c r="M53" s="5" t="s">
        <v>44</v>
      </c>
      <c r="N53" s="6">
        <v>42932</v>
      </c>
    </row>
    <row r="54" spans="1:14" x14ac:dyDescent="0.35">
      <c r="A54" s="5" t="s">
        <v>167</v>
      </c>
      <c r="B54" s="5" t="s">
        <v>168</v>
      </c>
      <c r="C54" s="5" t="s">
        <v>16</v>
      </c>
      <c r="D54" s="5" t="s">
        <v>17</v>
      </c>
      <c r="E54" s="5" t="s">
        <v>26</v>
      </c>
      <c r="F54" s="5" t="s">
        <v>19</v>
      </c>
      <c r="G54" s="5" t="s">
        <v>28</v>
      </c>
      <c r="H54" s="5">
        <v>25</v>
      </c>
      <c r="I54" s="6">
        <v>44379</v>
      </c>
      <c r="J54" s="7">
        <v>125633</v>
      </c>
      <c r="K54" s="8">
        <v>0.11</v>
      </c>
      <c r="L54" s="5" t="s">
        <v>29</v>
      </c>
      <c r="M54" s="5" t="s">
        <v>114</v>
      </c>
      <c r="N54" s="6">
        <v>42932</v>
      </c>
    </row>
    <row r="55" spans="1:14" x14ac:dyDescent="0.35">
      <c r="A55" s="5" t="s">
        <v>169</v>
      </c>
      <c r="B55" s="5" t="s">
        <v>170</v>
      </c>
      <c r="C55" s="5" t="s">
        <v>124</v>
      </c>
      <c r="D55" s="5" t="s">
        <v>80</v>
      </c>
      <c r="E55" s="5" t="s">
        <v>26</v>
      </c>
      <c r="F55" s="5" t="s">
        <v>27</v>
      </c>
      <c r="G55" s="5" t="s">
        <v>85</v>
      </c>
      <c r="H55" s="5">
        <v>35</v>
      </c>
      <c r="I55" s="6">
        <v>40678</v>
      </c>
      <c r="J55" s="7">
        <v>66889</v>
      </c>
      <c r="K55" s="8">
        <v>0</v>
      </c>
      <c r="L55" s="5" t="s">
        <v>21</v>
      </c>
      <c r="M55" s="5" t="s">
        <v>88</v>
      </c>
      <c r="N55" s="6">
        <v>42932</v>
      </c>
    </row>
    <row r="56" spans="1:14" x14ac:dyDescent="0.35">
      <c r="A56" s="5" t="s">
        <v>171</v>
      </c>
      <c r="B56" s="5" t="s">
        <v>172</v>
      </c>
      <c r="C56" s="5" t="s">
        <v>33</v>
      </c>
      <c r="D56" s="5" t="s">
        <v>59</v>
      </c>
      <c r="E56" s="5" t="s">
        <v>18</v>
      </c>
      <c r="F56" s="5" t="s">
        <v>19</v>
      </c>
      <c r="G56" s="5" t="s">
        <v>28</v>
      </c>
      <c r="H56" s="5">
        <v>36</v>
      </c>
      <c r="I56" s="6">
        <v>42276</v>
      </c>
      <c r="J56" s="7">
        <v>178700</v>
      </c>
      <c r="K56" s="8">
        <v>0.28999999999999998</v>
      </c>
      <c r="L56" s="5" t="s">
        <v>21</v>
      </c>
      <c r="M56" s="5" t="s">
        <v>22</v>
      </c>
      <c r="N56" s="6">
        <v>42932</v>
      </c>
    </row>
    <row r="57" spans="1:14" x14ac:dyDescent="0.35">
      <c r="A57" s="5" t="s">
        <v>173</v>
      </c>
      <c r="B57" s="5" t="s">
        <v>174</v>
      </c>
      <c r="C57" s="5" t="s">
        <v>175</v>
      </c>
      <c r="D57" s="5" t="s">
        <v>69</v>
      </c>
      <c r="E57" s="5" t="s">
        <v>18</v>
      </c>
      <c r="F57" s="5" t="s">
        <v>19</v>
      </c>
      <c r="G57" s="5" t="s">
        <v>36</v>
      </c>
      <c r="H57" s="5">
        <v>33</v>
      </c>
      <c r="I57" s="6">
        <v>43456</v>
      </c>
      <c r="J57" s="7">
        <v>83990</v>
      </c>
      <c r="K57" s="8">
        <v>0</v>
      </c>
      <c r="L57" s="5" t="s">
        <v>21</v>
      </c>
      <c r="M57" s="5" t="s">
        <v>37</v>
      </c>
      <c r="N57" s="6">
        <v>42932</v>
      </c>
    </row>
    <row r="58" spans="1:14" x14ac:dyDescent="0.35">
      <c r="A58" s="5" t="s">
        <v>176</v>
      </c>
      <c r="B58" s="5" t="s">
        <v>177</v>
      </c>
      <c r="C58" s="5" t="s">
        <v>178</v>
      </c>
      <c r="D58" s="5" t="s">
        <v>69</v>
      </c>
      <c r="E58" s="5" t="s">
        <v>49</v>
      </c>
      <c r="F58" s="5" t="s">
        <v>19</v>
      </c>
      <c r="G58" s="5" t="s">
        <v>36</v>
      </c>
      <c r="H58" s="5">
        <v>52</v>
      </c>
      <c r="I58" s="6">
        <v>38696</v>
      </c>
      <c r="J58" s="7">
        <v>102043</v>
      </c>
      <c r="K58" s="8">
        <v>0</v>
      </c>
      <c r="L58" s="5" t="s">
        <v>21</v>
      </c>
      <c r="M58" s="5" t="s">
        <v>37</v>
      </c>
      <c r="N58" s="6">
        <v>42932</v>
      </c>
    </row>
    <row r="59" spans="1:14" x14ac:dyDescent="0.35">
      <c r="A59" s="5" t="s">
        <v>179</v>
      </c>
      <c r="B59" s="5" t="s">
        <v>180</v>
      </c>
      <c r="C59" s="5" t="s">
        <v>181</v>
      </c>
      <c r="D59" s="5" t="s">
        <v>69</v>
      </c>
      <c r="E59" s="5" t="s">
        <v>26</v>
      </c>
      <c r="F59" s="5" t="s">
        <v>19</v>
      </c>
      <c r="G59" s="5" t="s">
        <v>28</v>
      </c>
      <c r="H59" s="5">
        <v>46</v>
      </c>
      <c r="I59" s="6">
        <v>37041</v>
      </c>
      <c r="J59" s="7">
        <v>90678</v>
      </c>
      <c r="K59" s="8">
        <v>0</v>
      </c>
      <c r="L59" s="5" t="s">
        <v>21</v>
      </c>
      <c r="M59" s="5" t="s">
        <v>88</v>
      </c>
      <c r="N59" s="6">
        <v>42932</v>
      </c>
    </row>
    <row r="60" spans="1:14" x14ac:dyDescent="0.35">
      <c r="A60" s="5" t="s">
        <v>182</v>
      </c>
      <c r="B60" s="5" t="s">
        <v>183</v>
      </c>
      <c r="C60" s="5" t="s">
        <v>184</v>
      </c>
      <c r="D60" s="5" t="s">
        <v>65</v>
      </c>
      <c r="E60" s="5" t="s">
        <v>26</v>
      </c>
      <c r="F60" s="5" t="s">
        <v>19</v>
      </c>
      <c r="G60" s="5" t="s">
        <v>20</v>
      </c>
      <c r="H60" s="5">
        <v>46</v>
      </c>
      <c r="I60" s="6">
        <v>39681</v>
      </c>
      <c r="J60" s="7">
        <v>59067</v>
      </c>
      <c r="K60" s="8">
        <v>0</v>
      </c>
      <c r="L60" s="5" t="s">
        <v>21</v>
      </c>
      <c r="M60" s="5" t="s">
        <v>56</v>
      </c>
      <c r="N60" s="6">
        <v>42932</v>
      </c>
    </row>
    <row r="61" spans="1:14" x14ac:dyDescent="0.35">
      <c r="A61" s="5" t="s">
        <v>185</v>
      </c>
      <c r="B61" s="5" t="s">
        <v>186</v>
      </c>
      <c r="C61" s="5" t="s">
        <v>16</v>
      </c>
      <c r="D61" s="5" t="s">
        <v>80</v>
      </c>
      <c r="E61" s="5" t="s">
        <v>18</v>
      </c>
      <c r="F61" s="5" t="s">
        <v>27</v>
      </c>
      <c r="G61" s="5" t="s">
        <v>28</v>
      </c>
      <c r="H61" s="5">
        <v>45</v>
      </c>
      <c r="I61" s="6">
        <v>44266</v>
      </c>
      <c r="J61" s="7">
        <v>135062</v>
      </c>
      <c r="K61" s="8">
        <v>0.15</v>
      </c>
      <c r="L61" s="5" t="s">
        <v>29</v>
      </c>
      <c r="M61" s="5" t="s">
        <v>134</v>
      </c>
      <c r="N61" s="6">
        <v>42932</v>
      </c>
    </row>
    <row r="62" spans="1:14" x14ac:dyDescent="0.35">
      <c r="A62" s="5" t="s">
        <v>187</v>
      </c>
      <c r="B62" s="5" t="s">
        <v>188</v>
      </c>
      <c r="C62" s="5" t="s">
        <v>16</v>
      </c>
      <c r="D62" s="5" t="s">
        <v>17</v>
      </c>
      <c r="E62" s="5" t="s">
        <v>49</v>
      </c>
      <c r="F62" s="5" t="s">
        <v>19</v>
      </c>
      <c r="G62" s="5" t="s">
        <v>85</v>
      </c>
      <c r="H62" s="5">
        <v>55</v>
      </c>
      <c r="I62" s="6">
        <v>38945</v>
      </c>
      <c r="J62" s="7">
        <v>159044</v>
      </c>
      <c r="K62" s="8">
        <v>0.1</v>
      </c>
      <c r="L62" s="5" t="s">
        <v>93</v>
      </c>
      <c r="M62" s="5" t="s">
        <v>94</v>
      </c>
      <c r="N62" s="6">
        <v>42932</v>
      </c>
    </row>
    <row r="63" spans="1:14" x14ac:dyDescent="0.35">
      <c r="A63" s="5" t="s">
        <v>189</v>
      </c>
      <c r="B63" s="5" t="s">
        <v>190</v>
      </c>
      <c r="C63" s="5" t="s">
        <v>43</v>
      </c>
      <c r="D63" s="5" t="s">
        <v>59</v>
      </c>
      <c r="E63" s="5" t="s">
        <v>26</v>
      </c>
      <c r="F63" s="5" t="s">
        <v>19</v>
      </c>
      <c r="G63" s="5" t="s">
        <v>85</v>
      </c>
      <c r="H63" s="5">
        <v>44</v>
      </c>
      <c r="I63" s="6">
        <v>43467</v>
      </c>
      <c r="J63" s="7">
        <v>74691</v>
      </c>
      <c r="K63" s="8">
        <v>0</v>
      </c>
      <c r="L63" s="5" t="s">
        <v>93</v>
      </c>
      <c r="M63" s="5" t="s">
        <v>94</v>
      </c>
      <c r="N63" s="6">
        <v>44020</v>
      </c>
    </row>
    <row r="64" spans="1:14" x14ac:dyDescent="0.35">
      <c r="A64" s="5" t="s">
        <v>191</v>
      </c>
      <c r="B64" s="5" t="s">
        <v>192</v>
      </c>
      <c r="C64" s="5" t="s">
        <v>113</v>
      </c>
      <c r="D64" s="5" t="s">
        <v>69</v>
      </c>
      <c r="E64" s="5" t="s">
        <v>49</v>
      </c>
      <c r="F64" s="5" t="s">
        <v>19</v>
      </c>
      <c r="G64" s="5" t="s">
        <v>85</v>
      </c>
      <c r="H64" s="5">
        <v>44</v>
      </c>
      <c r="I64" s="6">
        <v>39800</v>
      </c>
      <c r="J64" s="7">
        <v>92753</v>
      </c>
      <c r="K64" s="8">
        <v>0.13</v>
      </c>
      <c r="L64" s="5" t="s">
        <v>21</v>
      </c>
      <c r="M64" s="5" t="s">
        <v>60</v>
      </c>
      <c r="N64" s="6">
        <v>44371</v>
      </c>
    </row>
    <row r="65" spans="1:14" x14ac:dyDescent="0.35">
      <c r="A65" s="5" t="s">
        <v>193</v>
      </c>
      <c r="B65" s="5" t="s">
        <v>194</v>
      </c>
      <c r="C65" s="5" t="s">
        <v>79</v>
      </c>
      <c r="D65" s="5" t="s">
        <v>65</v>
      </c>
      <c r="E65" s="5" t="s">
        <v>35</v>
      </c>
      <c r="F65" s="5" t="s">
        <v>27</v>
      </c>
      <c r="G65" s="5" t="s">
        <v>20</v>
      </c>
      <c r="H65" s="5">
        <v>45</v>
      </c>
      <c r="I65" s="6">
        <v>41493</v>
      </c>
      <c r="J65" s="7">
        <v>236946</v>
      </c>
      <c r="K65" s="8">
        <v>0.37</v>
      </c>
      <c r="L65" s="5" t="s">
        <v>21</v>
      </c>
      <c r="M65" s="5" t="s">
        <v>22</v>
      </c>
      <c r="N65" s="6">
        <v>44371</v>
      </c>
    </row>
    <row r="66" spans="1:14" x14ac:dyDescent="0.35">
      <c r="A66" s="5" t="s">
        <v>195</v>
      </c>
      <c r="B66" s="5" t="s">
        <v>196</v>
      </c>
      <c r="C66" s="5" t="s">
        <v>55</v>
      </c>
      <c r="D66" s="5" t="s">
        <v>34</v>
      </c>
      <c r="E66" s="5" t="s">
        <v>49</v>
      </c>
      <c r="F66" s="5" t="s">
        <v>19</v>
      </c>
      <c r="G66" s="5" t="s">
        <v>20</v>
      </c>
      <c r="H66" s="5">
        <v>36</v>
      </c>
      <c r="I66" s="6">
        <v>44435</v>
      </c>
      <c r="J66" s="7">
        <v>48906</v>
      </c>
      <c r="K66" s="8">
        <v>0</v>
      </c>
      <c r="L66" s="5" t="s">
        <v>21</v>
      </c>
      <c r="M66" s="5" t="s">
        <v>56</v>
      </c>
      <c r="N66" s="6">
        <v>44371</v>
      </c>
    </row>
    <row r="67" spans="1:14" x14ac:dyDescent="0.35">
      <c r="A67" s="5" t="s">
        <v>197</v>
      </c>
      <c r="B67" s="5" t="s">
        <v>198</v>
      </c>
      <c r="C67" s="5" t="s">
        <v>43</v>
      </c>
      <c r="D67" s="5" t="s">
        <v>48</v>
      </c>
      <c r="E67" s="5" t="s">
        <v>49</v>
      </c>
      <c r="F67" s="5" t="s">
        <v>19</v>
      </c>
      <c r="G67" s="5" t="s">
        <v>36</v>
      </c>
      <c r="H67" s="5">
        <v>38</v>
      </c>
      <c r="I67" s="6">
        <v>39474</v>
      </c>
      <c r="J67" s="7">
        <v>80024</v>
      </c>
      <c r="K67" s="8">
        <v>0</v>
      </c>
      <c r="L67" s="5" t="s">
        <v>21</v>
      </c>
      <c r="M67" s="5" t="s">
        <v>88</v>
      </c>
      <c r="N67" s="6">
        <v>44371</v>
      </c>
    </row>
    <row r="68" spans="1:14" x14ac:dyDescent="0.35">
      <c r="A68" s="5" t="s">
        <v>199</v>
      </c>
      <c r="B68" s="5" t="s">
        <v>200</v>
      </c>
      <c r="C68" s="5" t="s">
        <v>164</v>
      </c>
      <c r="D68" s="5" t="s">
        <v>65</v>
      </c>
      <c r="E68" s="5" t="s">
        <v>35</v>
      </c>
      <c r="F68" s="5" t="s">
        <v>19</v>
      </c>
      <c r="G68" s="5" t="s">
        <v>36</v>
      </c>
      <c r="H68" s="5">
        <v>41</v>
      </c>
      <c r="I68" s="6">
        <v>40109</v>
      </c>
      <c r="J68" s="7">
        <v>54415</v>
      </c>
      <c r="K68" s="8">
        <v>0</v>
      </c>
      <c r="L68" s="5" t="s">
        <v>21</v>
      </c>
      <c r="M68" s="5" t="s">
        <v>22</v>
      </c>
      <c r="N68" s="6">
        <v>41661</v>
      </c>
    </row>
    <row r="69" spans="1:14" x14ac:dyDescent="0.35">
      <c r="A69" s="5" t="s">
        <v>201</v>
      </c>
      <c r="B69" s="5" t="s">
        <v>202</v>
      </c>
      <c r="C69" s="5" t="s">
        <v>52</v>
      </c>
      <c r="D69" s="5" t="s">
        <v>80</v>
      </c>
      <c r="E69" s="5" t="s">
        <v>18</v>
      </c>
      <c r="F69" s="5" t="s">
        <v>19</v>
      </c>
      <c r="G69" s="5" t="s">
        <v>28</v>
      </c>
      <c r="H69" s="5">
        <v>30</v>
      </c>
      <c r="I69" s="6">
        <v>42484</v>
      </c>
      <c r="J69" s="7">
        <v>120341</v>
      </c>
      <c r="K69" s="8">
        <v>7.0000000000000007E-2</v>
      </c>
      <c r="L69" s="5" t="s">
        <v>21</v>
      </c>
      <c r="M69" s="5" t="s">
        <v>22</v>
      </c>
      <c r="N69" s="6">
        <v>41661</v>
      </c>
    </row>
    <row r="70" spans="1:14" x14ac:dyDescent="0.35">
      <c r="A70" s="5" t="s">
        <v>203</v>
      </c>
      <c r="B70" s="5" t="s">
        <v>204</v>
      </c>
      <c r="C70" s="5" t="s">
        <v>79</v>
      </c>
      <c r="D70" s="5" t="s">
        <v>17</v>
      </c>
      <c r="E70" s="5" t="s">
        <v>35</v>
      </c>
      <c r="F70" s="5" t="s">
        <v>19</v>
      </c>
      <c r="G70" s="5" t="s">
        <v>85</v>
      </c>
      <c r="H70" s="5">
        <v>43</v>
      </c>
      <c r="I70" s="6">
        <v>40029</v>
      </c>
      <c r="J70" s="7">
        <v>208415</v>
      </c>
      <c r="K70" s="8">
        <v>0.35</v>
      </c>
      <c r="L70" s="5" t="s">
        <v>21</v>
      </c>
      <c r="M70" s="5" t="s">
        <v>22</v>
      </c>
      <c r="N70" s="6">
        <v>41661</v>
      </c>
    </row>
    <row r="71" spans="1:14" x14ac:dyDescent="0.35">
      <c r="A71" s="5" t="s">
        <v>205</v>
      </c>
      <c r="B71" s="5" t="s">
        <v>206</v>
      </c>
      <c r="C71" s="5" t="s">
        <v>207</v>
      </c>
      <c r="D71" s="5" t="s">
        <v>17</v>
      </c>
      <c r="E71" s="5" t="s">
        <v>35</v>
      </c>
      <c r="F71" s="5" t="s">
        <v>19</v>
      </c>
      <c r="G71" s="5" t="s">
        <v>28</v>
      </c>
      <c r="H71" s="5">
        <v>32</v>
      </c>
      <c r="I71" s="6">
        <v>43835</v>
      </c>
      <c r="J71" s="7">
        <v>78844</v>
      </c>
      <c r="K71" s="8">
        <v>0</v>
      </c>
      <c r="L71" s="5" t="s">
        <v>21</v>
      </c>
      <c r="M71" s="5" t="s">
        <v>22</v>
      </c>
      <c r="N71" s="6">
        <v>41661</v>
      </c>
    </row>
    <row r="72" spans="1:14" x14ac:dyDescent="0.35">
      <c r="A72" s="5" t="s">
        <v>208</v>
      </c>
      <c r="B72" s="5" t="s">
        <v>209</v>
      </c>
      <c r="C72" s="5" t="s">
        <v>175</v>
      </c>
      <c r="D72" s="5" t="s">
        <v>69</v>
      </c>
      <c r="E72" s="5" t="s">
        <v>26</v>
      </c>
      <c r="F72" s="5" t="s">
        <v>27</v>
      </c>
      <c r="G72" s="5" t="s">
        <v>36</v>
      </c>
      <c r="H72" s="5">
        <v>58</v>
      </c>
      <c r="I72" s="6">
        <v>37399</v>
      </c>
      <c r="J72" s="7">
        <v>76354</v>
      </c>
      <c r="K72" s="8">
        <v>0</v>
      </c>
      <c r="L72" s="5" t="s">
        <v>21</v>
      </c>
      <c r="M72" s="5" t="s">
        <v>44</v>
      </c>
      <c r="N72" s="6">
        <v>44465</v>
      </c>
    </row>
    <row r="73" spans="1:14" x14ac:dyDescent="0.35">
      <c r="A73" s="5" t="s">
        <v>210</v>
      </c>
      <c r="B73" s="5" t="s">
        <v>211</v>
      </c>
      <c r="C73" s="5" t="s">
        <v>33</v>
      </c>
      <c r="D73" s="5" t="s">
        <v>34</v>
      </c>
      <c r="E73" s="5" t="s">
        <v>35</v>
      </c>
      <c r="F73" s="5" t="s">
        <v>19</v>
      </c>
      <c r="G73" s="5" t="s">
        <v>85</v>
      </c>
      <c r="H73" s="5">
        <v>37</v>
      </c>
      <c r="I73" s="6">
        <v>43493</v>
      </c>
      <c r="J73" s="7">
        <v>165927</v>
      </c>
      <c r="K73" s="8">
        <v>0.2</v>
      </c>
      <c r="L73" s="5" t="s">
        <v>21</v>
      </c>
      <c r="M73" s="5" t="s">
        <v>44</v>
      </c>
      <c r="N73" s="6">
        <v>44465</v>
      </c>
    </row>
    <row r="74" spans="1:14" x14ac:dyDescent="0.35">
      <c r="A74" s="5" t="s">
        <v>212</v>
      </c>
      <c r="B74" s="5" t="s">
        <v>213</v>
      </c>
      <c r="C74" s="5" t="s">
        <v>52</v>
      </c>
      <c r="D74" s="5" t="s">
        <v>59</v>
      </c>
      <c r="E74" s="5" t="s">
        <v>35</v>
      </c>
      <c r="F74" s="5" t="s">
        <v>19</v>
      </c>
      <c r="G74" s="5" t="s">
        <v>85</v>
      </c>
      <c r="H74" s="5">
        <v>38</v>
      </c>
      <c r="I74" s="6">
        <v>44516</v>
      </c>
      <c r="J74" s="7">
        <v>109812</v>
      </c>
      <c r="K74" s="8">
        <v>0.09</v>
      </c>
      <c r="L74" s="5" t="s">
        <v>93</v>
      </c>
      <c r="M74" s="5" t="s">
        <v>94</v>
      </c>
      <c r="N74" s="6">
        <v>44465</v>
      </c>
    </row>
    <row r="75" spans="1:14" x14ac:dyDescent="0.35">
      <c r="A75" s="5" t="s">
        <v>214</v>
      </c>
      <c r="B75" s="5" t="s">
        <v>215</v>
      </c>
      <c r="C75" s="5" t="s">
        <v>68</v>
      </c>
      <c r="D75" s="5" t="s">
        <v>69</v>
      </c>
      <c r="E75" s="5" t="s">
        <v>49</v>
      </c>
      <c r="F75" s="5" t="s">
        <v>27</v>
      </c>
      <c r="G75" s="5" t="s">
        <v>28</v>
      </c>
      <c r="H75" s="5">
        <v>55</v>
      </c>
      <c r="I75" s="6">
        <v>36041</v>
      </c>
      <c r="J75" s="7">
        <v>86299</v>
      </c>
      <c r="K75" s="8">
        <v>0</v>
      </c>
      <c r="L75" s="5" t="s">
        <v>21</v>
      </c>
      <c r="M75" s="5" t="s">
        <v>22</v>
      </c>
      <c r="N75" s="6">
        <v>44465</v>
      </c>
    </row>
    <row r="76" spans="1:14" x14ac:dyDescent="0.35">
      <c r="A76" s="5" t="s">
        <v>216</v>
      </c>
      <c r="B76" s="5" t="s">
        <v>217</v>
      </c>
      <c r="C76" s="5" t="s">
        <v>79</v>
      </c>
      <c r="D76" s="5" t="s">
        <v>80</v>
      </c>
      <c r="E76" s="5" t="s">
        <v>18</v>
      </c>
      <c r="F76" s="5" t="s">
        <v>27</v>
      </c>
      <c r="G76" s="5" t="s">
        <v>85</v>
      </c>
      <c r="H76" s="5">
        <v>57</v>
      </c>
      <c r="I76" s="6">
        <v>37828</v>
      </c>
      <c r="J76" s="7">
        <v>206624</v>
      </c>
      <c r="K76" s="8">
        <v>0.4</v>
      </c>
      <c r="L76" s="5" t="s">
        <v>93</v>
      </c>
      <c r="M76" s="5" t="s">
        <v>218</v>
      </c>
      <c r="N76" s="6">
        <v>44465</v>
      </c>
    </row>
    <row r="77" spans="1:14" x14ac:dyDescent="0.35">
      <c r="A77" s="5" t="s">
        <v>219</v>
      </c>
      <c r="B77" s="5" t="s">
        <v>220</v>
      </c>
      <c r="C77" s="5" t="s">
        <v>119</v>
      </c>
      <c r="D77" s="5" t="s">
        <v>17</v>
      </c>
      <c r="E77" s="5" t="s">
        <v>26</v>
      </c>
      <c r="F77" s="5" t="s">
        <v>27</v>
      </c>
      <c r="G77" s="5" t="s">
        <v>85</v>
      </c>
      <c r="H77" s="5">
        <v>36</v>
      </c>
      <c r="I77" s="6">
        <v>40535</v>
      </c>
      <c r="J77" s="7">
        <v>53215</v>
      </c>
      <c r="K77" s="8">
        <v>0</v>
      </c>
      <c r="L77" s="5" t="s">
        <v>93</v>
      </c>
      <c r="M77" s="5" t="s">
        <v>218</v>
      </c>
      <c r="N77" s="6">
        <v>41725</v>
      </c>
    </row>
    <row r="78" spans="1:14" x14ac:dyDescent="0.35">
      <c r="A78" s="5" t="s">
        <v>221</v>
      </c>
      <c r="B78" s="5" t="s">
        <v>222</v>
      </c>
      <c r="C78" s="5" t="s">
        <v>223</v>
      </c>
      <c r="D78" s="5" t="s">
        <v>69</v>
      </c>
      <c r="E78" s="5" t="s">
        <v>18</v>
      </c>
      <c r="F78" s="5" t="s">
        <v>19</v>
      </c>
      <c r="G78" s="5" t="s">
        <v>28</v>
      </c>
      <c r="H78" s="5">
        <v>30</v>
      </c>
      <c r="I78" s="6">
        <v>42877</v>
      </c>
      <c r="J78" s="7">
        <v>86858</v>
      </c>
      <c r="K78" s="8">
        <v>0</v>
      </c>
      <c r="L78" s="5" t="s">
        <v>29</v>
      </c>
      <c r="M78" s="5" t="s">
        <v>30</v>
      </c>
      <c r="N78" s="6">
        <v>43016</v>
      </c>
    </row>
    <row r="79" spans="1:14" x14ac:dyDescent="0.35">
      <c r="A79" s="5" t="s">
        <v>224</v>
      </c>
      <c r="B79" s="5" t="s">
        <v>225</v>
      </c>
      <c r="C79" s="5" t="s">
        <v>40</v>
      </c>
      <c r="D79" s="5" t="s">
        <v>17</v>
      </c>
      <c r="E79" s="5" t="s">
        <v>26</v>
      </c>
      <c r="F79" s="5" t="s">
        <v>27</v>
      </c>
      <c r="G79" s="5" t="s">
        <v>28</v>
      </c>
      <c r="H79" s="5">
        <v>40</v>
      </c>
      <c r="I79" s="6">
        <v>39265</v>
      </c>
      <c r="J79" s="7">
        <v>93971</v>
      </c>
      <c r="K79" s="8">
        <v>0.08</v>
      </c>
      <c r="L79" s="5" t="s">
        <v>29</v>
      </c>
      <c r="M79" s="5" t="s">
        <v>30</v>
      </c>
      <c r="N79" s="6">
        <v>43016</v>
      </c>
    </row>
    <row r="80" spans="1:14" x14ac:dyDescent="0.35">
      <c r="A80" s="5" t="s">
        <v>226</v>
      </c>
      <c r="B80" s="5" t="s">
        <v>227</v>
      </c>
      <c r="C80" s="5" t="s">
        <v>124</v>
      </c>
      <c r="D80" s="5" t="s">
        <v>34</v>
      </c>
      <c r="E80" s="5" t="s">
        <v>49</v>
      </c>
      <c r="F80" s="5" t="s">
        <v>27</v>
      </c>
      <c r="G80" s="5" t="s">
        <v>85</v>
      </c>
      <c r="H80" s="5">
        <v>34</v>
      </c>
      <c r="I80" s="6">
        <v>42182</v>
      </c>
      <c r="J80" s="7">
        <v>57008</v>
      </c>
      <c r="K80" s="8">
        <v>0</v>
      </c>
      <c r="L80" s="5" t="s">
        <v>21</v>
      </c>
      <c r="M80" s="5" t="s">
        <v>44</v>
      </c>
      <c r="N80" s="6">
        <v>43016</v>
      </c>
    </row>
    <row r="81" spans="1:14" x14ac:dyDescent="0.35">
      <c r="A81" s="5" t="s">
        <v>228</v>
      </c>
      <c r="B81" s="5" t="s">
        <v>229</v>
      </c>
      <c r="C81" s="5" t="s">
        <v>16</v>
      </c>
      <c r="D81" s="5" t="s">
        <v>34</v>
      </c>
      <c r="E81" s="5" t="s">
        <v>26</v>
      </c>
      <c r="F81" s="5" t="s">
        <v>27</v>
      </c>
      <c r="G81" s="5" t="s">
        <v>85</v>
      </c>
      <c r="H81" s="5">
        <v>60</v>
      </c>
      <c r="I81" s="6">
        <v>42270</v>
      </c>
      <c r="J81" s="7">
        <v>141899</v>
      </c>
      <c r="K81" s="8">
        <v>0.15</v>
      </c>
      <c r="L81" s="5" t="s">
        <v>21</v>
      </c>
      <c r="M81" s="5" t="s">
        <v>44</v>
      </c>
      <c r="N81" s="6">
        <v>43016</v>
      </c>
    </row>
    <row r="82" spans="1:14" x14ac:dyDescent="0.35">
      <c r="A82" s="5" t="s">
        <v>230</v>
      </c>
      <c r="B82" s="5" t="s">
        <v>231</v>
      </c>
      <c r="C82" s="5" t="s">
        <v>124</v>
      </c>
      <c r="D82" s="5" t="s">
        <v>80</v>
      </c>
      <c r="E82" s="5" t="s">
        <v>49</v>
      </c>
      <c r="F82" s="5" t="s">
        <v>27</v>
      </c>
      <c r="G82" s="5" t="s">
        <v>20</v>
      </c>
      <c r="H82" s="5">
        <v>41</v>
      </c>
      <c r="I82" s="6">
        <v>42626</v>
      </c>
      <c r="J82" s="7">
        <v>64847</v>
      </c>
      <c r="K82" s="8">
        <v>0</v>
      </c>
      <c r="L82" s="5" t="s">
        <v>21</v>
      </c>
      <c r="M82" s="5" t="s">
        <v>56</v>
      </c>
      <c r="N82" s="6">
        <v>43016</v>
      </c>
    </row>
    <row r="83" spans="1:14" x14ac:dyDescent="0.35">
      <c r="A83" s="5" t="s">
        <v>232</v>
      </c>
      <c r="B83" s="5" t="s">
        <v>233</v>
      </c>
      <c r="C83" s="5" t="s">
        <v>113</v>
      </c>
      <c r="D83" s="5" t="s">
        <v>69</v>
      </c>
      <c r="E83" s="5" t="s">
        <v>18</v>
      </c>
      <c r="F83" s="5" t="s">
        <v>27</v>
      </c>
      <c r="G83" s="5" t="s">
        <v>36</v>
      </c>
      <c r="H83" s="5">
        <v>53</v>
      </c>
      <c r="I83" s="6">
        <v>33702</v>
      </c>
      <c r="J83" s="7">
        <v>116878</v>
      </c>
      <c r="K83" s="8">
        <v>0.11</v>
      </c>
      <c r="L83" s="5" t="s">
        <v>21</v>
      </c>
      <c r="M83" s="5" t="s">
        <v>56</v>
      </c>
      <c r="N83" s="6">
        <v>43016</v>
      </c>
    </row>
    <row r="84" spans="1:14" x14ac:dyDescent="0.35">
      <c r="A84" s="5" t="s">
        <v>234</v>
      </c>
      <c r="B84" s="5" t="s">
        <v>235</v>
      </c>
      <c r="C84" s="5" t="s">
        <v>108</v>
      </c>
      <c r="D84" s="5" t="s">
        <v>69</v>
      </c>
      <c r="E84" s="5" t="s">
        <v>35</v>
      </c>
      <c r="F84" s="5" t="s">
        <v>27</v>
      </c>
      <c r="G84" s="5" t="s">
        <v>20</v>
      </c>
      <c r="H84" s="5">
        <v>45</v>
      </c>
      <c r="I84" s="6">
        <v>38388</v>
      </c>
      <c r="J84" s="7">
        <v>70505</v>
      </c>
      <c r="K84" s="8">
        <v>0</v>
      </c>
      <c r="L84" s="5" t="s">
        <v>21</v>
      </c>
      <c r="M84" s="5" t="s">
        <v>60</v>
      </c>
      <c r="N84" s="6">
        <v>43016</v>
      </c>
    </row>
    <row r="85" spans="1:14" x14ac:dyDescent="0.35">
      <c r="A85" s="5" t="s">
        <v>236</v>
      </c>
      <c r="B85" s="5" t="s">
        <v>237</v>
      </c>
      <c r="C85" s="5" t="s">
        <v>33</v>
      </c>
      <c r="D85" s="5" t="s">
        <v>69</v>
      </c>
      <c r="E85" s="5" t="s">
        <v>18</v>
      </c>
      <c r="F85" s="5" t="s">
        <v>19</v>
      </c>
      <c r="G85" s="5" t="s">
        <v>85</v>
      </c>
      <c r="H85" s="5">
        <v>30</v>
      </c>
      <c r="I85" s="6">
        <v>42512</v>
      </c>
      <c r="J85" s="7">
        <v>189702</v>
      </c>
      <c r="K85" s="8">
        <v>0.28000000000000003</v>
      </c>
      <c r="L85" s="5" t="s">
        <v>93</v>
      </c>
      <c r="M85" s="5" t="s">
        <v>94</v>
      </c>
      <c r="N85" s="6">
        <v>44186</v>
      </c>
    </row>
    <row r="86" spans="1:14" x14ac:dyDescent="0.35">
      <c r="A86" s="5" t="s">
        <v>238</v>
      </c>
      <c r="B86" s="5" t="s">
        <v>239</v>
      </c>
      <c r="C86" s="5" t="s">
        <v>33</v>
      </c>
      <c r="D86" s="5" t="s">
        <v>59</v>
      </c>
      <c r="E86" s="5" t="s">
        <v>35</v>
      </c>
      <c r="F86" s="5" t="s">
        <v>27</v>
      </c>
      <c r="G86" s="5" t="s">
        <v>36</v>
      </c>
      <c r="H86" s="5">
        <v>26</v>
      </c>
      <c r="I86" s="6">
        <v>44040</v>
      </c>
      <c r="J86" s="7">
        <v>180664</v>
      </c>
      <c r="K86" s="8">
        <v>0.27</v>
      </c>
      <c r="L86" s="5" t="s">
        <v>21</v>
      </c>
      <c r="M86" s="5" t="s">
        <v>37</v>
      </c>
      <c r="N86" s="6">
        <v>44186</v>
      </c>
    </row>
    <row r="87" spans="1:14" x14ac:dyDescent="0.35">
      <c r="A87" s="5" t="s">
        <v>240</v>
      </c>
      <c r="B87" s="5" t="s">
        <v>241</v>
      </c>
      <c r="C87" s="5" t="s">
        <v>184</v>
      </c>
      <c r="D87" s="5" t="s">
        <v>65</v>
      </c>
      <c r="E87" s="5" t="s">
        <v>26</v>
      </c>
      <c r="F87" s="5" t="s">
        <v>19</v>
      </c>
      <c r="G87" s="5" t="s">
        <v>28</v>
      </c>
      <c r="H87" s="5">
        <v>45</v>
      </c>
      <c r="I87" s="6">
        <v>37972</v>
      </c>
      <c r="J87" s="7">
        <v>48345</v>
      </c>
      <c r="K87" s="8">
        <v>0</v>
      </c>
      <c r="L87" s="5" t="s">
        <v>29</v>
      </c>
      <c r="M87" s="5" t="s">
        <v>134</v>
      </c>
      <c r="N87" s="6">
        <v>44186</v>
      </c>
    </row>
    <row r="88" spans="1:14" x14ac:dyDescent="0.35">
      <c r="A88" s="5" t="s">
        <v>242</v>
      </c>
      <c r="B88" s="5" t="s">
        <v>243</v>
      </c>
      <c r="C88" s="5" t="s">
        <v>33</v>
      </c>
      <c r="D88" s="5" t="s">
        <v>65</v>
      </c>
      <c r="E88" s="5" t="s">
        <v>26</v>
      </c>
      <c r="F88" s="5" t="s">
        <v>27</v>
      </c>
      <c r="G88" s="5" t="s">
        <v>28</v>
      </c>
      <c r="H88" s="5">
        <v>42</v>
      </c>
      <c r="I88" s="6">
        <v>41655</v>
      </c>
      <c r="J88" s="7">
        <v>152214</v>
      </c>
      <c r="K88" s="8">
        <v>0.3</v>
      </c>
      <c r="L88" s="5" t="s">
        <v>29</v>
      </c>
      <c r="M88" s="5" t="s">
        <v>114</v>
      </c>
      <c r="N88" s="6">
        <v>44186</v>
      </c>
    </row>
    <row r="89" spans="1:14" x14ac:dyDescent="0.35">
      <c r="A89" s="5" t="s">
        <v>244</v>
      </c>
      <c r="B89" s="5" t="s">
        <v>245</v>
      </c>
      <c r="C89" s="5" t="s">
        <v>207</v>
      </c>
      <c r="D89" s="5" t="s">
        <v>17</v>
      </c>
      <c r="E89" s="5" t="s">
        <v>49</v>
      </c>
      <c r="F89" s="5" t="s">
        <v>19</v>
      </c>
      <c r="G89" s="5" t="s">
        <v>85</v>
      </c>
      <c r="H89" s="5">
        <v>41</v>
      </c>
      <c r="I89" s="6">
        <v>39931</v>
      </c>
      <c r="J89" s="7">
        <v>69803</v>
      </c>
      <c r="K89" s="8">
        <v>0</v>
      </c>
      <c r="L89" s="5" t="s">
        <v>93</v>
      </c>
      <c r="M89" s="5" t="s">
        <v>94</v>
      </c>
      <c r="N89" s="6">
        <v>44186</v>
      </c>
    </row>
    <row r="90" spans="1:14" x14ac:dyDescent="0.35">
      <c r="A90" s="5" t="s">
        <v>246</v>
      </c>
      <c r="B90" s="5" t="s">
        <v>247</v>
      </c>
      <c r="C90" s="5" t="s">
        <v>248</v>
      </c>
      <c r="D90" s="5" t="s">
        <v>17</v>
      </c>
      <c r="E90" s="5" t="s">
        <v>49</v>
      </c>
      <c r="F90" s="5" t="s">
        <v>19</v>
      </c>
      <c r="G90" s="5" t="s">
        <v>85</v>
      </c>
      <c r="H90" s="5">
        <v>48</v>
      </c>
      <c r="I90" s="6">
        <v>43650</v>
      </c>
      <c r="J90" s="7">
        <v>76588</v>
      </c>
      <c r="K90" s="8">
        <v>0</v>
      </c>
      <c r="L90" s="5" t="s">
        <v>93</v>
      </c>
      <c r="M90" s="5" t="s">
        <v>99</v>
      </c>
      <c r="N90" s="6">
        <v>44186</v>
      </c>
    </row>
    <row r="91" spans="1:14" x14ac:dyDescent="0.35">
      <c r="A91" s="5" t="s">
        <v>249</v>
      </c>
      <c r="B91" s="5" t="s">
        <v>250</v>
      </c>
      <c r="C91" s="5" t="s">
        <v>251</v>
      </c>
      <c r="D91" s="5" t="s">
        <v>17</v>
      </c>
      <c r="E91" s="5" t="s">
        <v>26</v>
      </c>
      <c r="F91" s="5" t="s">
        <v>27</v>
      </c>
      <c r="G91" s="5" t="s">
        <v>36</v>
      </c>
      <c r="H91" s="5">
        <v>29</v>
      </c>
      <c r="I91" s="6">
        <v>43444</v>
      </c>
      <c r="J91" s="7">
        <v>84596</v>
      </c>
      <c r="K91" s="8">
        <v>0</v>
      </c>
      <c r="L91" s="5" t="s">
        <v>21</v>
      </c>
      <c r="M91" s="5" t="s">
        <v>56</v>
      </c>
      <c r="N91" s="6">
        <v>44186</v>
      </c>
    </row>
    <row r="92" spans="1:14" x14ac:dyDescent="0.35">
      <c r="A92" s="5" t="s">
        <v>252</v>
      </c>
      <c r="B92" s="5" t="s">
        <v>253</v>
      </c>
      <c r="C92" s="5" t="s">
        <v>52</v>
      </c>
      <c r="D92" s="5" t="s">
        <v>80</v>
      </c>
      <c r="E92" s="5" t="s">
        <v>18</v>
      </c>
      <c r="F92" s="5" t="s">
        <v>27</v>
      </c>
      <c r="G92" s="5" t="s">
        <v>28</v>
      </c>
      <c r="H92" s="5">
        <v>27</v>
      </c>
      <c r="I92" s="6">
        <v>43368</v>
      </c>
      <c r="J92" s="7">
        <v>114441</v>
      </c>
      <c r="K92" s="8">
        <v>0.1</v>
      </c>
      <c r="L92" s="5" t="s">
        <v>29</v>
      </c>
      <c r="M92" s="5" t="s">
        <v>30</v>
      </c>
      <c r="N92" s="6">
        <v>43821</v>
      </c>
    </row>
    <row r="93" spans="1:14" x14ac:dyDescent="0.35">
      <c r="A93" s="5" t="s">
        <v>254</v>
      </c>
      <c r="B93" s="5" t="s">
        <v>255</v>
      </c>
      <c r="C93" s="5" t="s">
        <v>16</v>
      </c>
      <c r="D93" s="5" t="s">
        <v>34</v>
      </c>
      <c r="E93" s="5" t="s">
        <v>35</v>
      </c>
      <c r="F93" s="5" t="s">
        <v>19</v>
      </c>
      <c r="G93" s="5" t="s">
        <v>28</v>
      </c>
      <c r="H93" s="5">
        <v>33</v>
      </c>
      <c r="I93" s="6">
        <v>43211</v>
      </c>
      <c r="J93" s="7">
        <v>140402</v>
      </c>
      <c r="K93" s="8">
        <v>0.15</v>
      </c>
      <c r="L93" s="5" t="s">
        <v>29</v>
      </c>
      <c r="M93" s="5" t="s">
        <v>114</v>
      </c>
      <c r="N93" s="6">
        <v>43821</v>
      </c>
    </row>
    <row r="94" spans="1:14" x14ac:dyDescent="0.35">
      <c r="A94" s="5" t="s">
        <v>256</v>
      </c>
      <c r="B94" s="5" t="s">
        <v>257</v>
      </c>
      <c r="C94" s="5" t="s">
        <v>124</v>
      </c>
      <c r="D94" s="5" t="s">
        <v>34</v>
      </c>
      <c r="E94" s="5" t="s">
        <v>49</v>
      </c>
      <c r="F94" s="5" t="s">
        <v>19</v>
      </c>
      <c r="G94" s="5" t="s">
        <v>85</v>
      </c>
      <c r="H94" s="5">
        <v>26</v>
      </c>
      <c r="I94" s="6">
        <v>43578</v>
      </c>
      <c r="J94" s="7">
        <v>59817</v>
      </c>
      <c r="K94" s="8">
        <v>0</v>
      </c>
      <c r="L94" s="5" t="s">
        <v>93</v>
      </c>
      <c r="M94" s="5" t="s">
        <v>218</v>
      </c>
      <c r="N94" s="6">
        <v>43821</v>
      </c>
    </row>
    <row r="95" spans="1:14" x14ac:dyDescent="0.35">
      <c r="A95" s="5" t="s">
        <v>258</v>
      </c>
      <c r="B95" s="5" t="s">
        <v>259</v>
      </c>
      <c r="C95" s="5" t="s">
        <v>47</v>
      </c>
      <c r="D95" s="5" t="s">
        <v>48</v>
      </c>
      <c r="E95" s="5" t="s">
        <v>26</v>
      </c>
      <c r="F95" s="5" t="s">
        <v>27</v>
      </c>
      <c r="G95" s="5" t="s">
        <v>28</v>
      </c>
      <c r="H95" s="5">
        <v>31</v>
      </c>
      <c r="I95" s="6">
        <v>42938</v>
      </c>
      <c r="J95" s="7">
        <v>55854</v>
      </c>
      <c r="K95" s="8">
        <v>0</v>
      </c>
      <c r="L95" s="5" t="s">
        <v>21</v>
      </c>
      <c r="M95" s="5" t="s">
        <v>60</v>
      </c>
      <c r="N95" s="6">
        <v>43821</v>
      </c>
    </row>
    <row r="96" spans="1:14" x14ac:dyDescent="0.35">
      <c r="A96" s="5" t="s">
        <v>260</v>
      </c>
      <c r="B96" s="5" t="s">
        <v>261</v>
      </c>
      <c r="C96" s="5" t="s">
        <v>143</v>
      </c>
      <c r="D96" s="5" t="s">
        <v>65</v>
      </c>
      <c r="E96" s="5" t="s">
        <v>18</v>
      </c>
      <c r="F96" s="5" t="s">
        <v>27</v>
      </c>
      <c r="G96" s="5" t="s">
        <v>28</v>
      </c>
      <c r="H96" s="5">
        <v>53</v>
      </c>
      <c r="I96" s="6">
        <v>37576</v>
      </c>
      <c r="J96" s="7">
        <v>95998</v>
      </c>
      <c r="K96" s="8">
        <v>0</v>
      </c>
      <c r="L96" s="5" t="s">
        <v>21</v>
      </c>
      <c r="M96" s="5" t="s">
        <v>22</v>
      </c>
      <c r="N96" s="6">
        <v>43821</v>
      </c>
    </row>
    <row r="97" spans="1:14" x14ac:dyDescent="0.35">
      <c r="A97" s="5" t="s">
        <v>262</v>
      </c>
      <c r="B97" s="5" t="s">
        <v>263</v>
      </c>
      <c r="C97" s="5" t="s">
        <v>16</v>
      </c>
      <c r="D97" s="5" t="s">
        <v>48</v>
      </c>
      <c r="E97" s="5" t="s">
        <v>26</v>
      </c>
      <c r="F97" s="5" t="s">
        <v>19</v>
      </c>
      <c r="G97" s="5" t="s">
        <v>28</v>
      </c>
      <c r="H97" s="5">
        <v>34</v>
      </c>
      <c r="I97" s="6">
        <v>42116</v>
      </c>
      <c r="J97" s="7">
        <v>154941</v>
      </c>
      <c r="K97" s="8">
        <v>0.13</v>
      </c>
      <c r="L97" s="5" t="s">
        <v>21</v>
      </c>
      <c r="M97" s="5" t="s">
        <v>44</v>
      </c>
      <c r="N97" s="6">
        <v>43821</v>
      </c>
    </row>
    <row r="98" spans="1:14" x14ac:dyDescent="0.35">
      <c r="A98" s="5" t="s">
        <v>264</v>
      </c>
      <c r="B98" s="5" t="s">
        <v>172</v>
      </c>
      <c r="C98" s="5" t="s">
        <v>79</v>
      </c>
      <c r="D98" s="5" t="s">
        <v>34</v>
      </c>
      <c r="E98" s="5" t="s">
        <v>35</v>
      </c>
      <c r="F98" s="5" t="s">
        <v>19</v>
      </c>
      <c r="G98" s="5" t="s">
        <v>28</v>
      </c>
      <c r="H98" s="5">
        <v>54</v>
      </c>
      <c r="I98" s="6">
        <v>40734</v>
      </c>
      <c r="J98" s="7">
        <v>247022</v>
      </c>
      <c r="K98" s="8">
        <v>0.3</v>
      </c>
      <c r="L98" s="5" t="s">
        <v>29</v>
      </c>
      <c r="M98" s="5" t="s">
        <v>114</v>
      </c>
      <c r="N98" s="6">
        <v>43821</v>
      </c>
    </row>
    <row r="99" spans="1:14" x14ac:dyDescent="0.35">
      <c r="A99" s="5" t="s">
        <v>265</v>
      </c>
      <c r="B99" s="5" t="s">
        <v>266</v>
      </c>
      <c r="C99" s="5" t="s">
        <v>248</v>
      </c>
      <c r="D99" s="5" t="s">
        <v>17</v>
      </c>
      <c r="E99" s="5" t="s">
        <v>26</v>
      </c>
      <c r="F99" s="5" t="s">
        <v>19</v>
      </c>
      <c r="G99" s="5" t="s">
        <v>85</v>
      </c>
      <c r="H99" s="5">
        <v>32</v>
      </c>
      <c r="I99" s="6">
        <v>44474</v>
      </c>
      <c r="J99" s="7">
        <v>88072</v>
      </c>
      <c r="K99" s="8">
        <v>0</v>
      </c>
      <c r="L99" s="5" t="s">
        <v>93</v>
      </c>
      <c r="M99" s="5" t="s">
        <v>218</v>
      </c>
      <c r="N99" s="6">
        <v>43821</v>
      </c>
    </row>
    <row r="100" spans="1:14" x14ac:dyDescent="0.35">
      <c r="A100" s="5" t="s">
        <v>267</v>
      </c>
      <c r="B100" s="5" t="s">
        <v>268</v>
      </c>
      <c r="C100" s="5" t="s">
        <v>40</v>
      </c>
      <c r="D100" s="5" t="s">
        <v>17</v>
      </c>
      <c r="E100" s="5" t="s">
        <v>18</v>
      </c>
      <c r="F100" s="5" t="s">
        <v>27</v>
      </c>
      <c r="G100" s="5" t="s">
        <v>28</v>
      </c>
      <c r="H100" s="5">
        <v>28</v>
      </c>
      <c r="I100" s="6">
        <v>43977</v>
      </c>
      <c r="J100" s="7">
        <v>67925</v>
      </c>
      <c r="K100" s="8">
        <v>0.08</v>
      </c>
      <c r="L100" s="5" t="s">
        <v>29</v>
      </c>
      <c r="M100" s="5" t="s">
        <v>74</v>
      </c>
      <c r="N100" s="6">
        <v>43821</v>
      </c>
    </row>
    <row r="101" spans="1:14" x14ac:dyDescent="0.35">
      <c r="A101" s="5" t="s">
        <v>269</v>
      </c>
      <c r="B101" s="5" t="s">
        <v>270</v>
      </c>
      <c r="C101" s="5" t="s">
        <v>79</v>
      </c>
      <c r="D101" s="5" t="s">
        <v>48</v>
      </c>
      <c r="E101" s="5" t="s">
        <v>26</v>
      </c>
      <c r="F101" s="5" t="s">
        <v>19</v>
      </c>
      <c r="G101" s="5" t="s">
        <v>36</v>
      </c>
      <c r="H101" s="5">
        <v>31</v>
      </c>
      <c r="I101" s="6">
        <v>44063</v>
      </c>
      <c r="J101" s="7">
        <v>219693</v>
      </c>
      <c r="K101" s="8">
        <v>0.3</v>
      </c>
      <c r="L101" s="5" t="s">
        <v>21</v>
      </c>
      <c r="M101" s="5" t="s">
        <v>60</v>
      </c>
      <c r="N101" s="6">
        <v>43821</v>
      </c>
    </row>
    <row r="102" spans="1:14" x14ac:dyDescent="0.35">
      <c r="A102" s="5" t="s">
        <v>271</v>
      </c>
      <c r="B102" s="5" t="s">
        <v>272</v>
      </c>
      <c r="C102" s="5" t="s">
        <v>223</v>
      </c>
      <c r="D102" s="5" t="s">
        <v>69</v>
      </c>
      <c r="E102" s="5" t="s">
        <v>18</v>
      </c>
      <c r="F102" s="5" t="s">
        <v>19</v>
      </c>
      <c r="G102" s="5" t="s">
        <v>36</v>
      </c>
      <c r="H102" s="5">
        <v>45</v>
      </c>
      <c r="I102" s="6">
        <v>41386</v>
      </c>
      <c r="J102" s="7">
        <v>61773</v>
      </c>
      <c r="K102" s="8">
        <v>0</v>
      </c>
      <c r="L102" s="5" t="s">
        <v>21</v>
      </c>
      <c r="M102" s="5" t="s">
        <v>22</v>
      </c>
      <c r="N102" s="6">
        <v>43821</v>
      </c>
    </row>
    <row r="103" spans="1:14" x14ac:dyDescent="0.35">
      <c r="A103" s="5" t="s">
        <v>273</v>
      </c>
      <c r="B103" s="5" t="s">
        <v>274</v>
      </c>
      <c r="C103" s="5" t="s">
        <v>40</v>
      </c>
      <c r="D103" s="5" t="s">
        <v>17</v>
      </c>
      <c r="E103" s="5" t="s">
        <v>35</v>
      </c>
      <c r="F103" s="5" t="s">
        <v>19</v>
      </c>
      <c r="G103" s="5" t="s">
        <v>28</v>
      </c>
      <c r="H103" s="5">
        <v>48</v>
      </c>
      <c r="I103" s="6">
        <v>39091</v>
      </c>
      <c r="J103" s="7">
        <v>74546</v>
      </c>
      <c r="K103" s="8">
        <v>0.09</v>
      </c>
      <c r="L103" s="5" t="s">
        <v>21</v>
      </c>
      <c r="M103" s="5" t="s">
        <v>22</v>
      </c>
      <c r="N103" s="6">
        <v>43821</v>
      </c>
    </row>
    <row r="104" spans="1:14" x14ac:dyDescent="0.35">
      <c r="A104" s="5" t="s">
        <v>275</v>
      </c>
      <c r="B104" s="5" t="s">
        <v>276</v>
      </c>
      <c r="C104" s="5" t="s">
        <v>277</v>
      </c>
      <c r="D104" s="5" t="s">
        <v>69</v>
      </c>
      <c r="E104" s="5" t="s">
        <v>35</v>
      </c>
      <c r="F104" s="5" t="s">
        <v>27</v>
      </c>
      <c r="G104" s="5" t="s">
        <v>20</v>
      </c>
      <c r="H104" s="5">
        <v>56</v>
      </c>
      <c r="I104" s="6">
        <v>42031</v>
      </c>
      <c r="J104" s="7">
        <v>62575</v>
      </c>
      <c r="K104" s="8">
        <v>0</v>
      </c>
      <c r="L104" s="5" t="s">
        <v>21</v>
      </c>
      <c r="M104" s="5" t="s">
        <v>56</v>
      </c>
      <c r="N104" s="6">
        <v>43821</v>
      </c>
    </row>
    <row r="105" spans="1:14" x14ac:dyDescent="0.35">
      <c r="A105" s="5" t="s">
        <v>278</v>
      </c>
      <c r="B105" s="5" t="s">
        <v>279</v>
      </c>
      <c r="C105" s="5" t="s">
        <v>33</v>
      </c>
      <c r="D105" s="5" t="s">
        <v>65</v>
      </c>
      <c r="E105" s="5" t="s">
        <v>49</v>
      </c>
      <c r="F105" s="5" t="s">
        <v>19</v>
      </c>
      <c r="G105" s="5" t="s">
        <v>28</v>
      </c>
      <c r="H105" s="5">
        <v>27</v>
      </c>
      <c r="I105" s="6">
        <v>44250</v>
      </c>
      <c r="J105" s="7">
        <v>199041</v>
      </c>
      <c r="K105" s="8">
        <v>0.16</v>
      </c>
      <c r="L105" s="5" t="s">
        <v>29</v>
      </c>
      <c r="M105" s="5" t="s">
        <v>114</v>
      </c>
      <c r="N105" s="6">
        <v>43821</v>
      </c>
    </row>
    <row r="106" spans="1:14" x14ac:dyDescent="0.35">
      <c r="A106" s="5" t="s">
        <v>280</v>
      </c>
      <c r="B106" s="5" t="s">
        <v>281</v>
      </c>
      <c r="C106" s="5" t="s">
        <v>124</v>
      </c>
      <c r="D106" s="5" t="s">
        <v>59</v>
      </c>
      <c r="E106" s="5" t="s">
        <v>35</v>
      </c>
      <c r="F106" s="5" t="s">
        <v>27</v>
      </c>
      <c r="G106" s="5" t="s">
        <v>36</v>
      </c>
      <c r="H106" s="5">
        <v>55</v>
      </c>
      <c r="I106" s="6">
        <v>39177</v>
      </c>
      <c r="J106" s="7">
        <v>52310</v>
      </c>
      <c r="K106" s="8">
        <v>0</v>
      </c>
      <c r="L106" s="5" t="s">
        <v>21</v>
      </c>
      <c r="M106" s="5" t="s">
        <v>56</v>
      </c>
      <c r="N106" s="6">
        <v>43385</v>
      </c>
    </row>
    <row r="107" spans="1:14" x14ac:dyDescent="0.35">
      <c r="A107" s="5" t="s">
        <v>282</v>
      </c>
      <c r="B107" s="5" t="s">
        <v>283</v>
      </c>
      <c r="C107" s="5" t="s">
        <v>16</v>
      </c>
      <c r="D107" s="5" t="s">
        <v>34</v>
      </c>
      <c r="E107" s="5" t="s">
        <v>35</v>
      </c>
      <c r="F107" s="5" t="s">
        <v>27</v>
      </c>
      <c r="G107" s="5" t="s">
        <v>20</v>
      </c>
      <c r="H107" s="5">
        <v>64</v>
      </c>
      <c r="I107" s="6">
        <v>41454</v>
      </c>
      <c r="J107" s="7">
        <v>159571</v>
      </c>
      <c r="K107" s="8">
        <v>0.1</v>
      </c>
      <c r="L107" s="5" t="s">
        <v>21</v>
      </c>
      <c r="M107" s="5" t="s">
        <v>88</v>
      </c>
      <c r="N107" s="6">
        <v>43385</v>
      </c>
    </row>
    <row r="108" spans="1:14" x14ac:dyDescent="0.35">
      <c r="A108" s="5" t="s">
        <v>284</v>
      </c>
      <c r="B108" s="5" t="s">
        <v>285</v>
      </c>
      <c r="C108" s="5" t="s">
        <v>175</v>
      </c>
      <c r="D108" s="5" t="s">
        <v>69</v>
      </c>
      <c r="E108" s="5" t="s">
        <v>18</v>
      </c>
      <c r="F108" s="5" t="s">
        <v>19</v>
      </c>
      <c r="G108" s="5" t="s">
        <v>85</v>
      </c>
      <c r="H108" s="5">
        <v>50</v>
      </c>
      <c r="I108" s="6">
        <v>35726</v>
      </c>
      <c r="J108" s="7">
        <v>91763</v>
      </c>
      <c r="K108" s="8">
        <v>0</v>
      </c>
      <c r="L108" s="5" t="s">
        <v>21</v>
      </c>
      <c r="M108" s="5" t="s">
        <v>60</v>
      </c>
      <c r="N108" s="6">
        <v>43385</v>
      </c>
    </row>
    <row r="109" spans="1:14" x14ac:dyDescent="0.35">
      <c r="A109" s="5" t="s">
        <v>286</v>
      </c>
      <c r="B109" s="5" t="s">
        <v>287</v>
      </c>
      <c r="C109" s="5" t="s">
        <v>277</v>
      </c>
      <c r="D109" s="5" t="s">
        <v>69</v>
      </c>
      <c r="E109" s="5" t="s">
        <v>49</v>
      </c>
      <c r="F109" s="5" t="s">
        <v>19</v>
      </c>
      <c r="G109" s="5" t="s">
        <v>36</v>
      </c>
      <c r="H109" s="5">
        <v>51</v>
      </c>
      <c r="I109" s="6">
        <v>35055</v>
      </c>
      <c r="J109" s="7">
        <v>96475</v>
      </c>
      <c r="K109" s="8">
        <v>0</v>
      </c>
      <c r="L109" s="5" t="s">
        <v>21</v>
      </c>
      <c r="M109" s="5" t="s">
        <v>60</v>
      </c>
      <c r="N109" s="6">
        <v>43385</v>
      </c>
    </row>
    <row r="110" spans="1:14" x14ac:dyDescent="0.35">
      <c r="A110" s="5" t="s">
        <v>288</v>
      </c>
      <c r="B110" s="5" t="s">
        <v>289</v>
      </c>
      <c r="C110" s="5" t="s">
        <v>68</v>
      </c>
      <c r="D110" s="5" t="s">
        <v>69</v>
      </c>
      <c r="E110" s="5" t="s">
        <v>26</v>
      </c>
      <c r="F110" s="5" t="s">
        <v>27</v>
      </c>
      <c r="G110" s="5" t="s">
        <v>36</v>
      </c>
      <c r="H110" s="5">
        <v>36</v>
      </c>
      <c r="I110" s="6">
        <v>42706</v>
      </c>
      <c r="J110" s="7">
        <v>113781</v>
      </c>
      <c r="K110" s="8">
        <v>0</v>
      </c>
      <c r="L110" s="5" t="s">
        <v>21</v>
      </c>
      <c r="M110" s="5" t="s">
        <v>88</v>
      </c>
      <c r="N110" s="6">
        <v>43385</v>
      </c>
    </row>
    <row r="111" spans="1:14" x14ac:dyDescent="0.35">
      <c r="A111" s="5" t="s">
        <v>290</v>
      </c>
      <c r="B111" s="5" t="s">
        <v>291</v>
      </c>
      <c r="C111" s="5" t="s">
        <v>33</v>
      </c>
      <c r="D111" s="5" t="s">
        <v>34</v>
      </c>
      <c r="E111" s="5" t="s">
        <v>18</v>
      </c>
      <c r="F111" s="5" t="s">
        <v>27</v>
      </c>
      <c r="G111" s="5" t="s">
        <v>28</v>
      </c>
      <c r="H111" s="5">
        <v>42</v>
      </c>
      <c r="I111" s="6">
        <v>37636</v>
      </c>
      <c r="J111" s="7">
        <v>166599</v>
      </c>
      <c r="K111" s="8">
        <v>0.26</v>
      </c>
      <c r="L111" s="5" t="s">
        <v>21</v>
      </c>
      <c r="M111" s="5" t="s">
        <v>22</v>
      </c>
      <c r="N111" s="6">
        <v>43385</v>
      </c>
    </row>
    <row r="112" spans="1:14" x14ac:dyDescent="0.35">
      <c r="A112" s="5" t="s">
        <v>292</v>
      </c>
      <c r="B112" s="5" t="s">
        <v>293</v>
      </c>
      <c r="C112" s="5" t="s">
        <v>294</v>
      </c>
      <c r="D112" s="5" t="s">
        <v>48</v>
      </c>
      <c r="E112" s="5" t="s">
        <v>49</v>
      </c>
      <c r="F112" s="5" t="s">
        <v>19</v>
      </c>
      <c r="G112" s="5" t="s">
        <v>28</v>
      </c>
      <c r="H112" s="5">
        <v>41</v>
      </c>
      <c r="I112" s="6">
        <v>38398</v>
      </c>
      <c r="J112" s="7">
        <v>95372</v>
      </c>
      <c r="K112" s="8">
        <v>0</v>
      </c>
      <c r="L112" s="5" t="s">
        <v>29</v>
      </c>
      <c r="M112" s="5" t="s">
        <v>74</v>
      </c>
      <c r="N112" s="6">
        <v>43385</v>
      </c>
    </row>
    <row r="113" spans="1:14" x14ac:dyDescent="0.35">
      <c r="A113" s="5" t="s">
        <v>295</v>
      </c>
      <c r="B113" s="5" t="s">
        <v>296</v>
      </c>
      <c r="C113" s="5" t="s">
        <v>33</v>
      </c>
      <c r="D113" s="5" t="s">
        <v>17</v>
      </c>
      <c r="E113" s="5" t="s">
        <v>18</v>
      </c>
      <c r="F113" s="5" t="s">
        <v>19</v>
      </c>
      <c r="G113" s="5" t="s">
        <v>28</v>
      </c>
      <c r="H113" s="5">
        <v>29</v>
      </c>
      <c r="I113" s="6">
        <v>44052</v>
      </c>
      <c r="J113" s="7">
        <v>161203</v>
      </c>
      <c r="K113" s="8">
        <v>0.15</v>
      </c>
      <c r="L113" s="5" t="s">
        <v>29</v>
      </c>
      <c r="M113" s="5" t="s">
        <v>134</v>
      </c>
      <c r="N113" s="6">
        <v>43385</v>
      </c>
    </row>
    <row r="114" spans="1:14" x14ac:dyDescent="0.35">
      <c r="A114" s="5" t="s">
        <v>297</v>
      </c>
      <c r="B114" s="5" t="s">
        <v>298</v>
      </c>
      <c r="C114" s="5" t="s">
        <v>299</v>
      </c>
      <c r="D114" s="5" t="s">
        <v>17</v>
      </c>
      <c r="E114" s="5" t="s">
        <v>26</v>
      </c>
      <c r="F114" s="5" t="s">
        <v>19</v>
      </c>
      <c r="G114" s="5" t="s">
        <v>36</v>
      </c>
      <c r="H114" s="5">
        <v>44</v>
      </c>
      <c r="I114" s="6">
        <v>39064</v>
      </c>
      <c r="J114" s="7">
        <v>74738</v>
      </c>
      <c r="K114" s="8">
        <v>0</v>
      </c>
      <c r="L114" s="5" t="s">
        <v>21</v>
      </c>
      <c r="M114" s="5" t="s">
        <v>56</v>
      </c>
      <c r="N114" s="6">
        <v>43385</v>
      </c>
    </row>
    <row r="115" spans="1:14" x14ac:dyDescent="0.35">
      <c r="A115" s="5" t="s">
        <v>300</v>
      </c>
      <c r="B115" s="5" t="s">
        <v>301</v>
      </c>
      <c r="C115" s="5" t="s">
        <v>33</v>
      </c>
      <c r="D115" s="5" t="s">
        <v>48</v>
      </c>
      <c r="E115" s="5" t="s">
        <v>18</v>
      </c>
      <c r="F115" s="5" t="s">
        <v>19</v>
      </c>
      <c r="G115" s="5" t="s">
        <v>28</v>
      </c>
      <c r="H115" s="5">
        <v>41</v>
      </c>
      <c r="I115" s="6">
        <v>43322</v>
      </c>
      <c r="J115" s="7">
        <v>171173</v>
      </c>
      <c r="K115" s="8">
        <v>0.21</v>
      </c>
      <c r="L115" s="5" t="s">
        <v>21</v>
      </c>
      <c r="M115" s="5" t="s">
        <v>88</v>
      </c>
      <c r="N115" s="6">
        <v>43385</v>
      </c>
    </row>
    <row r="116" spans="1:14" x14ac:dyDescent="0.35">
      <c r="A116" s="5" t="s">
        <v>302</v>
      </c>
      <c r="B116" s="5" t="s">
        <v>303</v>
      </c>
      <c r="C116" s="5" t="s">
        <v>79</v>
      </c>
      <c r="D116" s="5" t="s">
        <v>48</v>
      </c>
      <c r="E116" s="5" t="s">
        <v>49</v>
      </c>
      <c r="F116" s="5" t="s">
        <v>27</v>
      </c>
      <c r="G116" s="5" t="s">
        <v>85</v>
      </c>
      <c r="H116" s="5">
        <v>61</v>
      </c>
      <c r="I116" s="6">
        <v>43732</v>
      </c>
      <c r="J116" s="7">
        <v>201464</v>
      </c>
      <c r="K116" s="8">
        <v>0.37</v>
      </c>
      <c r="L116" s="5" t="s">
        <v>21</v>
      </c>
      <c r="M116" s="5" t="s">
        <v>37</v>
      </c>
      <c r="N116" s="6">
        <v>43385</v>
      </c>
    </row>
    <row r="117" spans="1:14" x14ac:dyDescent="0.35">
      <c r="A117" s="5" t="s">
        <v>304</v>
      </c>
      <c r="B117" s="5" t="s">
        <v>305</v>
      </c>
      <c r="C117" s="5" t="s">
        <v>33</v>
      </c>
      <c r="D117" s="5" t="s">
        <v>65</v>
      </c>
      <c r="E117" s="5" t="s">
        <v>49</v>
      </c>
      <c r="F117" s="5" t="s">
        <v>27</v>
      </c>
      <c r="G117" s="5" t="s">
        <v>36</v>
      </c>
      <c r="H117" s="5">
        <v>50</v>
      </c>
      <c r="I117" s="6">
        <v>35998</v>
      </c>
      <c r="J117" s="7">
        <v>174895</v>
      </c>
      <c r="K117" s="8">
        <v>0.15</v>
      </c>
      <c r="L117" s="5" t="s">
        <v>21</v>
      </c>
      <c r="M117" s="5" t="s">
        <v>37</v>
      </c>
      <c r="N117" s="6">
        <v>43385</v>
      </c>
    </row>
    <row r="118" spans="1:14" x14ac:dyDescent="0.35">
      <c r="A118" s="5" t="s">
        <v>306</v>
      </c>
      <c r="B118" s="5" t="s">
        <v>307</v>
      </c>
      <c r="C118" s="5" t="s">
        <v>16</v>
      </c>
      <c r="D118" s="5" t="s">
        <v>17</v>
      </c>
      <c r="E118" s="5" t="s">
        <v>26</v>
      </c>
      <c r="F118" s="5" t="s">
        <v>19</v>
      </c>
      <c r="G118" s="5" t="s">
        <v>28</v>
      </c>
      <c r="H118" s="5">
        <v>49</v>
      </c>
      <c r="I118" s="6">
        <v>38825</v>
      </c>
      <c r="J118" s="7">
        <v>134486</v>
      </c>
      <c r="K118" s="8">
        <v>0.14000000000000001</v>
      </c>
      <c r="L118" s="5" t="s">
        <v>21</v>
      </c>
      <c r="M118" s="5" t="s">
        <v>60</v>
      </c>
      <c r="N118" s="6">
        <v>43385</v>
      </c>
    </row>
    <row r="119" spans="1:14" x14ac:dyDescent="0.35">
      <c r="A119" s="5" t="s">
        <v>308</v>
      </c>
      <c r="B119" s="5" t="s">
        <v>309</v>
      </c>
      <c r="C119" s="5" t="s">
        <v>43</v>
      </c>
      <c r="D119" s="5" t="s">
        <v>34</v>
      </c>
      <c r="E119" s="5" t="s">
        <v>26</v>
      </c>
      <c r="F119" s="5" t="s">
        <v>19</v>
      </c>
      <c r="G119" s="5" t="s">
        <v>85</v>
      </c>
      <c r="H119" s="5">
        <v>60</v>
      </c>
      <c r="I119" s="6">
        <v>39137</v>
      </c>
      <c r="J119" s="7">
        <v>71699</v>
      </c>
      <c r="K119" s="8">
        <v>0</v>
      </c>
      <c r="L119" s="5" t="s">
        <v>93</v>
      </c>
      <c r="M119" s="5" t="s">
        <v>94</v>
      </c>
      <c r="N119" s="6">
        <v>43385</v>
      </c>
    </row>
    <row r="120" spans="1:14" x14ac:dyDescent="0.35">
      <c r="A120" s="5" t="s">
        <v>310</v>
      </c>
      <c r="B120" s="5" t="s">
        <v>311</v>
      </c>
      <c r="C120" s="5" t="s">
        <v>43</v>
      </c>
      <c r="D120" s="5" t="s">
        <v>80</v>
      </c>
      <c r="E120" s="5" t="s">
        <v>49</v>
      </c>
      <c r="F120" s="5" t="s">
        <v>19</v>
      </c>
      <c r="G120" s="5" t="s">
        <v>85</v>
      </c>
      <c r="H120" s="5">
        <v>42</v>
      </c>
      <c r="I120" s="6">
        <v>44198</v>
      </c>
      <c r="J120" s="7">
        <v>94430</v>
      </c>
      <c r="K120" s="8">
        <v>0</v>
      </c>
      <c r="L120" s="5" t="s">
        <v>21</v>
      </c>
      <c r="M120" s="5" t="s">
        <v>22</v>
      </c>
      <c r="N120" s="6">
        <v>43385</v>
      </c>
    </row>
    <row r="121" spans="1:14" x14ac:dyDescent="0.35">
      <c r="A121" s="5" t="s">
        <v>312</v>
      </c>
      <c r="B121" s="5" t="s">
        <v>313</v>
      </c>
      <c r="C121" s="5" t="s">
        <v>52</v>
      </c>
      <c r="D121" s="5" t="s">
        <v>34</v>
      </c>
      <c r="E121" s="5" t="s">
        <v>49</v>
      </c>
      <c r="F121" s="5" t="s">
        <v>27</v>
      </c>
      <c r="G121" s="5" t="s">
        <v>28</v>
      </c>
      <c r="H121" s="5">
        <v>39</v>
      </c>
      <c r="I121" s="6">
        <v>40192</v>
      </c>
      <c r="J121" s="7">
        <v>103504</v>
      </c>
      <c r="K121" s="8">
        <v>7.0000000000000007E-2</v>
      </c>
      <c r="L121" s="5" t="s">
        <v>29</v>
      </c>
      <c r="M121" s="5" t="s">
        <v>134</v>
      </c>
      <c r="N121" s="6">
        <v>43385</v>
      </c>
    </row>
    <row r="122" spans="1:14" x14ac:dyDescent="0.35">
      <c r="A122" s="5" t="s">
        <v>314</v>
      </c>
      <c r="B122" s="5" t="s">
        <v>315</v>
      </c>
      <c r="C122" s="5" t="s">
        <v>131</v>
      </c>
      <c r="D122" s="5" t="s">
        <v>17</v>
      </c>
      <c r="E122" s="5" t="s">
        <v>26</v>
      </c>
      <c r="F122" s="5" t="s">
        <v>19</v>
      </c>
      <c r="G122" s="5" t="s">
        <v>28</v>
      </c>
      <c r="H122" s="5">
        <v>55</v>
      </c>
      <c r="I122" s="6">
        <v>38573</v>
      </c>
      <c r="J122" s="7">
        <v>92771</v>
      </c>
      <c r="K122" s="8">
        <v>0</v>
      </c>
      <c r="L122" s="5" t="s">
        <v>21</v>
      </c>
      <c r="M122" s="5" t="s">
        <v>56</v>
      </c>
      <c r="N122" s="6">
        <v>43385</v>
      </c>
    </row>
    <row r="123" spans="1:14" x14ac:dyDescent="0.35">
      <c r="A123" s="5" t="s">
        <v>316</v>
      </c>
      <c r="B123" s="5" t="s">
        <v>317</v>
      </c>
      <c r="C123" s="5" t="s">
        <v>124</v>
      </c>
      <c r="D123" s="5" t="s">
        <v>34</v>
      </c>
      <c r="E123" s="5" t="s">
        <v>35</v>
      </c>
      <c r="F123" s="5" t="s">
        <v>19</v>
      </c>
      <c r="G123" s="5" t="s">
        <v>85</v>
      </c>
      <c r="H123" s="5">
        <v>39</v>
      </c>
      <c r="I123" s="6">
        <v>38813</v>
      </c>
      <c r="J123" s="7">
        <v>71531</v>
      </c>
      <c r="K123" s="8">
        <v>0</v>
      </c>
      <c r="L123" s="5" t="s">
        <v>21</v>
      </c>
      <c r="M123" s="5" t="s">
        <v>88</v>
      </c>
      <c r="N123" s="6">
        <v>43385</v>
      </c>
    </row>
    <row r="124" spans="1:14" x14ac:dyDescent="0.35">
      <c r="A124" s="5" t="s">
        <v>318</v>
      </c>
      <c r="B124" s="5" t="s">
        <v>319</v>
      </c>
      <c r="C124" s="5" t="s">
        <v>207</v>
      </c>
      <c r="D124" s="5" t="s">
        <v>17</v>
      </c>
      <c r="E124" s="5" t="s">
        <v>35</v>
      </c>
      <c r="F124" s="5" t="s">
        <v>27</v>
      </c>
      <c r="G124" s="5" t="s">
        <v>20</v>
      </c>
      <c r="H124" s="5">
        <v>28</v>
      </c>
      <c r="I124" s="6">
        <v>43530</v>
      </c>
      <c r="J124" s="7">
        <v>90304</v>
      </c>
      <c r="K124" s="8">
        <v>0</v>
      </c>
      <c r="L124" s="5" t="s">
        <v>21</v>
      </c>
      <c r="M124" s="5" t="s">
        <v>37</v>
      </c>
      <c r="N124" s="6">
        <v>43385</v>
      </c>
    </row>
    <row r="125" spans="1:14" x14ac:dyDescent="0.35">
      <c r="A125" s="5" t="s">
        <v>320</v>
      </c>
      <c r="B125" s="5" t="s">
        <v>321</v>
      </c>
      <c r="C125" s="5" t="s">
        <v>52</v>
      </c>
      <c r="D125" s="5" t="s">
        <v>80</v>
      </c>
      <c r="E125" s="5" t="s">
        <v>26</v>
      </c>
      <c r="F125" s="5" t="s">
        <v>19</v>
      </c>
      <c r="G125" s="5" t="s">
        <v>36</v>
      </c>
      <c r="H125" s="5">
        <v>65</v>
      </c>
      <c r="I125" s="6">
        <v>40793</v>
      </c>
      <c r="J125" s="7">
        <v>104903</v>
      </c>
      <c r="K125" s="8">
        <v>0.1</v>
      </c>
      <c r="L125" s="5" t="s">
        <v>21</v>
      </c>
      <c r="M125" s="5" t="s">
        <v>88</v>
      </c>
      <c r="N125" s="6">
        <v>43385</v>
      </c>
    </row>
    <row r="126" spans="1:14" x14ac:dyDescent="0.35">
      <c r="A126" s="5" t="s">
        <v>322</v>
      </c>
      <c r="B126" s="5" t="s">
        <v>323</v>
      </c>
      <c r="C126" s="5" t="s">
        <v>55</v>
      </c>
      <c r="D126" s="5" t="s">
        <v>34</v>
      </c>
      <c r="E126" s="5" t="s">
        <v>49</v>
      </c>
      <c r="F126" s="5" t="s">
        <v>19</v>
      </c>
      <c r="G126" s="5" t="s">
        <v>28</v>
      </c>
      <c r="H126" s="5">
        <v>52</v>
      </c>
      <c r="I126" s="6">
        <v>43515</v>
      </c>
      <c r="J126" s="7">
        <v>55859</v>
      </c>
      <c r="K126" s="8">
        <v>0</v>
      </c>
      <c r="L126" s="5" t="s">
        <v>29</v>
      </c>
      <c r="M126" s="5" t="s">
        <v>114</v>
      </c>
      <c r="N126" s="6">
        <v>43385</v>
      </c>
    </row>
    <row r="127" spans="1:14" x14ac:dyDescent="0.35">
      <c r="A127" s="5" t="s">
        <v>324</v>
      </c>
      <c r="B127" s="5" t="s">
        <v>325</v>
      </c>
      <c r="C127" s="5" t="s">
        <v>181</v>
      </c>
      <c r="D127" s="5" t="s">
        <v>69</v>
      </c>
      <c r="E127" s="5" t="s">
        <v>49</v>
      </c>
      <c r="F127" s="5" t="s">
        <v>19</v>
      </c>
      <c r="G127" s="5" t="s">
        <v>85</v>
      </c>
      <c r="H127" s="5">
        <v>62</v>
      </c>
      <c r="I127" s="6">
        <v>39002</v>
      </c>
      <c r="J127" s="7">
        <v>79785</v>
      </c>
      <c r="K127" s="8">
        <v>0</v>
      </c>
      <c r="L127" s="5" t="s">
        <v>21</v>
      </c>
      <c r="M127" s="5" t="s">
        <v>60</v>
      </c>
      <c r="N127" s="6">
        <v>43385</v>
      </c>
    </row>
    <row r="128" spans="1:14" x14ac:dyDescent="0.35">
      <c r="A128" s="5" t="s">
        <v>326</v>
      </c>
      <c r="B128" s="5" t="s">
        <v>327</v>
      </c>
      <c r="C128" s="5" t="s">
        <v>43</v>
      </c>
      <c r="D128" s="5" t="s">
        <v>80</v>
      </c>
      <c r="E128" s="5" t="s">
        <v>49</v>
      </c>
      <c r="F128" s="5" t="s">
        <v>19</v>
      </c>
      <c r="G128" s="5" t="s">
        <v>28</v>
      </c>
      <c r="H128" s="5">
        <v>39</v>
      </c>
      <c r="I128" s="6">
        <v>39391</v>
      </c>
      <c r="J128" s="7">
        <v>99017</v>
      </c>
      <c r="K128" s="8">
        <v>0</v>
      </c>
      <c r="L128" s="5" t="s">
        <v>29</v>
      </c>
      <c r="M128" s="5" t="s">
        <v>114</v>
      </c>
      <c r="N128" s="6">
        <v>43385</v>
      </c>
    </row>
    <row r="129" spans="1:14" x14ac:dyDescent="0.35">
      <c r="A129" s="5" t="s">
        <v>328</v>
      </c>
      <c r="B129" s="5" t="s">
        <v>329</v>
      </c>
      <c r="C129" s="5" t="s">
        <v>330</v>
      </c>
      <c r="D129" s="5" t="s">
        <v>17</v>
      </c>
      <c r="E129" s="5" t="s">
        <v>26</v>
      </c>
      <c r="F129" s="5" t="s">
        <v>19</v>
      </c>
      <c r="G129" s="5" t="s">
        <v>36</v>
      </c>
      <c r="H129" s="5">
        <v>63</v>
      </c>
      <c r="I129" s="6">
        <v>33695</v>
      </c>
      <c r="J129" s="7">
        <v>53809</v>
      </c>
      <c r="K129" s="8">
        <v>0</v>
      </c>
      <c r="L129" s="5" t="s">
        <v>21</v>
      </c>
      <c r="M129" s="5" t="s">
        <v>44</v>
      </c>
      <c r="N129" s="6">
        <v>43385</v>
      </c>
    </row>
    <row r="130" spans="1:14" x14ac:dyDescent="0.35">
      <c r="A130" s="5" t="s">
        <v>331</v>
      </c>
      <c r="B130" s="5" t="s">
        <v>332</v>
      </c>
      <c r="C130" s="5" t="s">
        <v>175</v>
      </c>
      <c r="D130" s="5" t="s">
        <v>69</v>
      </c>
      <c r="E130" s="5" t="s">
        <v>35</v>
      </c>
      <c r="F130" s="5" t="s">
        <v>27</v>
      </c>
      <c r="G130" s="5" t="s">
        <v>28</v>
      </c>
      <c r="H130" s="5">
        <v>27</v>
      </c>
      <c r="I130" s="6">
        <v>43937</v>
      </c>
      <c r="J130" s="7">
        <v>71864</v>
      </c>
      <c r="K130" s="8">
        <v>0</v>
      </c>
      <c r="L130" s="5" t="s">
        <v>29</v>
      </c>
      <c r="M130" s="5" t="s">
        <v>134</v>
      </c>
      <c r="N130" s="6">
        <v>43385</v>
      </c>
    </row>
    <row r="131" spans="1:14" x14ac:dyDescent="0.35">
      <c r="A131" s="5" t="s">
        <v>333</v>
      </c>
      <c r="B131" s="5" t="s">
        <v>334</v>
      </c>
      <c r="C131" s="5" t="s">
        <v>79</v>
      </c>
      <c r="D131" s="5" t="s">
        <v>34</v>
      </c>
      <c r="E131" s="5" t="s">
        <v>49</v>
      </c>
      <c r="F131" s="5" t="s">
        <v>19</v>
      </c>
      <c r="G131" s="5" t="s">
        <v>28</v>
      </c>
      <c r="H131" s="5">
        <v>37</v>
      </c>
      <c r="I131" s="6">
        <v>40883</v>
      </c>
      <c r="J131" s="7">
        <v>225558</v>
      </c>
      <c r="K131" s="8">
        <v>0.33</v>
      </c>
      <c r="L131" s="5" t="s">
        <v>29</v>
      </c>
      <c r="M131" s="5" t="s">
        <v>74</v>
      </c>
      <c r="N131" s="6">
        <v>43385</v>
      </c>
    </row>
    <row r="132" spans="1:14" x14ac:dyDescent="0.35">
      <c r="A132" s="5" t="s">
        <v>335</v>
      </c>
      <c r="B132" s="5" t="s">
        <v>336</v>
      </c>
      <c r="C132" s="5" t="s">
        <v>16</v>
      </c>
      <c r="D132" s="5" t="s">
        <v>17</v>
      </c>
      <c r="E132" s="5" t="s">
        <v>26</v>
      </c>
      <c r="F132" s="5" t="s">
        <v>27</v>
      </c>
      <c r="G132" s="5" t="s">
        <v>36</v>
      </c>
      <c r="H132" s="5">
        <v>37</v>
      </c>
      <c r="I132" s="6">
        <v>41695</v>
      </c>
      <c r="J132" s="7">
        <v>128984</v>
      </c>
      <c r="K132" s="8">
        <v>0.12</v>
      </c>
      <c r="L132" s="5" t="s">
        <v>21</v>
      </c>
      <c r="M132" s="5" t="s">
        <v>56</v>
      </c>
      <c r="N132" s="6">
        <v>44317</v>
      </c>
    </row>
    <row r="133" spans="1:14" x14ac:dyDescent="0.35">
      <c r="A133" s="5" t="s">
        <v>337</v>
      </c>
      <c r="B133" s="5" t="s">
        <v>338</v>
      </c>
      <c r="C133" s="5" t="s">
        <v>175</v>
      </c>
      <c r="D133" s="5" t="s">
        <v>69</v>
      </c>
      <c r="E133" s="5" t="s">
        <v>35</v>
      </c>
      <c r="F133" s="5" t="s">
        <v>27</v>
      </c>
      <c r="G133" s="5" t="s">
        <v>85</v>
      </c>
      <c r="H133" s="5">
        <v>46</v>
      </c>
      <c r="I133" s="6">
        <v>36331</v>
      </c>
      <c r="J133" s="7">
        <v>96997</v>
      </c>
      <c r="K133" s="8">
        <v>0</v>
      </c>
      <c r="L133" s="5" t="s">
        <v>93</v>
      </c>
      <c r="M133" s="5" t="s">
        <v>218</v>
      </c>
      <c r="N133" s="6">
        <v>44317</v>
      </c>
    </row>
    <row r="134" spans="1:14" x14ac:dyDescent="0.35">
      <c r="A134" s="5" t="s">
        <v>339</v>
      </c>
      <c r="B134" s="5" t="s">
        <v>340</v>
      </c>
      <c r="C134" s="5" t="s">
        <v>33</v>
      </c>
      <c r="D134" s="5" t="s">
        <v>65</v>
      </c>
      <c r="E134" s="5" t="s">
        <v>26</v>
      </c>
      <c r="F134" s="5" t="s">
        <v>19</v>
      </c>
      <c r="G134" s="5" t="s">
        <v>85</v>
      </c>
      <c r="H134" s="5">
        <v>54</v>
      </c>
      <c r="I134" s="6">
        <v>43122</v>
      </c>
      <c r="J134" s="7">
        <v>176294</v>
      </c>
      <c r="K134" s="8">
        <v>0.28000000000000003</v>
      </c>
      <c r="L134" s="5" t="s">
        <v>21</v>
      </c>
      <c r="M134" s="5" t="s">
        <v>60</v>
      </c>
      <c r="N134" s="6">
        <v>44317</v>
      </c>
    </row>
    <row r="135" spans="1:14" x14ac:dyDescent="0.35">
      <c r="A135" s="5" t="s">
        <v>341</v>
      </c>
      <c r="B135" s="5" t="s">
        <v>342</v>
      </c>
      <c r="C135" s="5" t="s">
        <v>55</v>
      </c>
      <c r="D135" s="5" t="s">
        <v>48</v>
      </c>
      <c r="E135" s="5" t="s">
        <v>18</v>
      </c>
      <c r="F135" s="5" t="s">
        <v>19</v>
      </c>
      <c r="G135" s="5" t="s">
        <v>28</v>
      </c>
      <c r="H135" s="5">
        <v>30</v>
      </c>
      <c r="I135" s="6">
        <v>44241</v>
      </c>
      <c r="J135" s="7">
        <v>48340</v>
      </c>
      <c r="K135" s="8">
        <v>0</v>
      </c>
      <c r="L135" s="5" t="s">
        <v>29</v>
      </c>
      <c r="M135" s="5" t="s">
        <v>114</v>
      </c>
      <c r="N135" s="6">
        <v>44317</v>
      </c>
    </row>
    <row r="136" spans="1:14" x14ac:dyDescent="0.35">
      <c r="A136" s="5" t="s">
        <v>343</v>
      </c>
      <c r="B136" s="5" t="s">
        <v>344</v>
      </c>
      <c r="C136" s="5" t="s">
        <v>79</v>
      </c>
      <c r="D136" s="5" t="s">
        <v>69</v>
      </c>
      <c r="E136" s="5" t="s">
        <v>49</v>
      </c>
      <c r="F136" s="5" t="s">
        <v>19</v>
      </c>
      <c r="G136" s="5" t="s">
        <v>85</v>
      </c>
      <c r="H136" s="5">
        <v>28</v>
      </c>
      <c r="I136" s="6">
        <v>42922</v>
      </c>
      <c r="J136" s="7">
        <v>240488</v>
      </c>
      <c r="K136" s="8">
        <v>0.4</v>
      </c>
      <c r="L136" s="5" t="s">
        <v>93</v>
      </c>
      <c r="M136" s="5" t="s">
        <v>99</v>
      </c>
      <c r="N136" s="6">
        <v>44317</v>
      </c>
    </row>
    <row r="137" spans="1:14" x14ac:dyDescent="0.35">
      <c r="A137" s="5" t="s">
        <v>345</v>
      </c>
      <c r="B137" s="5" t="s">
        <v>346</v>
      </c>
      <c r="C137" s="5" t="s">
        <v>131</v>
      </c>
      <c r="D137" s="5" t="s">
        <v>17</v>
      </c>
      <c r="E137" s="5" t="s">
        <v>26</v>
      </c>
      <c r="F137" s="5" t="s">
        <v>27</v>
      </c>
      <c r="G137" s="5" t="s">
        <v>36</v>
      </c>
      <c r="H137" s="5">
        <v>40</v>
      </c>
      <c r="I137" s="6">
        <v>40565</v>
      </c>
      <c r="J137" s="7">
        <v>97339</v>
      </c>
      <c r="K137" s="8">
        <v>0</v>
      </c>
      <c r="L137" s="5" t="s">
        <v>21</v>
      </c>
      <c r="M137" s="5" t="s">
        <v>60</v>
      </c>
      <c r="N137" s="6">
        <v>44317</v>
      </c>
    </row>
    <row r="138" spans="1:14" x14ac:dyDescent="0.35">
      <c r="A138" s="5" t="s">
        <v>347</v>
      </c>
      <c r="B138" s="5" t="s">
        <v>348</v>
      </c>
      <c r="C138" s="5" t="s">
        <v>79</v>
      </c>
      <c r="D138" s="5" t="s">
        <v>65</v>
      </c>
      <c r="E138" s="5" t="s">
        <v>26</v>
      </c>
      <c r="F138" s="5" t="s">
        <v>19</v>
      </c>
      <c r="G138" s="5" t="s">
        <v>28</v>
      </c>
      <c r="H138" s="5">
        <v>49</v>
      </c>
      <c r="I138" s="6">
        <v>37680</v>
      </c>
      <c r="J138" s="7">
        <v>211291</v>
      </c>
      <c r="K138" s="8">
        <v>0.37</v>
      </c>
      <c r="L138" s="5" t="s">
        <v>29</v>
      </c>
      <c r="M138" s="5" t="s">
        <v>30</v>
      </c>
      <c r="N138" s="6">
        <v>44317</v>
      </c>
    </row>
    <row r="139" spans="1:14" x14ac:dyDescent="0.35">
      <c r="A139" s="5" t="s">
        <v>349</v>
      </c>
      <c r="B139" s="5" t="s">
        <v>350</v>
      </c>
      <c r="C139" s="5" t="s">
        <v>79</v>
      </c>
      <c r="D139" s="5" t="s">
        <v>48</v>
      </c>
      <c r="E139" s="5" t="s">
        <v>18</v>
      </c>
      <c r="F139" s="5" t="s">
        <v>27</v>
      </c>
      <c r="G139" s="5" t="s">
        <v>85</v>
      </c>
      <c r="H139" s="5">
        <v>39</v>
      </c>
      <c r="I139" s="6">
        <v>40778</v>
      </c>
      <c r="J139" s="7">
        <v>249506</v>
      </c>
      <c r="K139" s="8">
        <v>0.3</v>
      </c>
      <c r="L139" s="5" t="s">
        <v>93</v>
      </c>
      <c r="M139" s="5" t="s">
        <v>99</v>
      </c>
      <c r="N139" s="6">
        <v>44317</v>
      </c>
    </row>
    <row r="140" spans="1:14" x14ac:dyDescent="0.35">
      <c r="A140" s="5" t="s">
        <v>351</v>
      </c>
      <c r="B140" s="5" t="s">
        <v>352</v>
      </c>
      <c r="C140" s="5" t="s">
        <v>108</v>
      </c>
      <c r="D140" s="5" t="s">
        <v>69</v>
      </c>
      <c r="E140" s="5" t="s">
        <v>35</v>
      </c>
      <c r="F140" s="5" t="s">
        <v>27</v>
      </c>
      <c r="G140" s="5" t="s">
        <v>28</v>
      </c>
      <c r="H140" s="5">
        <v>61</v>
      </c>
      <c r="I140" s="6">
        <v>37582</v>
      </c>
      <c r="J140" s="7">
        <v>80950</v>
      </c>
      <c r="K140" s="8">
        <v>0</v>
      </c>
      <c r="L140" s="5" t="s">
        <v>29</v>
      </c>
      <c r="M140" s="5" t="s">
        <v>30</v>
      </c>
      <c r="N140" s="6">
        <v>44317</v>
      </c>
    </row>
    <row r="141" spans="1:14" x14ac:dyDescent="0.35">
      <c r="A141" s="5" t="s">
        <v>353</v>
      </c>
      <c r="B141" s="5" t="s">
        <v>354</v>
      </c>
      <c r="C141" s="5" t="s">
        <v>178</v>
      </c>
      <c r="D141" s="5" t="s">
        <v>69</v>
      </c>
      <c r="E141" s="5" t="s">
        <v>18</v>
      </c>
      <c r="F141" s="5" t="s">
        <v>19</v>
      </c>
      <c r="G141" s="5" t="s">
        <v>28</v>
      </c>
      <c r="H141" s="5">
        <v>46</v>
      </c>
      <c r="I141" s="6">
        <v>44206</v>
      </c>
      <c r="J141" s="7">
        <v>86538</v>
      </c>
      <c r="K141" s="8">
        <v>0</v>
      </c>
      <c r="L141" s="5" t="s">
        <v>29</v>
      </c>
      <c r="M141" s="5" t="s">
        <v>134</v>
      </c>
      <c r="N141" s="6">
        <v>44317</v>
      </c>
    </row>
    <row r="142" spans="1:14" x14ac:dyDescent="0.35">
      <c r="A142" s="5" t="s">
        <v>355</v>
      </c>
      <c r="B142" s="5" t="s">
        <v>356</v>
      </c>
      <c r="C142" s="5" t="s">
        <v>43</v>
      </c>
      <c r="D142" s="5" t="s">
        <v>80</v>
      </c>
      <c r="E142" s="5" t="s">
        <v>35</v>
      </c>
      <c r="F142" s="5" t="s">
        <v>19</v>
      </c>
      <c r="G142" s="5" t="s">
        <v>36</v>
      </c>
      <c r="H142" s="5">
        <v>35</v>
      </c>
      <c r="I142" s="6">
        <v>43715</v>
      </c>
      <c r="J142" s="7">
        <v>70992</v>
      </c>
      <c r="K142" s="8">
        <v>0</v>
      </c>
      <c r="L142" s="5" t="s">
        <v>21</v>
      </c>
      <c r="M142" s="5" t="s">
        <v>60</v>
      </c>
      <c r="N142" s="6">
        <v>44317</v>
      </c>
    </row>
    <row r="143" spans="1:14" x14ac:dyDescent="0.35">
      <c r="A143" s="5" t="s">
        <v>357</v>
      </c>
      <c r="B143" s="5" t="s">
        <v>358</v>
      </c>
      <c r="C143" s="5" t="s">
        <v>79</v>
      </c>
      <c r="D143" s="5" t="s">
        <v>69</v>
      </c>
      <c r="E143" s="5" t="s">
        <v>49</v>
      </c>
      <c r="F143" s="5" t="s">
        <v>27</v>
      </c>
      <c r="G143" s="5" t="s">
        <v>36</v>
      </c>
      <c r="H143" s="5">
        <v>33</v>
      </c>
      <c r="I143" s="6">
        <v>42173</v>
      </c>
      <c r="J143" s="7">
        <v>205314</v>
      </c>
      <c r="K143" s="8">
        <v>0.3</v>
      </c>
      <c r="L143" s="5" t="s">
        <v>21</v>
      </c>
      <c r="M143" s="5" t="s">
        <v>88</v>
      </c>
      <c r="N143" s="6">
        <v>44317</v>
      </c>
    </row>
    <row r="144" spans="1:14" x14ac:dyDescent="0.35">
      <c r="A144" s="5" t="s">
        <v>359</v>
      </c>
      <c r="B144" s="5" t="s">
        <v>360</v>
      </c>
      <c r="C144" s="5" t="s">
        <v>79</v>
      </c>
      <c r="D144" s="5" t="s">
        <v>65</v>
      </c>
      <c r="E144" s="5" t="s">
        <v>49</v>
      </c>
      <c r="F144" s="5" t="s">
        <v>19</v>
      </c>
      <c r="G144" s="5" t="s">
        <v>28</v>
      </c>
      <c r="H144" s="5">
        <v>61</v>
      </c>
      <c r="I144" s="6">
        <v>42804</v>
      </c>
      <c r="J144" s="7">
        <v>196951</v>
      </c>
      <c r="K144" s="8">
        <v>0.33</v>
      </c>
      <c r="L144" s="5" t="s">
        <v>29</v>
      </c>
      <c r="M144" s="5" t="s">
        <v>114</v>
      </c>
      <c r="N144" s="6">
        <v>44317</v>
      </c>
    </row>
    <row r="145" spans="1:14" x14ac:dyDescent="0.35">
      <c r="A145" s="5" t="s">
        <v>361</v>
      </c>
      <c r="B145" s="5" t="s">
        <v>362</v>
      </c>
      <c r="C145" s="5" t="s">
        <v>251</v>
      </c>
      <c r="D145" s="5" t="s">
        <v>17</v>
      </c>
      <c r="E145" s="5" t="s">
        <v>35</v>
      </c>
      <c r="F145" s="5" t="s">
        <v>27</v>
      </c>
      <c r="G145" s="5" t="s">
        <v>28</v>
      </c>
      <c r="H145" s="5">
        <v>45</v>
      </c>
      <c r="I145" s="6">
        <v>38613</v>
      </c>
      <c r="J145" s="7">
        <v>67686</v>
      </c>
      <c r="K145" s="8">
        <v>0</v>
      </c>
      <c r="L145" s="5" t="s">
        <v>29</v>
      </c>
      <c r="M145" s="5" t="s">
        <v>114</v>
      </c>
      <c r="N145" s="6">
        <v>44317</v>
      </c>
    </row>
    <row r="146" spans="1:14" x14ac:dyDescent="0.35">
      <c r="A146" s="5" t="s">
        <v>363</v>
      </c>
      <c r="B146" s="5" t="s">
        <v>364</v>
      </c>
      <c r="C146" s="5" t="s">
        <v>25</v>
      </c>
      <c r="D146" s="5" t="s">
        <v>17</v>
      </c>
      <c r="E146" s="5" t="s">
        <v>18</v>
      </c>
      <c r="F146" s="5" t="s">
        <v>27</v>
      </c>
      <c r="G146" s="5" t="s">
        <v>85</v>
      </c>
      <c r="H146" s="5">
        <v>51</v>
      </c>
      <c r="I146" s="6">
        <v>39553</v>
      </c>
      <c r="J146" s="7">
        <v>86431</v>
      </c>
      <c r="K146" s="8">
        <v>0</v>
      </c>
      <c r="L146" s="5" t="s">
        <v>21</v>
      </c>
      <c r="M146" s="5" t="s">
        <v>88</v>
      </c>
      <c r="N146" s="6">
        <v>44317</v>
      </c>
    </row>
    <row r="147" spans="1:14" x14ac:dyDescent="0.35">
      <c r="A147" s="5" t="s">
        <v>365</v>
      </c>
      <c r="B147" s="5" t="s">
        <v>366</v>
      </c>
      <c r="C147" s="5" t="s">
        <v>52</v>
      </c>
      <c r="D147" s="5" t="s">
        <v>65</v>
      </c>
      <c r="E147" s="5" t="s">
        <v>26</v>
      </c>
      <c r="F147" s="5" t="s">
        <v>27</v>
      </c>
      <c r="G147" s="5" t="s">
        <v>28</v>
      </c>
      <c r="H147" s="5">
        <v>55</v>
      </c>
      <c r="I147" s="6">
        <v>35019</v>
      </c>
      <c r="J147" s="7">
        <v>125936</v>
      </c>
      <c r="K147" s="8">
        <v>0.08</v>
      </c>
      <c r="L147" s="5" t="s">
        <v>29</v>
      </c>
      <c r="M147" s="5" t="s">
        <v>30</v>
      </c>
      <c r="N147" s="6">
        <v>44317</v>
      </c>
    </row>
    <row r="148" spans="1:14" x14ac:dyDescent="0.35">
      <c r="A148" s="5" t="s">
        <v>367</v>
      </c>
      <c r="B148" s="5" t="s">
        <v>368</v>
      </c>
      <c r="C148" s="5" t="s">
        <v>16</v>
      </c>
      <c r="D148" s="5" t="s">
        <v>48</v>
      </c>
      <c r="E148" s="5" t="s">
        <v>49</v>
      </c>
      <c r="F148" s="5" t="s">
        <v>19</v>
      </c>
      <c r="G148" s="5" t="s">
        <v>36</v>
      </c>
      <c r="H148" s="5">
        <v>46</v>
      </c>
      <c r="I148" s="6">
        <v>41473</v>
      </c>
      <c r="J148" s="7">
        <v>149712</v>
      </c>
      <c r="K148" s="8">
        <v>0.14000000000000001</v>
      </c>
      <c r="L148" s="5" t="s">
        <v>21</v>
      </c>
      <c r="M148" s="5" t="s">
        <v>88</v>
      </c>
      <c r="N148" s="6">
        <v>44317</v>
      </c>
    </row>
    <row r="149" spans="1:14" x14ac:dyDescent="0.35">
      <c r="A149" s="5" t="s">
        <v>369</v>
      </c>
      <c r="B149" s="5" t="s">
        <v>370</v>
      </c>
      <c r="C149" s="5" t="s">
        <v>175</v>
      </c>
      <c r="D149" s="5" t="s">
        <v>69</v>
      </c>
      <c r="E149" s="5" t="s">
        <v>35</v>
      </c>
      <c r="F149" s="5" t="s">
        <v>27</v>
      </c>
      <c r="G149" s="5" t="s">
        <v>36</v>
      </c>
      <c r="H149" s="5">
        <v>30</v>
      </c>
      <c r="I149" s="6">
        <v>44471</v>
      </c>
      <c r="J149" s="7">
        <v>88758</v>
      </c>
      <c r="K149" s="8">
        <v>0</v>
      </c>
      <c r="L149" s="5" t="s">
        <v>21</v>
      </c>
      <c r="M149" s="5" t="s">
        <v>22</v>
      </c>
      <c r="N149" s="6">
        <v>44317</v>
      </c>
    </row>
    <row r="150" spans="1:14" x14ac:dyDescent="0.35">
      <c r="A150" s="5" t="s">
        <v>210</v>
      </c>
      <c r="B150" s="5" t="s">
        <v>371</v>
      </c>
      <c r="C150" s="5" t="s">
        <v>372</v>
      </c>
      <c r="D150" s="5" t="s">
        <v>17</v>
      </c>
      <c r="E150" s="5" t="s">
        <v>18</v>
      </c>
      <c r="F150" s="5" t="s">
        <v>27</v>
      </c>
      <c r="G150" s="5" t="s">
        <v>28</v>
      </c>
      <c r="H150" s="5">
        <v>54</v>
      </c>
      <c r="I150" s="6">
        <v>41468</v>
      </c>
      <c r="J150" s="7">
        <v>83639</v>
      </c>
      <c r="K150" s="8">
        <v>0</v>
      </c>
      <c r="L150" s="5" t="s">
        <v>29</v>
      </c>
      <c r="M150" s="5" t="s">
        <v>114</v>
      </c>
      <c r="N150" s="6">
        <v>44317</v>
      </c>
    </row>
    <row r="151" spans="1:14" x14ac:dyDescent="0.35">
      <c r="A151" s="5" t="s">
        <v>373</v>
      </c>
      <c r="B151" s="5" t="s">
        <v>374</v>
      </c>
      <c r="C151" s="5" t="s">
        <v>248</v>
      </c>
      <c r="D151" s="5" t="s">
        <v>17</v>
      </c>
      <c r="E151" s="5" t="s">
        <v>18</v>
      </c>
      <c r="F151" s="5" t="s">
        <v>19</v>
      </c>
      <c r="G151" s="5" t="s">
        <v>36</v>
      </c>
      <c r="H151" s="5">
        <v>54</v>
      </c>
      <c r="I151" s="6">
        <v>35933</v>
      </c>
      <c r="J151" s="7">
        <v>68268</v>
      </c>
      <c r="K151" s="8">
        <v>0</v>
      </c>
      <c r="L151" s="5" t="s">
        <v>21</v>
      </c>
      <c r="M151" s="5" t="s">
        <v>44</v>
      </c>
      <c r="N151" s="6">
        <v>44317</v>
      </c>
    </row>
    <row r="152" spans="1:14" x14ac:dyDescent="0.35">
      <c r="A152" s="5" t="s">
        <v>375</v>
      </c>
      <c r="B152" s="5" t="s">
        <v>376</v>
      </c>
      <c r="C152" s="5" t="s">
        <v>175</v>
      </c>
      <c r="D152" s="5" t="s">
        <v>69</v>
      </c>
      <c r="E152" s="5" t="s">
        <v>26</v>
      </c>
      <c r="F152" s="5" t="s">
        <v>27</v>
      </c>
      <c r="G152" s="5" t="s">
        <v>85</v>
      </c>
      <c r="H152" s="5">
        <v>45</v>
      </c>
      <c r="I152" s="6">
        <v>37313</v>
      </c>
      <c r="J152" s="7">
        <v>75819</v>
      </c>
      <c r="K152" s="8">
        <v>0</v>
      </c>
      <c r="L152" s="5" t="s">
        <v>93</v>
      </c>
      <c r="M152" s="5" t="s">
        <v>218</v>
      </c>
      <c r="N152" s="6">
        <v>44317</v>
      </c>
    </row>
    <row r="153" spans="1:14" x14ac:dyDescent="0.35">
      <c r="A153" s="5" t="s">
        <v>377</v>
      </c>
      <c r="B153" s="5" t="s">
        <v>378</v>
      </c>
      <c r="C153" s="5" t="s">
        <v>43</v>
      </c>
      <c r="D153" s="5" t="s">
        <v>48</v>
      </c>
      <c r="E153" s="5" t="s">
        <v>35</v>
      </c>
      <c r="F153" s="5" t="s">
        <v>19</v>
      </c>
      <c r="G153" s="5" t="s">
        <v>36</v>
      </c>
      <c r="H153" s="5">
        <v>49</v>
      </c>
      <c r="I153" s="6">
        <v>35200</v>
      </c>
      <c r="J153" s="7">
        <v>86658</v>
      </c>
      <c r="K153" s="8">
        <v>0</v>
      </c>
      <c r="L153" s="5" t="s">
        <v>21</v>
      </c>
      <c r="M153" s="5" t="s">
        <v>44</v>
      </c>
      <c r="N153" s="6">
        <v>44317</v>
      </c>
    </row>
    <row r="154" spans="1:14" x14ac:dyDescent="0.35">
      <c r="A154" s="5" t="s">
        <v>379</v>
      </c>
      <c r="B154" s="5" t="s">
        <v>380</v>
      </c>
      <c r="C154" s="5" t="s">
        <v>124</v>
      </c>
      <c r="D154" s="5" t="s">
        <v>34</v>
      </c>
      <c r="E154" s="5" t="s">
        <v>18</v>
      </c>
      <c r="F154" s="5" t="s">
        <v>27</v>
      </c>
      <c r="G154" s="5" t="s">
        <v>28</v>
      </c>
      <c r="H154" s="5">
        <v>55</v>
      </c>
      <c r="I154" s="6">
        <v>41714</v>
      </c>
      <c r="J154" s="7">
        <v>74552</v>
      </c>
      <c r="K154" s="8">
        <v>0</v>
      </c>
      <c r="L154" s="5" t="s">
        <v>29</v>
      </c>
      <c r="M154" s="5" t="s">
        <v>134</v>
      </c>
      <c r="N154" s="6">
        <v>44317</v>
      </c>
    </row>
    <row r="155" spans="1:14" x14ac:dyDescent="0.35">
      <c r="A155" s="5" t="s">
        <v>381</v>
      </c>
      <c r="B155" s="5" t="s">
        <v>382</v>
      </c>
      <c r="C155" s="5" t="s">
        <v>131</v>
      </c>
      <c r="D155" s="5" t="s">
        <v>17</v>
      </c>
      <c r="E155" s="5" t="s">
        <v>26</v>
      </c>
      <c r="F155" s="5" t="s">
        <v>19</v>
      </c>
      <c r="G155" s="5" t="s">
        <v>28</v>
      </c>
      <c r="H155" s="5">
        <v>62</v>
      </c>
      <c r="I155" s="6">
        <v>39887</v>
      </c>
      <c r="J155" s="7">
        <v>82839</v>
      </c>
      <c r="K155" s="8">
        <v>0</v>
      </c>
      <c r="L155" s="5" t="s">
        <v>21</v>
      </c>
      <c r="M155" s="5" t="s">
        <v>56</v>
      </c>
      <c r="N155" s="6">
        <v>44317</v>
      </c>
    </row>
    <row r="156" spans="1:14" x14ac:dyDescent="0.35">
      <c r="A156" s="5" t="s">
        <v>383</v>
      </c>
      <c r="B156" s="5" t="s">
        <v>384</v>
      </c>
      <c r="C156" s="5" t="s">
        <v>248</v>
      </c>
      <c r="D156" s="5" t="s">
        <v>17</v>
      </c>
      <c r="E156" s="5" t="s">
        <v>35</v>
      </c>
      <c r="F156" s="5" t="s">
        <v>19</v>
      </c>
      <c r="G156" s="5" t="s">
        <v>36</v>
      </c>
      <c r="H156" s="5">
        <v>28</v>
      </c>
      <c r="I156" s="6">
        <v>44477</v>
      </c>
      <c r="J156" s="7">
        <v>64475</v>
      </c>
      <c r="K156" s="8">
        <v>0</v>
      </c>
      <c r="L156" s="5" t="s">
        <v>21</v>
      </c>
      <c r="M156" s="5" t="s">
        <v>44</v>
      </c>
      <c r="N156" s="6">
        <v>44317</v>
      </c>
    </row>
    <row r="157" spans="1:14" x14ac:dyDescent="0.35">
      <c r="A157" s="5" t="s">
        <v>385</v>
      </c>
      <c r="B157" s="5" t="s">
        <v>386</v>
      </c>
      <c r="C157" s="5" t="s">
        <v>248</v>
      </c>
      <c r="D157" s="5" t="s">
        <v>17</v>
      </c>
      <c r="E157" s="5" t="s">
        <v>26</v>
      </c>
      <c r="F157" s="5" t="s">
        <v>27</v>
      </c>
      <c r="G157" s="5" t="s">
        <v>28</v>
      </c>
      <c r="H157" s="5">
        <v>33</v>
      </c>
      <c r="I157" s="6">
        <v>44036</v>
      </c>
      <c r="J157" s="7">
        <v>69453</v>
      </c>
      <c r="K157" s="8">
        <v>0</v>
      </c>
      <c r="L157" s="5" t="s">
        <v>29</v>
      </c>
      <c r="M157" s="5" t="s">
        <v>134</v>
      </c>
      <c r="N157" s="6">
        <v>44317</v>
      </c>
    </row>
    <row r="158" spans="1:14" x14ac:dyDescent="0.35">
      <c r="A158" s="5" t="s">
        <v>387</v>
      </c>
      <c r="B158" s="5" t="s">
        <v>388</v>
      </c>
      <c r="C158" s="5" t="s">
        <v>52</v>
      </c>
      <c r="D158" s="5" t="s">
        <v>17</v>
      </c>
      <c r="E158" s="5" t="s">
        <v>49</v>
      </c>
      <c r="F158" s="5" t="s">
        <v>27</v>
      </c>
      <c r="G158" s="5" t="s">
        <v>36</v>
      </c>
      <c r="H158" s="5">
        <v>32</v>
      </c>
      <c r="I158" s="6">
        <v>41642</v>
      </c>
      <c r="J158" s="7">
        <v>127148</v>
      </c>
      <c r="K158" s="8">
        <v>0.1</v>
      </c>
      <c r="L158" s="5" t="s">
        <v>21</v>
      </c>
      <c r="M158" s="5" t="s">
        <v>56</v>
      </c>
      <c r="N158" s="6">
        <v>44317</v>
      </c>
    </row>
    <row r="159" spans="1:14" x14ac:dyDescent="0.35">
      <c r="A159" s="5" t="s">
        <v>389</v>
      </c>
      <c r="B159" s="5" t="s">
        <v>390</v>
      </c>
      <c r="C159" s="5" t="s">
        <v>79</v>
      </c>
      <c r="D159" s="5" t="s">
        <v>34</v>
      </c>
      <c r="E159" s="5" t="s">
        <v>35</v>
      </c>
      <c r="F159" s="5" t="s">
        <v>19</v>
      </c>
      <c r="G159" s="5" t="s">
        <v>36</v>
      </c>
      <c r="H159" s="5">
        <v>32</v>
      </c>
      <c r="I159" s="6">
        <v>43102</v>
      </c>
      <c r="J159" s="7">
        <v>190253</v>
      </c>
      <c r="K159" s="8">
        <v>0.33</v>
      </c>
      <c r="L159" s="5" t="s">
        <v>21</v>
      </c>
      <c r="M159" s="5" t="s">
        <v>60</v>
      </c>
      <c r="N159" s="6">
        <v>44317</v>
      </c>
    </row>
    <row r="160" spans="1:14" x14ac:dyDescent="0.35">
      <c r="A160" s="5" t="s">
        <v>228</v>
      </c>
      <c r="B160" s="5" t="s">
        <v>391</v>
      </c>
      <c r="C160" s="5" t="s">
        <v>52</v>
      </c>
      <c r="D160" s="5" t="s">
        <v>59</v>
      </c>
      <c r="E160" s="5" t="s">
        <v>18</v>
      </c>
      <c r="F160" s="5" t="s">
        <v>27</v>
      </c>
      <c r="G160" s="5" t="s">
        <v>36</v>
      </c>
      <c r="H160" s="5">
        <v>55</v>
      </c>
      <c r="I160" s="6">
        <v>36644</v>
      </c>
      <c r="J160" s="7">
        <v>115798</v>
      </c>
      <c r="K160" s="8">
        <v>0.05</v>
      </c>
      <c r="L160" s="5" t="s">
        <v>21</v>
      </c>
      <c r="M160" s="5" t="s">
        <v>56</v>
      </c>
      <c r="N160" s="6">
        <v>44317</v>
      </c>
    </row>
    <row r="161" spans="1:14" x14ac:dyDescent="0.35">
      <c r="A161" s="5" t="s">
        <v>246</v>
      </c>
      <c r="B161" s="5" t="s">
        <v>392</v>
      </c>
      <c r="C161" s="5" t="s">
        <v>143</v>
      </c>
      <c r="D161" s="5" t="s">
        <v>65</v>
      </c>
      <c r="E161" s="5" t="s">
        <v>18</v>
      </c>
      <c r="F161" s="5" t="s">
        <v>19</v>
      </c>
      <c r="G161" s="5" t="s">
        <v>28</v>
      </c>
      <c r="H161" s="5">
        <v>58</v>
      </c>
      <c r="I161" s="6">
        <v>34567</v>
      </c>
      <c r="J161" s="7">
        <v>93102</v>
      </c>
      <c r="K161" s="8">
        <v>0</v>
      </c>
      <c r="L161" s="5" t="s">
        <v>21</v>
      </c>
      <c r="M161" s="5" t="s">
        <v>22</v>
      </c>
      <c r="N161" s="6">
        <v>41621</v>
      </c>
    </row>
    <row r="162" spans="1:14" x14ac:dyDescent="0.35">
      <c r="A162" s="5" t="s">
        <v>393</v>
      </c>
      <c r="B162" s="5" t="s">
        <v>394</v>
      </c>
      <c r="C162" s="5" t="s">
        <v>113</v>
      </c>
      <c r="D162" s="5" t="s">
        <v>69</v>
      </c>
      <c r="E162" s="5" t="s">
        <v>35</v>
      </c>
      <c r="F162" s="5" t="s">
        <v>27</v>
      </c>
      <c r="G162" s="5" t="s">
        <v>28</v>
      </c>
      <c r="H162" s="5">
        <v>34</v>
      </c>
      <c r="I162" s="6">
        <v>43055</v>
      </c>
      <c r="J162" s="7">
        <v>110054</v>
      </c>
      <c r="K162" s="8">
        <v>0.15</v>
      </c>
      <c r="L162" s="5" t="s">
        <v>21</v>
      </c>
      <c r="M162" s="5" t="s">
        <v>56</v>
      </c>
      <c r="N162" s="6">
        <v>41621</v>
      </c>
    </row>
    <row r="163" spans="1:14" x14ac:dyDescent="0.35">
      <c r="A163" s="5" t="s">
        <v>395</v>
      </c>
      <c r="B163" s="5" t="s">
        <v>396</v>
      </c>
      <c r="C163" s="5" t="s">
        <v>108</v>
      </c>
      <c r="D163" s="5" t="s">
        <v>69</v>
      </c>
      <c r="E163" s="5" t="s">
        <v>18</v>
      </c>
      <c r="F163" s="5" t="s">
        <v>19</v>
      </c>
      <c r="G163" s="5" t="s">
        <v>20</v>
      </c>
      <c r="H163" s="5">
        <v>27</v>
      </c>
      <c r="I163" s="6">
        <v>44224</v>
      </c>
      <c r="J163" s="7">
        <v>95786</v>
      </c>
      <c r="K163" s="8">
        <v>0</v>
      </c>
      <c r="L163" s="5" t="s">
        <v>21</v>
      </c>
      <c r="M163" s="5" t="s">
        <v>37</v>
      </c>
      <c r="N163" s="6">
        <v>41621</v>
      </c>
    </row>
    <row r="164" spans="1:14" x14ac:dyDescent="0.35">
      <c r="A164" s="5" t="s">
        <v>397</v>
      </c>
      <c r="B164" s="5" t="s">
        <v>398</v>
      </c>
      <c r="C164" s="5" t="s">
        <v>43</v>
      </c>
      <c r="D164" s="5" t="s">
        <v>48</v>
      </c>
      <c r="E164" s="5" t="s">
        <v>35</v>
      </c>
      <c r="F164" s="5" t="s">
        <v>27</v>
      </c>
      <c r="G164" s="5" t="s">
        <v>85</v>
      </c>
      <c r="H164" s="5">
        <v>61</v>
      </c>
      <c r="I164" s="6">
        <v>42858</v>
      </c>
      <c r="J164" s="7">
        <v>90855</v>
      </c>
      <c r="K164" s="8">
        <v>0</v>
      </c>
      <c r="L164" s="5" t="s">
        <v>93</v>
      </c>
      <c r="M164" s="5" t="s">
        <v>218</v>
      </c>
      <c r="N164" s="6">
        <v>41621</v>
      </c>
    </row>
    <row r="165" spans="1:14" x14ac:dyDescent="0.35">
      <c r="A165" s="5" t="s">
        <v>399</v>
      </c>
      <c r="B165" s="5" t="s">
        <v>400</v>
      </c>
      <c r="C165" s="5" t="s">
        <v>131</v>
      </c>
      <c r="D165" s="5" t="s">
        <v>17</v>
      </c>
      <c r="E165" s="5" t="s">
        <v>26</v>
      </c>
      <c r="F165" s="5" t="s">
        <v>27</v>
      </c>
      <c r="G165" s="5" t="s">
        <v>85</v>
      </c>
      <c r="H165" s="5">
        <v>47</v>
      </c>
      <c r="I165" s="6">
        <v>36233</v>
      </c>
      <c r="J165" s="7">
        <v>92897</v>
      </c>
      <c r="K165" s="8">
        <v>0</v>
      </c>
      <c r="L165" s="5" t="s">
        <v>93</v>
      </c>
      <c r="M165" s="5" t="s">
        <v>218</v>
      </c>
      <c r="N165" s="6">
        <v>41621</v>
      </c>
    </row>
    <row r="166" spans="1:14" x14ac:dyDescent="0.35">
      <c r="A166" s="5" t="s">
        <v>401</v>
      </c>
      <c r="B166" s="5" t="s">
        <v>402</v>
      </c>
      <c r="C166" s="5" t="s">
        <v>79</v>
      </c>
      <c r="D166" s="5" t="s">
        <v>80</v>
      </c>
      <c r="E166" s="5" t="s">
        <v>35</v>
      </c>
      <c r="F166" s="5" t="s">
        <v>27</v>
      </c>
      <c r="G166" s="5" t="s">
        <v>28</v>
      </c>
      <c r="H166" s="5">
        <v>40</v>
      </c>
      <c r="I166" s="6">
        <v>39872</v>
      </c>
      <c r="J166" s="7">
        <v>242919</v>
      </c>
      <c r="K166" s="8">
        <v>0.31</v>
      </c>
      <c r="L166" s="5" t="s">
        <v>29</v>
      </c>
      <c r="M166" s="5" t="s">
        <v>30</v>
      </c>
      <c r="N166" s="6">
        <v>41621</v>
      </c>
    </row>
    <row r="167" spans="1:14" x14ac:dyDescent="0.35">
      <c r="A167" s="5" t="s">
        <v>403</v>
      </c>
      <c r="B167" s="5" t="s">
        <v>404</v>
      </c>
      <c r="C167" s="5" t="s">
        <v>33</v>
      </c>
      <c r="D167" s="5" t="s">
        <v>69</v>
      </c>
      <c r="E167" s="5" t="s">
        <v>35</v>
      </c>
      <c r="F167" s="5" t="s">
        <v>27</v>
      </c>
      <c r="G167" s="5" t="s">
        <v>36</v>
      </c>
      <c r="H167" s="5">
        <v>30</v>
      </c>
      <c r="I167" s="6">
        <v>43240</v>
      </c>
      <c r="J167" s="7">
        <v>184368</v>
      </c>
      <c r="K167" s="8">
        <v>0.28999999999999998</v>
      </c>
      <c r="L167" s="5" t="s">
        <v>21</v>
      </c>
      <c r="M167" s="5" t="s">
        <v>60</v>
      </c>
      <c r="N167" s="6">
        <v>41621</v>
      </c>
    </row>
    <row r="168" spans="1:14" x14ac:dyDescent="0.35">
      <c r="A168" s="5" t="s">
        <v>405</v>
      </c>
      <c r="B168" s="5" t="s">
        <v>406</v>
      </c>
      <c r="C168" s="5" t="s">
        <v>16</v>
      </c>
      <c r="D168" s="5" t="s">
        <v>34</v>
      </c>
      <c r="E168" s="5" t="s">
        <v>49</v>
      </c>
      <c r="F168" s="5" t="s">
        <v>27</v>
      </c>
      <c r="G168" s="5" t="s">
        <v>85</v>
      </c>
      <c r="H168" s="5">
        <v>45</v>
      </c>
      <c r="I168" s="6">
        <v>44554</v>
      </c>
      <c r="J168" s="7">
        <v>144754</v>
      </c>
      <c r="K168" s="8">
        <v>0.15</v>
      </c>
      <c r="L168" s="5" t="s">
        <v>21</v>
      </c>
      <c r="M168" s="5" t="s">
        <v>44</v>
      </c>
      <c r="N168" s="6">
        <v>41621</v>
      </c>
    </row>
    <row r="169" spans="1:14" x14ac:dyDescent="0.35">
      <c r="A169" s="5" t="s">
        <v>407</v>
      </c>
      <c r="B169" s="5" t="s">
        <v>408</v>
      </c>
      <c r="C169" s="5" t="s">
        <v>294</v>
      </c>
      <c r="D169" s="5" t="s">
        <v>48</v>
      </c>
      <c r="E169" s="5" t="s">
        <v>18</v>
      </c>
      <c r="F169" s="5" t="s">
        <v>19</v>
      </c>
      <c r="G169" s="5" t="s">
        <v>36</v>
      </c>
      <c r="H169" s="5">
        <v>30</v>
      </c>
      <c r="I169" s="6">
        <v>42722</v>
      </c>
      <c r="J169" s="7">
        <v>89458</v>
      </c>
      <c r="K169" s="8">
        <v>0</v>
      </c>
      <c r="L169" s="5" t="s">
        <v>21</v>
      </c>
      <c r="M169" s="5" t="s">
        <v>60</v>
      </c>
      <c r="N169" s="6">
        <v>41621</v>
      </c>
    </row>
    <row r="170" spans="1:14" x14ac:dyDescent="0.35">
      <c r="A170" s="5" t="s">
        <v>409</v>
      </c>
      <c r="B170" s="5" t="s">
        <v>410</v>
      </c>
      <c r="C170" s="5" t="s">
        <v>79</v>
      </c>
      <c r="D170" s="5" t="s">
        <v>59</v>
      </c>
      <c r="E170" s="5" t="s">
        <v>49</v>
      </c>
      <c r="F170" s="5" t="s">
        <v>19</v>
      </c>
      <c r="G170" s="5" t="s">
        <v>28</v>
      </c>
      <c r="H170" s="5">
        <v>56</v>
      </c>
      <c r="I170" s="6">
        <v>41714</v>
      </c>
      <c r="J170" s="7">
        <v>190815</v>
      </c>
      <c r="K170" s="8">
        <v>0.4</v>
      </c>
      <c r="L170" s="5" t="s">
        <v>21</v>
      </c>
      <c r="M170" s="5" t="s">
        <v>60</v>
      </c>
      <c r="N170" s="6">
        <v>41621</v>
      </c>
    </row>
    <row r="171" spans="1:14" x14ac:dyDescent="0.35">
      <c r="A171" s="5" t="s">
        <v>411</v>
      </c>
      <c r="B171" s="5" t="s">
        <v>200</v>
      </c>
      <c r="C171" s="5" t="s">
        <v>16</v>
      </c>
      <c r="D171" s="5" t="s">
        <v>48</v>
      </c>
      <c r="E171" s="5" t="s">
        <v>18</v>
      </c>
      <c r="F171" s="5" t="s">
        <v>19</v>
      </c>
      <c r="G171" s="5" t="s">
        <v>36</v>
      </c>
      <c r="H171" s="5">
        <v>62</v>
      </c>
      <c r="I171" s="6">
        <v>36374</v>
      </c>
      <c r="J171" s="7">
        <v>137995</v>
      </c>
      <c r="K171" s="8">
        <v>0.14000000000000001</v>
      </c>
      <c r="L171" s="5" t="s">
        <v>21</v>
      </c>
      <c r="M171" s="5" t="s">
        <v>60</v>
      </c>
      <c r="N171" s="6">
        <v>41621</v>
      </c>
    </row>
    <row r="172" spans="1:14" x14ac:dyDescent="0.35">
      <c r="A172" s="5" t="s">
        <v>412</v>
      </c>
      <c r="B172" s="5" t="s">
        <v>413</v>
      </c>
      <c r="C172" s="5" t="s">
        <v>143</v>
      </c>
      <c r="D172" s="5" t="s">
        <v>65</v>
      </c>
      <c r="E172" s="5" t="s">
        <v>26</v>
      </c>
      <c r="F172" s="5" t="s">
        <v>19</v>
      </c>
      <c r="G172" s="5" t="s">
        <v>85</v>
      </c>
      <c r="H172" s="5">
        <v>45</v>
      </c>
      <c r="I172" s="6">
        <v>39437</v>
      </c>
      <c r="J172" s="7">
        <v>93840</v>
      </c>
      <c r="K172" s="8">
        <v>0</v>
      </c>
      <c r="L172" s="5" t="s">
        <v>93</v>
      </c>
      <c r="M172" s="5" t="s">
        <v>94</v>
      </c>
      <c r="N172" s="6">
        <v>41621</v>
      </c>
    </row>
    <row r="173" spans="1:14" x14ac:dyDescent="0.35">
      <c r="A173" s="5" t="s">
        <v>414</v>
      </c>
      <c r="B173" s="5" t="s">
        <v>415</v>
      </c>
      <c r="C173" s="5" t="s">
        <v>25</v>
      </c>
      <c r="D173" s="5" t="s">
        <v>17</v>
      </c>
      <c r="E173" s="5" t="s">
        <v>18</v>
      </c>
      <c r="F173" s="5" t="s">
        <v>27</v>
      </c>
      <c r="G173" s="5" t="s">
        <v>28</v>
      </c>
      <c r="H173" s="5">
        <v>46</v>
      </c>
      <c r="I173" s="6">
        <v>44495</v>
      </c>
      <c r="J173" s="7">
        <v>94790</v>
      </c>
      <c r="K173" s="8">
        <v>0</v>
      </c>
      <c r="L173" s="5" t="s">
        <v>29</v>
      </c>
      <c r="M173" s="5" t="s">
        <v>30</v>
      </c>
      <c r="N173" s="6">
        <v>41621</v>
      </c>
    </row>
    <row r="174" spans="1:14" x14ac:dyDescent="0.35">
      <c r="A174" s="5" t="s">
        <v>416</v>
      </c>
      <c r="B174" s="5" t="s">
        <v>417</v>
      </c>
      <c r="C174" s="5" t="s">
        <v>79</v>
      </c>
      <c r="D174" s="5" t="s">
        <v>65</v>
      </c>
      <c r="E174" s="5" t="s">
        <v>18</v>
      </c>
      <c r="F174" s="5" t="s">
        <v>27</v>
      </c>
      <c r="G174" s="5" t="s">
        <v>28</v>
      </c>
      <c r="H174" s="5">
        <v>48</v>
      </c>
      <c r="I174" s="6">
        <v>41706</v>
      </c>
      <c r="J174" s="7">
        <v>197367</v>
      </c>
      <c r="K174" s="8">
        <v>0.39</v>
      </c>
      <c r="L174" s="5" t="s">
        <v>21</v>
      </c>
      <c r="M174" s="5" t="s">
        <v>60</v>
      </c>
      <c r="N174" s="6">
        <v>41621</v>
      </c>
    </row>
    <row r="175" spans="1:14" x14ac:dyDescent="0.35">
      <c r="A175" s="5" t="s">
        <v>418</v>
      </c>
      <c r="B175" s="5" t="s">
        <v>419</v>
      </c>
      <c r="C175" s="5" t="s">
        <v>33</v>
      </c>
      <c r="D175" s="5" t="s">
        <v>59</v>
      </c>
      <c r="E175" s="5" t="s">
        <v>26</v>
      </c>
      <c r="F175" s="5" t="s">
        <v>19</v>
      </c>
      <c r="G175" s="5" t="s">
        <v>85</v>
      </c>
      <c r="H175" s="5">
        <v>27</v>
      </c>
      <c r="I175" s="6">
        <v>43276</v>
      </c>
      <c r="J175" s="7">
        <v>174097</v>
      </c>
      <c r="K175" s="8">
        <v>0.21</v>
      </c>
      <c r="L175" s="5" t="s">
        <v>21</v>
      </c>
      <c r="M175" s="5" t="s">
        <v>44</v>
      </c>
      <c r="N175" s="6">
        <v>41621</v>
      </c>
    </row>
    <row r="176" spans="1:14" x14ac:dyDescent="0.35">
      <c r="A176" s="5" t="s">
        <v>420</v>
      </c>
      <c r="B176" s="5" t="s">
        <v>421</v>
      </c>
      <c r="C176" s="5" t="s">
        <v>52</v>
      </c>
      <c r="D176" s="5" t="s">
        <v>17</v>
      </c>
      <c r="E176" s="5" t="s">
        <v>35</v>
      </c>
      <c r="F176" s="5" t="s">
        <v>27</v>
      </c>
      <c r="G176" s="5" t="s">
        <v>85</v>
      </c>
      <c r="H176" s="5">
        <v>53</v>
      </c>
      <c r="I176" s="6">
        <v>39021</v>
      </c>
      <c r="J176" s="7">
        <v>120128</v>
      </c>
      <c r="K176" s="8">
        <v>0.1</v>
      </c>
      <c r="L176" s="5" t="s">
        <v>21</v>
      </c>
      <c r="M176" s="5" t="s">
        <v>60</v>
      </c>
      <c r="N176" s="6">
        <v>41621</v>
      </c>
    </row>
    <row r="177" spans="1:14" x14ac:dyDescent="0.35">
      <c r="A177" s="5" t="s">
        <v>422</v>
      </c>
      <c r="B177" s="5" t="s">
        <v>423</v>
      </c>
      <c r="C177" s="5" t="s">
        <v>52</v>
      </c>
      <c r="D177" s="5" t="s">
        <v>80</v>
      </c>
      <c r="E177" s="5" t="s">
        <v>26</v>
      </c>
      <c r="F177" s="5" t="s">
        <v>19</v>
      </c>
      <c r="G177" s="5" t="s">
        <v>36</v>
      </c>
      <c r="H177" s="5">
        <v>59</v>
      </c>
      <c r="I177" s="6">
        <v>39197</v>
      </c>
      <c r="J177" s="7">
        <v>129708</v>
      </c>
      <c r="K177" s="8">
        <v>0.05</v>
      </c>
      <c r="L177" s="5" t="s">
        <v>21</v>
      </c>
      <c r="M177" s="5" t="s">
        <v>56</v>
      </c>
      <c r="N177" s="6">
        <v>41621</v>
      </c>
    </row>
    <row r="178" spans="1:14" x14ac:dyDescent="0.35">
      <c r="A178" s="5" t="s">
        <v>424</v>
      </c>
      <c r="B178" s="5" t="s">
        <v>425</v>
      </c>
      <c r="C178" s="5" t="s">
        <v>52</v>
      </c>
      <c r="D178" s="5" t="s">
        <v>80</v>
      </c>
      <c r="E178" s="5" t="s">
        <v>18</v>
      </c>
      <c r="F178" s="5" t="s">
        <v>27</v>
      </c>
      <c r="G178" s="5" t="s">
        <v>28</v>
      </c>
      <c r="H178" s="5">
        <v>55</v>
      </c>
      <c r="I178" s="6">
        <v>34595</v>
      </c>
      <c r="J178" s="7">
        <v>102270</v>
      </c>
      <c r="K178" s="8">
        <v>0.1</v>
      </c>
      <c r="L178" s="5" t="s">
        <v>21</v>
      </c>
      <c r="M178" s="5" t="s">
        <v>37</v>
      </c>
      <c r="N178" s="6">
        <v>41621</v>
      </c>
    </row>
    <row r="179" spans="1:14" x14ac:dyDescent="0.35">
      <c r="A179" s="5" t="s">
        <v>426</v>
      </c>
      <c r="B179" s="5" t="s">
        <v>427</v>
      </c>
      <c r="C179" s="5" t="s">
        <v>79</v>
      </c>
      <c r="D179" s="5" t="s">
        <v>34</v>
      </c>
      <c r="E179" s="5" t="s">
        <v>35</v>
      </c>
      <c r="F179" s="5" t="s">
        <v>19</v>
      </c>
      <c r="G179" s="5" t="s">
        <v>28</v>
      </c>
      <c r="H179" s="5">
        <v>43</v>
      </c>
      <c r="I179" s="6">
        <v>38564</v>
      </c>
      <c r="J179" s="7">
        <v>249686</v>
      </c>
      <c r="K179" s="8">
        <v>0.31</v>
      </c>
      <c r="L179" s="5" t="s">
        <v>29</v>
      </c>
      <c r="M179" s="5" t="s">
        <v>30</v>
      </c>
      <c r="N179" s="6">
        <v>41621</v>
      </c>
    </row>
    <row r="180" spans="1:14" x14ac:dyDescent="0.35">
      <c r="A180" s="5" t="s">
        <v>428</v>
      </c>
      <c r="B180" s="5" t="s">
        <v>429</v>
      </c>
      <c r="C180" s="5" t="s">
        <v>55</v>
      </c>
      <c r="D180" s="5" t="s">
        <v>34</v>
      </c>
      <c r="E180" s="5" t="s">
        <v>26</v>
      </c>
      <c r="F180" s="5" t="s">
        <v>19</v>
      </c>
      <c r="G180" s="5" t="s">
        <v>28</v>
      </c>
      <c r="H180" s="5">
        <v>55</v>
      </c>
      <c r="I180" s="6">
        <v>37343</v>
      </c>
      <c r="J180" s="7">
        <v>50475</v>
      </c>
      <c r="K180" s="8">
        <v>0</v>
      </c>
      <c r="L180" s="5" t="s">
        <v>21</v>
      </c>
      <c r="M180" s="5" t="s">
        <v>88</v>
      </c>
      <c r="N180" s="6">
        <v>41621</v>
      </c>
    </row>
    <row r="181" spans="1:14" x14ac:dyDescent="0.35">
      <c r="A181" s="5" t="s">
        <v>430</v>
      </c>
      <c r="B181" s="5" t="s">
        <v>431</v>
      </c>
      <c r="C181" s="5" t="s">
        <v>52</v>
      </c>
      <c r="D181" s="5" t="s">
        <v>80</v>
      </c>
      <c r="E181" s="5" t="s">
        <v>18</v>
      </c>
      <c r="F181" s="5" t="s">
        <v>27</v>
      </c>
      <c r="G181" s="5" t="s">
        <v>36</v>
      </c>
      <c r="H181" s="5">
        <v>51</v>
      </c>
      <c r="I181" s="6">
        <v>44014</v>
      </c>
      <c r="J181" s="7">
        <v>100099</v>
      </c>
      <c r="K181" s="8">
        <v>0.08</v>
      </c>
      <c r="L181" s="5" t="s">
        <v>21</v>
      </c>
      <c r="M181" s="5" t="s">
        <v>56</v>
      </c>
      <c r="N181" s="6">
        <v>41621</v>
      </c>
    </row>
    <row r="182" spans="1:14" x14ac:dyDescent="0.35">
      <c r="A182" s="5" t="s">
        <v>432</v>
      </c>
      <c r="B182" s="5" t="s">
        <v>433</v>
      </c>
      <c r="C182" s="5" t="s">
        <v>119</v>
      </c>
      <c r="D182" s="5" t="s">
        <v>17</v>
      </c>
      <c r="E182" s="5" t="s">
        <v>26</v>
      </c>
      <c r="F182" s="5" t="s">
        <v>19</v>
      </c>
      <c r="G182" s="5" t="s">
        <v>36</v>
      </c>
      <c r="H182" s="5">
        <v>54</v>
      </c>
      <c r="I182" s="6">
        <v>42731</v>
      </c>
      <c r="J182" s="7">
        <v>41673</v>
      </c>
      <c r="K182" s="8">
        <v>0</v>
      </c>
      <c r="L182" s="5" t="s">
        <v>21</v>
      </c>
      <c r="M182" s="5" t="s">
        <v>56</v>
      </c>
      <c r="N182" s="6">
        <v>41621</v>
      </c>
    </row>
    <row r="183" spans="1:14" x14ac:dyDescent="0.35">
      <c r="A183" s="5" t="s">
        <v>434</v>
      </c>
      <c r="B183" s="5" t="s">
        <v>435</v>
      </c>
      <c r="C183" s="5" t="s">
        <v>43</v>
      </c>
      <c r="D183" s="5" t="s">
        <v>80</v>
      </c>
      <c r="E183" s="5" t="s">
        <v>35</v>
      </c>
      <c r="F183" s="5" t="s">
        <v>19</v>
      </c>
      <c r="G183" s="5" t="s">
        <v>28</v>
      </c>
      <c r="H183" s="5">
        <v>47</v>
      </c>
      <c r="I183" s="6">
        <v>42928</v>
      </c>
      <c r="J183" s="7">
        <v>70996</v>
      </c>
      <c r="K183" s="8">
        <v>0</v>
      </c>
      <c r="L183" s="5" t="s">
        <v>29</v>
      </c>
      <c r="M183" s="5" t="s">
        <v>134</v>
      </c>
      <c r="N183" s="6">
        <v>41621</v>
      </c>
    </row>
    <row r="184" spans="1:14" x14ac:dyDescent="0.35">
      <c r="A184" s="5" t="s">
        <v>436</v>
      </c>
      <c r="B184" s="5" t="s">
        <v>437</v>
      </c>
      <c r="C184" s="5" t="s">
        <v>55</v>
      </c>
      <c r="D184" s="5" t="s">
        <v>80</v>
      </c>
      <c r="E184" s="5" t="s">
        <v>49</v>
      </c>
      <c r="F184" s="5" t="s">
        <v>27</v>
      </c>
      <c r="G184" s="5" t="s">
        <v>36</v>
      </c>
      <c r="H184" s="5">
        <v>55</v>
      </c>
      <c r="I184" s="6">
        <v>38328</v>
      </c>
      <c r="J184" s="7">
        <v>40752</v>
      </c>
      <c r="K184" s="8">
        <v>0</v>
      </c>
      <c r="L184" s="5" t="s">
        <v>21</v>
      </c>
      <c r="M184" s="5" t="s">
        <v>44</v>
      </c>
      <c r="N184" s="6">
        <v>41621</v>
      </c>
    </row>
    <row r="185" spans="1:14" x14ac:dyDescent="0.35">
      <c r="A185" s="5" t="s">
        <v>438</v>
      </c>
      <c r="B185" s="5" t="s">
        <v>439</v>
      </c>
      <c r="C185" s="5" t="s">
        <v>251</v>
      </c>
      <c r="D185" s="5" t="s">
        <v>17</v>
      </c>
      <c r="E185" s="5" t="s">
        <v>26</v>
      </c>
      <c r="F185" s="5" t="s">
        <v>19</v>
      </c>
      <c r="G185" s="5" t="s">
        <v>28</v>
      </c>
      <c r="H185" s="5">
        <v>50</v>
      </c>
      <c r="I185" s="6">
        <v>36914</v>
      </c>
      <c r="J185" s="7">
        <v>97537</v>
      </c>
      <c r="K185" s="8">
        <v>0</v>
      </c>
      <c r="L185" s="5" t="s">
        <v>29</v>
      </c>
      <c r="M185" s="5" t="s">
        <v>134</v>
      </c>
      <c r="N185" s="6">
        <v>41621</v>
      </c>
    </row>
    <row r="186" spans="1:14" x14ac:dyDescent="0.35">
      <c r="A186" s="5" t="s">
        <v>440</v>
      </c>
      <c r="B186" s="5" t="s">
        <v>441</v>
      </c>
      <c r="C186" s="5" t="s">
        <v>442</v>
      </c>
      <c r="D186" s="5" t="s">
        <v>17</v>
      </c>
      <c r="E186" s="5" t="s">
        <v>18</v>
      </c>
      <c r="F186" s="5" t="s">
        <v>27</v>
      </c>
      <c r="G186" s="5" t="s">
        <v>28</v>
      </c>
      <c r="H186" s="5">
        <v>31</v>
      </c>
      <c r="I186" s="6">
        <v>44086</v>
      </c>
      <c r="J186" s="7">
        <v>96567</v>
      </c>
      <c r="K186" s="8">
        <v>0</v>
      </c>
      <c r="L186" s="5" t="s">
        <v>29</v>
      </c>
      <c r="M186" s="5" t="s">
        <v>74</v>
      </c>
      <c r="N186" s="6">
        <v>41621</v>
      </c>
    </row>
    <row r="187" spans="1:14" x14ac:dyDescent="0.35">
      <c r="A187" s="5" t="s">
        <v>100</v>
      </c>
      <c r="B187" s="5" t="s">
        <v>443</v>
      </c>
      <c r="C187" s="5" t="s">
        <v>330</v>
      </c>
      <c r="D187" s="5" t="s">
        <v>17</v>
      </c>
      <c r="E187" s="5" t="s">
        <v>35</v>
      </c>
      <c r="F187" s="5" t="s">
        <v>27</v>
      </c>
      <c r="G187" s="5" t="s">
        <v>28</v>
      </c>
      <c r="H187" s="5">
        <v>47</v>
      </c>
      <c r="I187" s="6">
        <v>36229</v>
      </c>
      <c r="J187" s="7">
        <v>49404</v>
      </c>
      <c r="K187" s="8">
        <v>0</v>
      </c>
      <c r="L187" s="5" t="s">
        <v>29</v>
      </c>
      <c r="M187" s="5" t="s">
        <v>114</v>
      </c>
      <c r="N187" s="6">
        <v>41621</v>
      </c>
    </row>
    <row r="188" spans="1:14" x14ac:dyDescent="0.35">
      <c r="A188" s="5" t="s">
        <v>444</v>
      </c>
      <c r="B188" s="5" t="s">
        <v>445</v>
      </c>
      <c r="C188" s="5" t="s">
        <v>442</v>
      </c>
      <c r="D188" s="5" t="s">
        <v>17</v>
      </c>
      <c r="E188" s="5" t="s">
        <v>18</v>
      </c>
      <c r="F188" s="5" t="s">
        <v>27</v>
      </c>
      <c r="G188" s="5" t="s">
        <v>85</v>
      </c>
      <c r="H188" s="5">
        <v>29</v>
      </c>
      <c r="I188" s="6">
        <v>43753</v>
      </c>
      <c r="J188" s="7">
        <v>66819</v>
      </c>
      <c r="K188" s="8">
        <v>0</v>
      </c>
      <c r="L188" s="5" t="s">
        <v>93</v>
      </c>
      <c r="M188" s="5" t="s">
        <v>99</v>
      </c>
      <c r="N188" s="6">
        <v>41621</v>
      </c>
    </row>
    <row r="189" spans="1:14" x14ac:dyDescent="0.35">
      <c r="A189" s="5" t="s">
        <v>446</v>
      </c>
      <c r="B189" s="5" t="s">
        <v>447</v>
      </c>
      <c r="C189" s="5" t="s">
        <v>55</v>
      </c>
      <c r="D189" s="5" t="s">
        <v>80</v>
      </c>
      <c r="E189" s="5" t="s">
        <v>35</v>
      </c>
      <c r="F189" s="5" t="s">
        <v>27</v>
      </c>
      <c r="G189" s="5" t="s">
        <v>85</v>
      </c>
      <c r="H189" s="5">
        <v>38</v>
      </c>
      <c r="I189" s="6">
        <v>42492</v>
      </c>
      <c r="J189" s="7">
        <v>50784</v>
      </c>
      <c r="K189" s="8">
        <v>0</v>
      </c>
      <c r="L189" s="5" t="s">
        <v>93</v>
      </c>
      <c r="M189" s="5" t="s">
        <v>99</v>
      </c>
      <c r="N189" s="6">
        <v>41621</v>
      </c>
    </row>
    <row r="190" spans="1:14" x14ac:dyDescent="0.35">
      <c r="A190" s="5" t="s">
        <v>448</v>
      </c>
      <c r="B190" s="5" t="s">
        <v>449</v>
      </c>
      <c r="C190" s="5" t="s">
        <v>16</v>
      </c>
      <c r="D190" s="5" t="s">
        <v>65</v>
      </c>
      <c r="E190" s="5" t="s">
        <v>18</v>
      </c>
      <c r="F190" s="5" t="s">
        <v>27</v>
      </c>
      <c r="G190" s="5" t="s">
        <v>85</v>
      </c>
      <c r="H190" s="5">
        <v>29</v>
      </c>
      <c r="I190" s="6">
        <v>43594</v>
      </c>
      <c r="J190" s="7">
        <v>125828</v>
      </c>
      <c r="K190" s="8">
        <v>0.15</v>
      </c>
      <c r="L190" s="5" t="s">
        <v>93</v>
      </c>
      <c r="M190" s="5" t="s">
        <v>218</v>
      </c>
      <c r="N190" s="6">
        <v>41621</v>
      </c>
    </row>
    <row r="191" spans="1:14" x14ac:dyDescent="0.35">
      <c r="A191" s="5" t="s">
        <v>450</v>
      </c>
      <c r="B191" s="5" t="s">
        <v>451</v>
      </c>
      <c r="C191" s="5" t="s">
        <v>143</v>
      </c>
      <c r="D191" s="5" t="s">
        <v>65</v>
      </c>
      <c r="E191" s="5" t="s">
        <v>26</v>
      </c>
      <c r="F191" s="5" t="s">
        <v>27</v>
      </c>
      <c r="G191" s="5" t="s">
        <v>36</v>
      </c>
      <c r="H191" s="5">
        <v>33</v>
      </c>
      <c r="I191" s="6">
        <v>42951</v>
      </c>
      <c r="J191" s="7">
        <v>92610</v>
      </c>
      <c r="K191" s="8">
        <v>0</v>
      </c>
      <c r="L191" s="5" t="s">
        <v>21</v>
      </c>
      <c r="M191" s="5" t="s">
        <v>88</v>
      </c>
      <c r="N191" s="6">
        <v>41621</v>
      </c>
    </row>
    <row r="192" spans="1:14" x14ac:dyDescent="0.35">
      <c r="A192" s="5" t="s">
        <v>452</v>
      </c>
      <c r="B192" s="5" t="s">
        <v>453</v>
      </c>
      <c r="C192" s="5" t="s">
        <v>16</v>
      </c>
      <c r="D192" s="5" t="s">
        <v>48</v>
      </c>
      <c r="E192" s="5" t="s">
        <v>35</v>
      </c>
      <c r="F192" s="5" t="s">
        <v>27</v>
      </c>
      <c r="G192" s="5" t="s">
        <v>36</v>
      </c>
      <c r="H192" s="5">
        <v>50</v>
      </c>
      <c r="I192" s="6">
        <v>37705</v>
      </c>
      <c r="J192" s="7">
        <v>123405</v>
      </c>
      <c r="K192" s="8">
        <v>0.13</v>
      </c>
      <c r="L192" s="5" t="s">
        <v>21</v>
      </c>
      <c r="M192" s="5" t="s">
        <v>88</v>
      </c>
      <c r="N192" s="6">
        <v>41621</v>
      </c>
    </row>
    <row r="193" spans="1:14" x14ac:dyDescent="0.35">
      <c r="A193" s="5" t="s">
        <v>454</v>
      </c>
      <c r="B193" s="5" t="s">
        <v>455</v>
      </c>
      <c r="C193" s="5" t="s">
        <v>47</v>
      </c>
      <c r="D193" s="5" t="s">
        <v>48</v>
      </c>
      <c r="E193" s="5" t="s">
        <v>26</v>
      </c>
      <c r="F193" s="5" t="s">
        <v>19</v>
      </c>
      <c r="G193" s="5" t="s">
        <v>28</v>
      </c>
      <c r="H193" s="5">
        <v>46</v>
      </c>
      <c r="I193" s="6">
        <v>38066</v>
      </c>
      <c r="J193" s="7">
        <v>73004</v>
      </c>
      <c r="K193" s="8">
        <v>0</v>
      </c>
      <c r="L193" s="5" t="s">
        <v>29</v>
      </c>
      <c r="M193" s="5" t="s">
        <v>114</v>
      </c>
      <c r="N193" s="6">
        <v>41621</v>
      </c>
    </row>
    <row r="194" spans="1:14" x14ac:dyDescent="0.35">
      <c r="A194" s="5" t="s">
        <v>456</v>
      </c>
      <c r="B194" s="5" t="s">
        <v>457</v>
      </c>
      <c r="C194" s="5" t="s">
        <v>113</v>
      </c>
      <c r="D194" s="5" t="s">
        <v>69</v>
      </c>
      <c r="E194" s="5" t="s">
        <v>49</v>
      </c>
      <c r="F194" s="5" t="s">
        <v>27</v>
      </c>
      <c r="G194" s="5" t="s">
        <v>28</v>
      </c>
      <c r="H194" s="5">
        <v>57</v>
      </c>
      <c r="I194" s="6">
        <v>36275</v>
      </c>
      <c r="J194" s="7">
        <v>95061</v>
      </c>
      <c r="K194" s="8">
        <v>0.1</v>
      </c>
      <c r="L194" s="5" t="s">
        <v>29</v>
      </c>
      <c r="M194" s="5" t="s">
        <v>74</v>
      </c>
      <c r="N194" s="6">
        <v>41621</v>
      </c>
    </row>
    <row r="195" spans="1:14" x14ac:dyDescent="0.35">
      <c r="A195" s="5" t="s">
        <v>458</v>
      </c>
      <c r="B195" s="5" t="s">
        <v>459</v>
      </c>
      <c r="C195" s="5" t="s">
        <v>33</v>
      </c>
      <c r="D195" s="5" t="s">
        <v>48</v>
      </c>
      <c r="E195" s="5" t="s">
        <v>49</v>
      </c>
      <c r="F195" s="5" t="s">
        <v>19</v>
      </c>
      <c r="G195" s="5" t="s">
        <v>85</v>
      </c>
      <c r="H195" s="5">
        <v>49</v>
      </c>
      <c r="I195" s="6">
        <v>35887</v>
      </c>
      <c r="J195" s="7">
        <v>160832</v>
      </c>
      <c r="K195" s="8">
        <v>0.3</v>
      </c>
      <c r="L195" s="5" t="s">
        <v>21</v>
      </c>
      <c r="M195" s="5" t="s">
        <v>44</v>
      </c>
      <c r="N195" s="6">
        <v>41621</v>
      </c>
    </row>
    <row r="196" spans="1:14" x14ac:dyDescent="0.35">
      <c r="A196" s="5" t="s">
        <v>460</v>
      </c>
      <c r="B196" s="5" t="s">
        <v>461</v>
      </c>
      <c r="C196" s="5" t="s">
        <v>462</v>
      </c>
      <c r="D196" s="5" t="s">
        <v>17</v>
      </c>
      <c r="E196" s="5" t="s">
        <v>26</v>
      </c>
      <c r="F196" s="5" t="s">
        <v>27</v>
      </c>
      <c r="G196" s="5" t="s">
        <v>20</v>
      </c>
      <c r="H196" s="5">
        <v>54</v>
      </c>
      <c r="I196" s="6">
        <v>40540</v>
      </c>
      <c r="J196" s="7">
        <v>64417</v>
      </c>
      <c r="K196" s="8">
        <v>0</v>
      </c>
      <c r="L196" s="5" t="s">
        <v>21</v>
      </c>
      <c r="M196" s="5" t="s">
        <v>88</v>
      </c>
      <c r="N196" s="6">
        <v>41621</v>
      </c>
    </row>
    <row r="197" spans="1:14" x14ac:dyDescent="0.35">
      <c r="A197" s="5" t="s">
        <v>463</v>
      </c>
      <c r="B197" s="5" t="s">
        <v>464</v>
      </c>
      <c r="C197" s="5" t="s">
        <v>52</v>
      </c>
      <c r="D197" s="5" t="s">
        <v>48</v>
      </c>
      <c r="E197" s="5" t="s">
        <v>49</v>
      </c>
      <c r="F197" s="5" t="s">
        <v>27</v>
      </c>
      <c r="G197" s="5" t="s">
        <v>28</v>
      </c>
      <c r="H197" s="5">
        <v>28</v>
      </c>
      <c r="I197" s="6">
        <v>44274</v>
      </c>
      <c r="J197" s="7">
        <v>127543</v>
      </c>
      <c r="K197" s="8">
        <v>0.06</v>
      </c>
      <c r="L197" s="5" t="s">
        <v>29</v>
      </c>
      <c r="M197" s="5" t="s">
        <v>74</v>
      </c>
      <c r="N197" s="6">
        <v>41621</v>
      </c>
    </row>
    <row r="198" spans="1:14" x14ac:dyDescent="0.35">
      <c r="A198" s="5" t="s">
        <v>465</v>
      </c>
      <c r="B198" s="5" t="s">
        <v>466</v>
      </c>
      <c r="C198" s="5" t="s">
        <v>55</v>
      </c>
      <c r="D198" s="5" t="s">
        <v>80</v>
      </c>
      <c r="E198" s="5" t="s">
        <v>26</v>
      </c>
      <c r="F198" s="5" t="s">
        <v>27</v>
      </c>
      <c r="G198" s="5" t="s">
        <v>85</v>
      </c>
      <c r="H198" s="5">
        <v>30</v>
      </c>
      <c r="I198" s="6">
        <v>43272</v>
      </c>
      <c r="J198" s="7">
        <v>56154</v>
      </c>
      <c r="K198" s="8">
        <v>0</v>
      </c>
      <c r="L198" s="5" t="s">
        <v>93</v>
      </c>
      <c r="M198" s="5" t="s">
        <v>218</v>
      </c>
      <c r="N198" s="6">
        <v>41621</v>
      </c>
    </row>
    <row r="199" spans="1:14" x14ac:dyDescent="0.35">
      <c r="A199" s="5" t="s">
        <v>467</v>
      </c>
      <c r="B199" s="5" t="s">
        <v>468</v>
      </c>
      <c r="C199" s="5" t="s">
        <v>79</v>
      </c>
      <c r="D199" s="5" t="s">
        <v>48</v>
      </c>
      <c r="E199" s="5" t="s">
        <v>26</v>
      </c>
      <c r="F199" s="5" t="s">
        <v>19</v>
      </c>
      <c r="G199" s="5" t="s">
        <v>28</v>
      </c>
      <c r="H199" s="5">
        <v>36</v>
      </c>
      <c r="I199" s="6">
        <v>41692</v>
      </c>
      <c r="J199" s="7">
        <v>218530</v>
      </c>
      <c r="K199" s="8">
        <v>0.3</v>
      </c>
      <c r="L199" s="5" t="s">
        <v>29</v>
      </c>
      <c r="M199" s="5" t="s">
        <v>74</v>
      </c>
      <c r="N199" s="6">
        <v>41621</v>
      </c>
    </row>
    <row r="200" spans="1:14" x14ac:dyDescent="0.35">
      <c r="A200" s="5" t="s">
        <v>469</v>
      </c>
      <c r="B200" s="5" t="s">
        <v>470</v>
      </c>
      <c r="C200" s="5" t="s">
        <v>462</v>
      </c>
      <c r="D200" s="5" t="s">
        <v>17</v>
      </c>
      <c r="E200" s="5" t="s">
        <v>26</v>
      </c>
      <c r="F200" s="5" t="s">
        <v>19</v>
      </c>
      <c r="G200" s="5" t="s">
        <v>85</v>
      </c>
      <c r="H200" s="5">
        <v>36</v>
      </c>
      <c r="I200" s="6">
        <v>43818</v>
      </c>
      <c r="J200" s="7">
        <v>91954</v>
      </c>
      <c r="K200" s="8">
        <v>0</v>
      </c>
      <c r="L200" s="5" t="s">
        <v>21</v>
      </c>
      <c r="M200" s="5" t="s">
        <v>88</v>
      </c>
      <c r="N200" s="6">
        <v>41621</v>
      </c>
    </row>
    <row r="201" spans="1:14" x14ac:dyDescent="0.35">
      <c r="A201" s="5" t="s">
        <v>471</v>
      </c>
      <c r="B201" s="5" t="s">
        <v>472</v>
      </c>
      <c r="C201" s="5" t="s">
        <v>79</v>
      </c>
      <c r="D201" s="5" t="s">
        <v>80</v>
      </c>
      <c r="E201" s="5" t="s">
        <v>49</v>
      </c>
      <c r="F201" s="5" t="s">
        <v>19</v>
      </c>
      <c r="G201" s="5" t="s">
        <v>20</v>
      </c>
      <c r="H201" s="5">
        <v>30</v>
      </c>
      <c r="I201" s="6">
        <v>42634</v>
      </c>
      <c r="J201" s="7">
        <v>221217</v>
      </c>
      <c r="K201" s="8">
        <v>0.32</v>
      </c>
      <c r="L201" s="5" t="s">
        <v>21</v>
      </c>
      <c r="M201" s="5" t="s">
        <v>88</v>
      </c>
      <c r="N201" s="6">
        <v>43003</v>
      </c>
    </row>
    <row r="202" spans="1:14" x14ac:dyDescent="0.35">
      <c r="A202" s="5" t="s">
        <v>473</v>
      </c>
      <c r="B202" s="5" t="s">
        <v>474</v>
      </c>
      <c r="C202" s="5" t="s">
        <v>299</v>
      </c>
      <c r="D202" s="5" t="s">
        <v>17</v>
      </c>
      <c r="E202" s="5" t="s">
        <v>26</v>
      </c>
      <c r="F202" s="5" t="s">
        <v>27</v>
      </c>
      <c r="G202" s="5" t="s">
        <v>85</v>
      </c>
      <c r="H202" s="5">
        <v>29</v>
      </c>
      <c r="I202" s="6">
        <v>42866</v>
      </c>
      <c r="J202" s="7">
        <v>87536</v>
      </c>
      <c r="K202" s="8">
        <v>0</v>
      </c>
      <c r="L202" s="5" t="s">
        <v>21</v>
      </c>
      <c r="M202" s="5" t="s">
        <v>22</v>
      </c>
      <c r="N202" s="6">
        <v>43003</v>
      </c>
    </row>
    <row r="203" spans="1:14" x14ac:dyDescent="0.35">
      <c r="A203" s="5" t="s">
        <v>475</v>
      </c>
      <c r="B203" s="5" t="s">
        <v>476</v>
      </c>
      <c r="C203" s="5" t="s">
        <v>55</v>
      </c>
      <c r="D203" s="5" t="s">
        <v>48</v>
      </c>
      <c r="E203" s="5" t="s">
        <v>49</v>
      </c>
      <c r="F203" s="5" t="s">
        <v>19</v>
      </c>
      <c r="G203" s="5" t="s">
        <v>85</v>
      </c>
      <c r="H203" s="5">
        <v>47</v>
      </c>
      <c r="I203" s="6">
        <v>42164</v>
      </c>
      <c r="J203" s="7">
        <v>41429</v>
      </c>
      <c r="K203" s="8">
        <v>0</v>
      </c>
      <c r="L203" s="5" t="s">
        <v>21</v>
      </c>
      <c r="M203" s="5" t="s">
        <v>22</v>
      </c>
      <c r="N203" s="6">
        <v>43003</v>
      </c>
    </row>
    <row r="204" spans="1:14" x14ac:dyDescent="0.35">
      <c r="A204" s="5" t="s">
        <v>477</v>
      </c>
      <c r="B204" s="5" t="s">
        <v>478</v>
      </c>
      <c r="C204" s="5" t="s">
        <v>79</v>
      </c>
      <c r="D204" s="5" t="s">
        <v>69</v>
      </c>
      <c r="E204" s="5" t="s">
        <v>26</v>
      </c>
      <c r="F204" s="5" t="s">
        <v>27</v>
      </c>
      <c r="G204" s="5" t="s">
        <v>28</v>
      </c>
      <c r="H204" s="5">
        <v>35</v>
      </c>
      <c r="I204" s="6">
        <v>40826</v>
      </c>
      <c r="J204" s="7">
        <v>245482</v>
      </c>
      <c r="K204" s="8">
        <v>0.39</v>
      </c>
      <c r="L204" s="5" t="s">
        <v>21</v>
      </c>
      <c r="M204" s="5" t="s">
        <v>22</v>
      </c>
      <c r="N204" s="6">
        <v>43003</v>
      </c>
    </row>
    <row r="205" spans="1:14" x14ac:dyDescent="0.35">
      <c r="A205" s="5" t="s">
        <v>479</v>
      </c>
      <c r="B205" s="5" t="s">
        <v>480</v>
      </c>
      <c r="C205" s="5" t="s">
        <v>277</v>
      </c>
      <c r="D205" s="5" t="s">
        <v>69</v>
      </c>
      <c r="E205" s="5" t="s">
        <v>26</v>
      </c>
      <c r="F205" s="5" t="s">
        <v>19</v>
      </c>
      <c r="G205" s="5" t="s">
        <v>36</v>
      </c>
      <c r="H205" s="5">
        <v>25</v>
      </c>
      <c r="I205" s="6">
        <v>43850</v>
      </c>
      <c r="J205" s="7">
        <v>71359</v>
      </c>
      <c r="K205" s="8">
        <v>0</v>
      </c>
      <c r="L205" s="5" t="s">
        <v>21</v>
      </c>
      <c r="M205" s="5" t="s">
        <v>44</v>
      </c>
      <c r="N205" s="6">
        <v>43003</v>
      </c>
    </row>
    <row r="206" spans="1:14" x14ac:dyDescent="0.35">
      <c r="A206" s="5" t="s">
        <v>481</v>
      </c>
      <c r="B206" s="5" t="s">
        <v>482</v>
      </c>
      <c r="C206" s="5" t="s">
        <v>33</v>
      </c>
      <c r="D206" s="5" t="s">
        <v>69</v>
      </c>
      <c r="E206" s="5" t="s">
        <v>35</v>
      </c>
      <c r="F206" s="5" t="s">
        <v>27</v>
      </c>
      <c r="G206" s="5" t="s">
        <v>28</v>
      </c>
      <c r="H206" s="5">
        <v>45</v>
      </c>
      <c r="I206" s="6">
        <v>41879</v>
      </c>
      <c r="J206" s="7">
        <v>183161</v>
      </c>
      <c r="K206" s="8">
        <v>0.22</v>
      </c>
      <c r="L206" s="5" t="s">
        <v>21</v>
      </c>
      <c r="M206" s="5" t="s">
        <v>56</v>
      </c>
      <c r="N206" s="6">
        <v>43003</v>
      </c>
    </row>
    <row r="207" spans="1:14" x14ac:dyDescent="0.35">
      <c r="A207" s="5" t="s">
        <v>483</v>
      </c>
      <c r="B207" s="5" t="s">
        <v>484</v>
      </c>
      <c r="C207" s="5" t="s">
        <v>485</v>
      </c>
      <c r="D207" s="5" t="s">
        <v>17</v>
      </c>
      <c r="E207" s="5" t="s">
        <v>49</v>
      </c>
      <c r="F207" s="5" t="s">
        <v>27</v>
      </c>
      <c r="G207" s="5" t="s">
        <v>36</v>
      </c>
      <c r="H207" s="5">
        <v>58</v>
      </c>
      <c r="I207" s="6">
        <v>34176</v>
      </c>
      <c r="J207" s="7">
        <v>69260</v>
      </c>
      <c r="K207" s="8">
        <v>0</v>
      </c>
      <c r="L207" s="5" t="s">
        <v>21</v>
      </c>
      <c r="M207" s="5" t="s">
        <v>44</v>
      </c>
      <c r="N207" s="6">
        <v>43003</v>
      </c>
    </row>
    <row r="208" spans="1:14" x14ac:dyDescent="0.35">
      <c r="A208" s="5" t="s">
        <v>486</v>
      </c>
      <c r="B208" s="5" t="s">
        <v>487</v>
      </c>
      <c r="C208" s="5" t="s">
        <v>181</v>
      </c>
      <c r="D208" s="5" t="s">
        <v>69</v>
      </c>
      <c r="E208" s="5" t="s">
        <v>35</v>
      </c>
      <c r="F208" s="5" t="s">
        <v>27</v>
      </c>
      <c r="G208" s="5" t="s">
        <v>36</v>
      </c>
      <c r="H208" s="5">
        <v>51</v>
      </c>
      <c r="I208" s="6">
        <v>36442</v>
      </c>
      <c r="J208" s="7">
        <v>95639</v>
      </c>
      <c r="K208" s="8">
        <v>0</v>
      </c>
      <c r="L208" s="5" t="s">
        <v>21</v>
      </c>
      <c r="M208" s="5" t="s">
        <v>60</v>
      </c>
      <c r="N208" s="6">
        <v>43003</v>
      </c>
    </row>
    <row r="209" spans="1:14" x14ac:dyDescent="0.35">
      <c r="A209" s="5" t="s">
        <v>488</v>
      </c>
      <c r="B209" s="5" t="s">
        <v>489</v>
      </c>
      <c r="C209" s="5" t="s">
        <v>52</v>
      </c>
      <c r="D209" s="5" t="s">
        <v>65</v>
      </c>
      <c r="E209" s="5" t="s">
        <v>18</v>
      </c>
      <c r="F209" s="5" t="s">
        <v>27</v>
      </c>
      <c r="G209" s="5" t="s">
        <v>28</v>
      </c>
      <c r="H209" s="5">
        <v>48</v>
      </c>
      <c r="I209" s="6">
        <v>38168</v>
      </c>
      <c r="J209" s="7">
        <v>120660</v>
      </c>
      <c r="K209" s="8">
        <v>7.0000000000000007E-2</v>
      </c>
      <c r="L209" s="5" t="s">
        <v>29</v>
      </c>
      <c r="M209" s="5" t="s">
        <v>134</v>
      </c>
      <c r="N209" s="6">
        <v>43003</v>
      </c>
    </row>
    <row r="210" spans="1:14" x14ac:dyDescent="0.35">
      <c r="A210" s="5" t="s">
        <v>490</v>
      </c>
      <c r="B210" s="5" t="s">
        <v>491</v>
      </c>
      <c r="C210" s="5" t="s">
        <v>43</v>
      </c>
      <c r="D210" s="5" t="s">
        <v>48</v>
      </c>
      <c r="E210" s="5" t="s">
        <v>49</v>
      </c>
      <c r="F210" s="5" t="s">
        <v>27</v>
      </c>
      <c r="G210" s="5" t="s">
        <v>20</v>
      </c>
      <c r="H210" s="5">
        <v>36</v>
      </c>
      <c r="I210" s="6">
        <v>44556</v>
      </c>
      <c r="J210" s="7">
        <v>75119</v>
      </c>
      <c r="K210" s="8">
        <v>0</v>
      </c>
      <c r="L210" s="5" t="s">
        <v>21</v>
      </c>
      <c r="M210" s="5" t="s">
        <v>37</v>
      </c>
      <c r="N210" s="6">
        <v>43003</v>
      </c>
    </row>
    <row r="211" spans="1:14" x14ac:dyDescent="0.35">
      <c r="A211" s="5" t="s">
        <v>492</v>
      </c>
      <c r="B211" s="5" t="s">
        <v>493</v>
      </c>
      <c r="C211" s="5" t="s">
        <v>79</v>
      </c>
      <c r="D211" s="5" t="s">
        <v>59</v>
      </c>
      <c r="E211" s="5" t="s">
        <v>18</v>
      </c>
      <c r="F211" s="5" t="s">
        <v>27</v>
      </c>
      <c r="G211" s="5" t="s">
        <v>28</v>
      </c>
      <c r="H211" s="5">
        <v>59</v>
      </c>
      <c r="I211" s="6">
        <v>40681</v>
      </c>
      <c r="J211" s="7">
        <v>192213</v>
      </c>
      <c r="K211" s="8">
        <v>0.4</v>
      </c>
      <c r="L211" s="5" t="s">
        <v>21</v>
      </c>
      <c r="M211" s="5" t="s">
        <v>37</v>
      </c>
      <c r="N211" s="6">
        <v>43003</v>
      </c>
    </row>
    <row r="212" spans="1:14" x14ac:dyDescent="0.35">
      <c r="A212" s="5" t="s">
        <v>494</v>
      </c>
      <c r="B212" s="5" t="s">
        <v>495</v>
      </c>
      <c r="C212" s="5" t="s">
        <v>47</v>
      </c>
      <c r="D212" s="5" t="s">
        <v>48</v>
      </c>
      <c r="E212" s="5" t="s">
        <v>35</v>
      </c>
      <c r="F212" s="5" t="s">
        <v>19</v>
      </c>
      <c r="G212" s="5" t="s">
        <v>85</v>
      </c>
      <c r="H212" s="5">
        <v>45</v>
      </c>
      <c r="I212" s="6">
        <v>41769</v>
      </c>
      <c r="J212" s="7">
        <v>65047</v>
      </c>
      <c r="K212" s="8">
        <v>0</v>
      </c>
      <c r="L212" s="5" t="s">
        <v>93</v>
      </c>
      <c r="M212" s="5" t="s">
        <v>218</v>
      </c>
      <c r="N212" s="6">
        <v>43003</v>
      </c>
    </row>
    <row r="213" spans="1:14" x14ac:dyDescent="0.35">
      <c r="A213" s="5" t="s">
        <v>496</v>
      </c>
      <c r="B213" s="5" t="s">
        <v>497</v>
      </c>
      <c r="C213" s="5" t="s">
        <v>16</v>
      </c>
      <c r="D213" s="5" t="s">
        <v>48</v>
      </c>
      <c r="E213" s="5" t="s">
        <v>26</v>
      </c>
      <c r="F213" s="5" t="s">
        <v>27</v>
      </c>
      <c r="G213" s="5" t="s">
        <v>36</v>
      </c>
      <c r="H213" s="5">
        <v>29</v>
      </c>
      <c r="I213" s="6">
        <v>42810</v>
      </c>
      <c r="J213" s="7">
        <v>151413</v>
      </c>
      <c r="K213" s="8">
        <v>0.15</v>
      </c>
      <c r="L213" s="5" t="s">
        <v>21</v>
      </c>
      <c r="M213" s="5" t="s">
        <v>22</v>
      </c>
      <c r="N213" s="6">
        <v>43003</v>
      </c>
    </row>
    <row r="214" spans="1:14" x14ac:dyDescent="0.35">
      <c r="A214" s="5" t="s">
        <v>498</v>
      </c>
      <c r="B214" s="5" t="s">
        <v>499</v>
      </c>
      <c r="C214" s="5" t="s">
        <v>43</v>
      </c>
      <c r="D214" s="5" t="s">
        <v>59</v>
      </c>
      <c r="E214" s="5" t="s">
        <v>35</v>
      </c>
      <c r="F214" s="5" t="s">
        <v>27</v>
      </c>
      <c r="G214" s="5" t="s">
        <v>36</v>
      </c>
      <c r="H214" s="5">
        <v>62</v>
      </c>
      <c r="I214" s="6">
        <v>37733</v>
      </c>
      <c r="J214" s="7">
        <v>76906</v>
      </c>
      <c r="K214" s="8">
        <v>0</v>
      </c>
      <c r="L214" s="5" t="s">
        <v>21</v>
      </c>
      <c r="M214" s="5" t="s">
        <v>22</v>
      </c>
      <c r="N214" s="6">
        <v>43003</v>
      </c>
    </row>
    <row r="215" spans="1:14" x14ac:dyDescent="0.35">
      <c r="A215" s="5" t="s">
        <v>500</v>
      </c>
      <c r="B215" s="5" t="s">
        <v>501</v>
      </c>
      <c r="C215" s="5" t="s">
        <v>52</v>
      </c>
      <c r="D215" s="5" t="s">
        <v>17</v>
      </c>
      <c r="E215" s="5" t="s">
        <v>49</v>
      </c>
      <c r="F215" s="5" t="s">
        <v>27</v>
      </c>
      <c r="G215" s="5" t="s">
        <v>28</v>
      </c>
      <c r="H215" s="5">
        <v>51</v>
      </c>
      <c r="I215" s="6">
        <v>34388</v>
      </c>
      <c r="J215" s="7">
        <v>122802</v>
      </c>
      <c r="K215" s="8">
        <v>0.05</v>
      </c>
      <c r="L215" s="5" t="s">
        <v>29</v>
      </c>
      <c r="M215" s="5" t="s">
        <v>74</v>
      </c>
      <c r="N215" s="6">
        <v>43003</v>
      </c>
    </row>
    <row r="216" spans="1:14" x14ac:dyDescent="0.35">
      <c r="A216" s="5" t="s">
        <v>502</v>
      </c>
      <c r="B216" s="5" t="s">
        <v>503</v>
      </c>
      <c r="C216" s="5" t="s">
        <v>277</v>
      </c>
      <c r="D216" s="5" t="s">
        <v>69</v>
      </c>
      <c r="E216" s="5" t="s">
        <v>18</v>
      </c>
      <c r="F216" s="5" t="s">
        <v>27</v>
      </c>
      <c r="G216" s="5" t="s">
        <v>85</v>
      </c>
      <c r="H216" s="5">
        <v>47</v>
      </c>
      <c r="I216" s="6">
        <v>35990</v>
      </c>
      <c r="J216" s="7">
        <v>99091</v>
      </c>
      <c r="K216" s="8">
        <v>0</v>
      </c>
      <c r="L216" s="5" t="s">
        <v>21</v>
      </c>
      <c r="M216" s="5" t="s">
        <v>60</v>
      </c>
      <c r="N216" s="6">
        <v>43003</v>
      </c>
    </row>
    <row r="217" spans="1:14" x14ac:dyDescent="0.35">
      <c r="A217" s="5" t="s">
        <v>504</v>
      </c>
      <c r="B217" s="5" t="s">
        <v>505</v>
      </c>
      <c r="C217" s="5" t="s">
        <v>68</v>
      </c>
      <c r="D217" s="5" t="s">
        <v>69</v>
      </c>
      <c r="E217" s="5" t="s">
        <v>26</v>
      </c>
      <c r="F217" s="5" t="s">
        <v>27</v>
      </c>
      <c r="G217" s="5" t="s">
        <v>85</v>
      </c>
      <c r="H217" s="5">
        <v>40</v>
      </c>
      <c r="I217" s="6">
        <v>39506</v>
      </c>
      <c r="J217" s="7">
        <v>113987</v>
      </c>
      <c r="K217" s="8">
        <v>0</v>
      </c>
      <c r="L217" s="5" t="s">
        <v>93</v>
      </c>
      <c r="M217" s="5" t="s">
        <v>94</v>
      </c>
      <c r="N217" s="6">
        <v>43003</v>
      </c>
    </row>
    <row r="218" spans="1:14" x14ac:dyDescent="0.35">
      <c r="A218" s="5" t="s">
        <v>506</v>
      </c>
      <c r="B218" s="5" t="s">
        <v>507</v>
      </c>
      <c r="C218" s="5" t="s">
        <v>43</v>
      </c>
      <c r="D218" s="5" t="s">
        <v>34</v>
      </c>
      <c r="E218" s="5" t="s">
        <v>49</v>
      </c>
      <c r="F218" s="5" t="s">
        <v>19</v>
      </c>
      <c r="G218" s="5" t="s">
        <v>36</v>
      </c>
      <c r="H218" s="5">
        <v>28</v>
      </c>
      <c r="I218" s="6">
        <v>44078</v>
      </c>
      <c r="J218" s="7">
        <v>95045</v>
      </c>
      <c r="K218" s="8">
        <v>0</v>
      </c>
      <c r="L218" s="5" t="s">
        <v>21</v>
      </c>
      <c r="M218" s="5" t="s">
        <v>37</v>
      </c>
      <c r="N218" s="6">
        <v>43003</v>
      </c>
    </row>
    <row r="219" spans="1:14" x14ac:dyDescent="0.35">
      <c r="A219" s="5" t="s">
        <v>508</v>
      </c>
      <c r="B219" s="5" t="s">
        <v>509</v>
      </c>
      <c r="C219" s="5" t="s">
        <v>79</v>
      </c>
      <c r="D219" s="5" t="s">
        <v>80</v>
      </c>
      <c r="E219" s="5" t="s">
        <v>35</v>
      </c>
      <c r="F219" s="5" t="s">
        <v>19</v>
      </c>
      <c r="G219" s="5" t="s">
        <v>36</v>
      </c>
      <c r="H219" s="5">
        <v>29</v>
      </c>
      <c r="I219" s="6">
        <v>42740</v>
      </c>
      <c r="J219" s="7">
        <v>190401</v>
      </c>
      <c r="K219" s="8">
        <v>0.37</v>
      </c>
      <c r="L219" s="5" t="s">
        <v>21</v>
      </c>
      <c r="M219" s="5" t="s">
        <v>88</v>
      </c>
      <c r="N219" s="6">
        <v>43003</v>
      </c>
    </row>
    <row r="220" spans="1:14" x14ac:dyDescent="0.35">
      <c r="A220" s="5" t="s">
        <v>510</v>
      </c>
      <c r="B220" s="5" t="s">
        <v>511</v>
      </c>
      <c r="C220" s="5" t="s">
        <v>43</v>
      </c>
      <c r="D220" s="5" t="s">
        <v>34</v>
      </c>
      <c r="E220" s="5" t="s">
        <v>49</v>
      </c>
      <c r="F220" s="5" t="s">
        <v>27</v>
      </c>
      <c r="G220" s="5" t="s">
        <v>85</v>
      </c>
      <c r="H220" s="5">
        <v>46</v>
      </c>
      <c r="I220" s="6">
        <v>41294</v>
      </c>
      <c r="J220" s="7">
        <v>86061</v>
      </c>
      <c r="K220" s="8">
        <v>0</v>
      </c>
      <c r="L220" s="5" t="s">
        <v>93</v>
      </c>
      <c r="M220" s="5" t="s">
        <v>99</v>
      </c>
      <c r="N220" s="6">
        <v>43003</v>
      </c>
    </row>
    <row r="221" spans="1:14" x14ac:dyDescent="0.35">
      <c r="A221" s="5" t="s">
        <v>512</v>
      </c>
      <c r="B221" s="5" t="s">
        <v>513</v>
      </c>
      <c r="C221" s="5" t="s">
        <v>294</v>
      </c>
      <c r="D221" s="5" t="s">
        <v>48</v>
      </c>
      <c r="E221" s="5" t="s">
        <v>35</v>
      </c>
      <c r="F221" s="5" t="s">
        <v>27</v>
      </c>
      <c r="G221" s="5" t="s">
        <v>85</v>
      </c>
      <c r="H221" s="5">
        <v>45</v>
      </c>
      <c r="I221" s="6">
        <v>44237</v>
      </c>
      <c r="J221" s="7">
        <v>79882</v>
      </c>
      <c r="K221" s="8">
        <v>0</v>
      </c>
      <c r="L221" s="5" t="s">
        <v>21</v>
      </c>
      <c r="M221" s="5" t="s">
        <v>44</v>
      </c>
      <c r="N221" s="6">
        <v>43003</v>
      </c>
    </row>
    <row r="222" spans="1:14" x14ac:dyDescent="0.35">
      <c r="A222" s="5" t="s">
        <v>514</v>
      </c>
      <c r="B222" s="5" t="s">
        <v>515</v>
      </c>
      <c r="C222" s="5" t="s">
        <v>79</v>
      </c>
      <c r="D222" s="5" t="s">
        <v>69</v>
      </c>
      <c r="E222" s="5" t="s">
        <v>26</v>
      </c>
      <c r="F222" s="5" t="s">
        <v>19</v>
      </c>
      <c r="G222" s="5" t="s">
        <v>36</v>
      </c>
      <c r="H222" s="5">
        <v>30</v>
      </c>
      <c r="I222" s="6">
        <v>43165</v>
      </c>
      <c r="J222" s="7">
        <v>255431</v>
      </c>
      <c r="K222" s="8">
        <v>0.36</v>
      </c>
      <c r="L222" s="5" t="s">
        <v>21</v>
      </c>
      <c r="M222" s="5" t="s">
        <v>88</v>
      </c>
      <c r="N222" s="6">
        <v>43003</v>
      </c>
    </row>
    <row r="223" spans="1:14" x14ac:dyDescent="0.35">
      <c r="A223" s="5" t="s">
        <v>516</v>
      </c>
      <c r="B223" s="5" t="s">
        <v>517</v>
      </c>
      <c r="C223" s="5" t="s">
        <v>462</v>
      </c>
      <c r="D223" s="5" t="s">
        <v>17</v>
      </c>
      <c r="E223" s="5" t="s">
        <v>26</v>
      </c>
      <c r="F223" s="5" t="s">
        <v>19</v>
      </c>
      <c r="G223" s="5" t="s">
        <v>28</v>
      </c>
      <c r="H223" s="5">
        <v>48</v>
      </c>
      <c r="I223" s="6">
        <v>37855</v>
      </c>
      <c r="J223" s="7">
        <v>82017</v>
      </c>
      <c r="K223" s="8">
        <v>0</v>
      </c>
      <c r="L223" s="5" t="s">
        <v>29</v>
      </c>
      <c r="M223" s="5" t="s">
        <v>114</v>
      </c>
      <c r="N223" s="6">
        <v>43003</v>
      </c>
    </row>
    <row r="224" spans="1:14" x14ac:dyDescent="0.35">
      <c r="A224" s="5" t="s">
        <v>518</v>
      </c>
      <c r="B224" s="5" t="s">
        <v>519</v>
      </c>
      <c r="C224" s="5" t="s">
        <v>55</v>
      </c>
      <c r="D224" s="5" t="s">
        <v>34</v>
      </c>
      <c r="E224" s="5" t="s">
        <v>26</v>
      </c>
      <c r="F224" s="5" t="s">
        <v>19</v>
      </c>
      <c r="G224" s="5" t="s">
        <v>36</v>
      </c>
      <c r="H224" s="5">
        <v>51</v>
      </c>
      <c r="I224" s="6">
        <v>42753</v>
      </c>
      <c r="J224" s="7">
        <v>53799</v>
      </c>
      <c r="K224" s="8">
        <v>0</v>
      </c>
      <c r="L224" s="5" t="s">
        <v>21</v>
      </c>
      <c r="M224" s="5" t="s">
        <v>88</v>
      </c>
      <c r="N224" s="6">
        <v>43003</v>
      </c>
    </row>
    <row r="225" spans="1:14" x14ac:dyDescent="0.35">
      <c r="A225" s="5" t="s">
        <v>520</v>
      </c>
      <c r="B225" s="5" t="s">
        <v>521</v>
      </c>
      <c r="C225" s="5" t="s">
        <v>43</v>
      </c>
      <c r="D225" s="5" t="s">
        <v>48</v>
      </c>
      <c r="E225" s="5" t="s">
        <v>49</v>
      </c>
      <c r="F225" s="5" t="s">
        <v>19</v>
      </c>
      <c r="G225" s="5" t="s">
        <v>36</v>
      </c>
      <c r="H225" s="5">
        <v>28</v>
      </c>
      <c r="I225" s="6">
        <v>44380</v>
      </c>
      <c r="J225" s="7">
        <v>82739</v>
      </c>
      <c r="K225" s="8">
        <v>0</v>
      </c>
      <c r="L225" s="5" t="s">
        <v>21</v>
      </c>
      <c r="M225" s="5" t="s">
        <v>44</v>
      </c>
      <c r="N225" s="6">
        <v>43003</v>
      </c>
    </row>
    <row r="226" spans="1:14" x14ac:dyDescent="0.35">
      <c r="A226" s="5" t="s">
        <v>522</v>
      </c>
      <c r="B226" s="5" t="s">
        <v>523</v>
      </c>
      <c r="C226" s="5" t="s">
        <v>207</v>
      </c>
      <c r="D226" s="5" t="s">
        <v>17</v>
      </c>
      <c r="E226" s="5" t="s">
        <v>26</v>
      </c>
      <c r="F226" s="5" t="s">
        <v>19</v>
      </c>
      <c r="G226" s="5" t="s">
        <v>36</v>
      </c>
      <c r="H226" s="5">
        <v>36</v>
      </c>
      <c r="I226" s="6">
        <v>41789</v>
      </c>
      <c r="J226" s="7">
        <v>99080</v>
      </c>
      <c r="K226" s="8">
        <v>0</v>
      </c>
      <c r="L226" s="5" t="s">
        <v>21</v>
      </c>
      <c r="M226" s="5" t="s">
        <v>37</v>
      </c>
      <c r="N226" s="6">
        <v>43003</v>
      </c>
    </row>
    <row r="227" spans="1:14" x14ac:dyDescent="0.35">
      <c r="A227" s="5" t="s">
        <v>524</v>
      </c>
      <c r="B227" s="5" t="s">
        <v>525</v>
      </c>
      <c r="C227" s="5" t="s">
        <v>294</v>
      </c>
      <c r="D227" s="5" t="s">
        <v>48</v>
      </c>
      <c r="E227" s="5" t="s">
        <v>49</v>
      </c>
      <c r="F227" s="5" t="s">
        <v>19</v>
      </c>
      <c r="G227" s="5" t="s">
        <v>28</v>
      </c>
      <c r="H227" s="5">
        <v>40</v>
      </c>
      <c r="I227" s="6">
        <v>40563</v>
      </c>
      <c r="J227" s="7">
        <v>96719</v>
      </c>
      <c r="K227" s="8">
        <v>0</v>
      </c>
      <c r="L227" s="5" t="s">
        <v>29</v>
      </c>
      <c r="M227" s="5" t="s">
        <v>134</v>
      </c>
      <c r="N227" s="6">
        <v>43003</v>
      </c>
    </row>
    <row r="228" spans="1:14" x14ac:dyDescent="0.35">
      <c r="A228" s="5" t="s">
        <v>526</v>
      </c>
      <c r="B228" s="5" t="s">
        <v>527</v>
      </c>
      <c r="C228" s="5" t="s">
        <v>33</v>
      </c>
      <c r="D228" s="5" t="s">
        <v>65</v>
      </c>
      <c r="E228" s="5" t="s">
        <v>18</v>
      </c>
      <c r="F228" s="5" t="s">
        <v>19</v>
      </c>
      <c r="G228" s="5" t="s">
        <v>36</v>
      </c>
      <c r="H228" s="5">
        <v>51</v>
      </c>
      <c r="I228" s="6">
        <v>44283</v>
      </c>
      <c r="J228" s="7">
        <v>180687</v>
      </c>
      <c r="K228" s="8">
        <v>0.19</v>
      </c>
      <c r="L228" s="5" t="s">
        <v>21</v>
      </c>
      <c r="M228" s="5" t="s">
        <v>44</v>
      </c>
      <c r="N228" s="6">
        <v>43003</v>
      </c>
    </row>
    <row r="229" spans="1:14" x14ac:dyDescent="0.35">
      <c r="A229" s="5" t="s">
        <v>528</v>
      </c>
      <c r="B229" s="5" t="s">
        <v>529</v>
      </c>
      <c r="C229" s="5" t="s">
        <v>113</v>
      </c>
      <c r="D229" s="5" t="s">
        <v>69</v>
      </c>
      <c r="E229" s="5" t="s">
        <v>49</v>
      </c>
      <c r="F229" s="5" t="s">
        <v>27</v>
      </c>
      <c r="G229" s="5" t="s">
        <v>28</v>
      </c>
      <c r="H229" s="5">
        <v>45</v>
      </c>
      <c r="I229" s="6">
        <v>36993</v>
      </c>
      <c r="J229" s="7">
        <v>95743</v>
      </c>
      <c r="K229" s="8">
        <v>0.15</v>
      </c>
      <c r="L229" s="5" t="s">
        <v>21</v>
      </c>
      <c r="M229" s="5" t="s">
        <v>60</v>
      </c>
      <c r="N229" s="6">
        <v>40193</v>
      </c>
    </row>
    <row r="230" spans="1:14" x14ac:dyDescent="0.35">
      <c r="A230" s="5" t="s">
        <v>530</v>
      </c>
      <c r="B230" s="5" t="s">
        <v>531</v>
      </c>
      <c r="C230" s="5" t="s">
        <v>277</v>
      </c>
      <c r="D230" s="5" t="s">
        <v>69</v>
      </c>
      <c r="E230" s="5" t="s">
        <v>18</v>
      </c>
      <c r="F230" s="5" t="s">
        <v>19</v>
      </c>
      <c r="G230" s="5" t="s">
        <v>36</v>
      </c>
      <c r="H230" s="5">
        <v>44</v>
      </c>
      <c r="I230" s="6">
        <v>40060</v>
      </c>
      <c r="J230" s="7">
        <v>89695</v>
      </c>
      <c r="K230" s="8">
        <v>0</v>
      </c>
      <c r="L230" s="5" t="s">
        <v>21</v>
      </c>
      <c r="M230" s="5" t="s">
        <v>60</v>
      </c>
      <c r="N230" s="6">
        <v>40193</v>
      </c>
    </row>
    <row r="231" spans="1:14" x14ac:dyDescent="0.35">
      <c r="A231" s="5" t="s">
        <v>532</v>
      </c>
      <c r="B231" s="5" t="s">
        <v>533</v>
      </c>
      <c r="C231" s="5" t="s">
        <v>52</v>
      </c>
      <c r="D231" s="5" t="s">
        <v>34</v>
      </c>
      <c r="E231" s="5" t="s">
        <v>26</v>
      </c>
      <c r="F231" s="5" t="s">
        <v>27</v>
      </c>
      <c r="G231" s="5" t="s">
        <v>28</v>
      </c>
      <c r="H231" s="5">
        <v>64</v>
      </c>
      <c r="I231" s="6">
        <v>35996</v>
      </c>
      <c r="J231" s="7">
        <v>122753</v>
      </c>
      <c r="K231" s="8">
        <v>0.09</v>
      </c>
      <c r="L231" s="5" t="s">
        <v>29</v>
      </c>
      <c r="M231" s="5" t="s">
        <v>30</v>
      </c>
      <c r="N231" s="6">
        <v>40193</v>
      </c>
    </row>
    <row r="232" spans="1:14" x14ac:dyDescent="0.35">
      <c r="A232" s="5" t="s">
        <v>534</v>
      </c>
      <c r="B232" s="5" t="s">
        <v>535</v>
      </c>
      <c r="C232" s="5" t="s">
        <v>143</v>
      </c>
      <c r="D232" s="5" t="s">
        <v>65</v>
      </c>
      <c r="E232" s="5" t="s">
        <v>18</v>
      </c>
      <c r="F232" s="5" t="s">
        <v>27</v>
      </c>
      <c r="G232" s="5" t="s">
        <v>36</v>
      </c>
      <c r="H232" s="5">
        <v>30</v>
      </c>
      <c r="I232" s="6">
        <v>42078</v>
      </c>
      <c r="J232" s="7">
        <v>93734</v>
      </c>
      <c r="K232" s="8">
        <v>0</v>
      </c>
      <c r="L232" s="5" t="s">
        <v>21</v>
      </c>
      <c r="M232" s="5" t="s">
        <v>44</v>
      </c>
      <c r="N232" s="6">
        <v>40193</v>
      </c>
    </row>
    <row r="233" spans="1:14" x14ac:dyDescent="0.35">
      <c r="A233" s="5" t="s">
        <v>536</v>
      </c>
      <c r="B233" s="5" t="s">
        <v>537</v>
      </c>
      <c r="C233" s="5" t="s">
        <v>55</v>
      </c>
      <c r="D233" s="5" t="s">
        <v>59</v>
      </c>
      <c r="E233" s="5" t="s">
        <v>49</v>
      </c>
      <c r="F233" s="5" t="s">
        <v>27</v>
      </c>
      <c r="G233" s="5" t="s">
        <v>28</v>
      </c>
      <c r="H233" s="5">
        <v>28</v>
      </c>
      <c r="I233" s="6">
        <v>42867</v>
      </c>
      <c r="J233" s="7">
        <v>52069</v>
      </c>
      <c r="K233" s="8">
        <v>0</v>
      </c>
      <c r="L233" s="5" t="s">
        <v>29</v>
      </c>
      <c r="M233" s="5" t="s">
        <v>30</v>
      </c>
      <c r="N233" s="6">
        <v>40193</v>
      </c>
    </row>
    <row r="234" spans="1:14" x14ac:dyDescent="0.35">
      <c r="A234" s="5" t="s">
        <v>538</v>
      </c>
      <c r="B234" s="5" t="s">
        <v>539</v>
      </c>
      <c r="C234" s="5" t="s">
        <v>79</v>
      </c>
      <c r="D234" s="5" t="s">
        <v>59</v>
      </c>
      <c r="E234" s="5" t="s">
        <v>49</v>
      </c>
      <c r="F234" s="5" t="s">
        <v>19</v>
      </c>
      <c r="G234" s="5" t="s">
        <v>85</v>
      </c>
      <c r="H234" s="5">
        <v>33</v>
      </c>
      <c r="I234" s="6">
        <v>44181</v>
      </c>
      <c r="J234" s="7">
        <v>258426</v>
      </c>
      <c r="K234" s="8">
        <v>0.4</v>
      </c>
      <c r="L234" s="5" t="s">
        <v>93</v>
      </c>
      <c r="M234" s="5" t="s">
        <v>99</v>
      </c>
      <c r="N234" s="6">
        <v>40193</v>
      </c>
    </row>
    <row r="235" spans="1:14" x14ac:dyDescent="0.35">
      <c r="A235" s="5" t="s">
        <v>540</v>
      </c>
      <c r="B235" s="5" t="s">
        <v>541</v>
      </c>
      <c r="C235" s="5" t="s">
        <v>52</v>
      </c>
      <c r="D235" s="5" t="s">
        <v>34</v>
      </c>
      <c r="E235" s="5" t="s">
        <v>35</v>
      </c>
      <c r="F235" s="5" t="s">
        <v>27</v>
      </c>
      <c r="G235" s="5" t="s">
        <v>20</v>
      </c>
      <c r="H235" s="5">
        <v>51</v>
      </c>
      <c r="I235" s="6">
        <v>34746</v>
      </c>
      <c r="J235" s="7">
        <v>125375</v>
      </c>
      <c r="K235" s="8">
        <v>0.09</v>
      </c>
      <c r="L235" s="5" t="s">
        <v>21</v>
      </c>
      <c r="M235" s="5" t="s">
        <v>37</v>
      </c>
      <c r="N235" s="6">
        <v>40193</v>
      </c>
    </row>
    <row r="236" spans="1:14" x14ac:dyDescent="0.35">
      <c r="A236" s="5" t="s">
        <v>542</v>
      </c>
      <c r="B236" s="5" t="s">
        <v>543</v>
      </c>
      <c r="C236" s="5" t="s">
        <v>79</v>
      </c>
      <c r="D236" s="5" t="s">
        <v>59</v>
      </c>
      <c r="E236" s="5" t="s">
        <v>26</v>
      </c>
      <c r="F236" s="5" t="s">
        <v>27</v>
      </c>
      <c r="G236" s="5" t="s">
        <v>28</v>
      </c>
      <c r="H236" s="5">
        <v>25</v>
      </c>
      <c r="I236" s="6">
        <v>44235</v>
      </c>
      <c r="J236" s="7">
        <v>198243</v>
      </c>
      <c r="K236" s="8">
        <v>0.31</v>
      </c>
      <c r="L236" s="5" t="s">
        <v>21</v>
      </c>
      <c r="M236" s="5" t="s">
        <v>56</v>
      </c>
      <c r="N236" s="6">
        <v>40193</v>
      </c>
    </row>
    <row r="237" spans="1:14" x14ac:dyDescent="0.35">
      <c r="A237" s="5" t="s">
        <v>544</v>
      </c>
      <c r="B237" s="5" t="s">
        <v>545</v>
      </c>
      <c r="C237" s="5" t="s">
        <v>223</v>
      </c>
      <c r="D237" s="5" t="s">
        <v>69</v>
      </c>
      <c r="E237" s="5" t="s">
        <v>18</v>
      </c>
      <c r="F237" s="5" t="s">
        <v>19</v>
      </c>
      <c r="G237" s="5" t="s">
        <v>85</v>
      </c>
      <c r="H237" s="5">
        <v>42</v>
      </c>
      <c r="I237" s="6">
        <v>43062</v>
      </c>
      <c r="J237" s="7">
        <v>96023</v>
      </c>
      <c r="K237" s="8">
        <v>0</v>
      </c>
      <c r="L237" s="5" t="s">
        <v>21</v>
      </c>
      <c r="M237" s="5" t="s">
        <v>56</v>
      </c>
      <c r="N237" s="6">
        <v>40193</v>
      </c>
    </row>
    <row r="238" spans="1:14" x14ac:dyDescent="0.35">
      <c r="A238" s="5" t="s">
        <v>546</v>
      </c>
      <c r="B238" s="5" t="s">
        <v>547</v>
      </c>
      <c r="C238" s="5" t="s">
        <v>43</v>
      </c>
      <c r="D238" s="5" t="s">
        <v>80</v>
      </c>
      <c r="E238" s="5" t="s">
        <v>18</v>
      </c>
      <c r="F238" s="5" t="s">
        <v>19</v>
      </c>
      <c r="G238" s="5" t="s">
        <v>36</v>
      </c>
      <c r="H238" s="5">
        <v>34</v>
      </c>
      <c r="I238" s="6">
        <v>41085</v>
      </c>
      <c r="J238" s="7">
        <v>83066</v>
      </c>
      <c r="K238" s="8">
        <v>0</v>
      </c>
      <c r="L238" s="5" t="s">
        <v>21</v>
      </c>
      <c r="M238" s="5" t="s">
        <v>37</v>
      </c>
      <c r="N238" s="6">
        <v>41430</v>
      </c>
    </row>
    <row r="239" spans="1:14" x14ac:dyDescent="0.35">
      <c r="A239" s="5" t="s">
        <v>548</v>
      </c>
      <c r="B239" s="5" t="s">
        <v>549</v>
      </c>
      <c r="C239" s="5" t="s">
        <v>124</v>
      </c>
      <c r="D239" s="5" t="s">
        <v>48</v>
      </c>
      <c r="E239" s="5" t="s">
        <v>18</v>
      </c>
      <c r="F239" s="5" t="s">
        <v>19</v>
      </c>
      <c r="G239" s="5" t="s">
        <v>85</v>
      </c>
      <c r="H239" s="5">
        <v>48</v>
      </c>
      <c r="I239" s="6">
        <v>41773</v>
      </c>
      <c r="J239" s="7">
        <v>61216</v>
      </c>
      <c r="K239" s="8">
        <v>0</v>
      </c>
      <c r="L239" s="5" t="s">
        <v>21</v>
      </c>
      <c r="M239" s="5" t="s">
        <v>22</v>
      </c>
      <c r="N239" s="6">
        <v>41430</v>
      </c>
    </row>
    <row r="240" spans="1:14" x14ac:dyDescent="0.35">
      <c r="A240" s="5" t="s">
        <v>550</v>
      </c>
      <c r="B240" s="5" t="s">
        <v>551</v>
      </c>
      <c r="C240" s="5" t="s">
        <v>16</v>
      </c>
      <c r="D240" s="5" t="s">
        <v>59</v>
      </c>
      <c r="E240" s="5" t="s">
        <v>49</v>
      </c>
      <c r="F240" s="5" t="s">
        <v>27</v>
      </c>
      <c r="G240" s="5" t="s">
        <v>36</v>
      </c>
      <c r="H240" s="5">
        <v>33</v>
      </c>
      <c r="I240" s="6">
        <v>41315</v>
      </c>
      <c r="J240" s="7">
        <v>144231</v>
      </c>
      <c r="K240" s="8">
        <v>0.14000000000000001</v>
      </c>
      <c r="L240" s="5" t="s">
        <v>21</v>
      </c>
      <c r="M240" s="5" t="s">
        <v>88</v>
      </c>
      <c r="N240" s="6">
        <v>44029</v>
      </c>
    </row>
    <row r="241" spans="1:14" x14ac:dyDescent="0.35">
      <c r="A241" s="5" t="s">
        <v>552</v>
      </c>
      <c r="B241" s="5" t="s">
        <v>553</v>
      </c>
      <c r="C241" s="5" t="s">
        <v>164</v>
      </c>
      <c r="D241" s="5" t="s">
        <v>65</v>
      </c>
      <c r="E241" s="5" t="s">
        <v>18</v>
      </c>
      <c r="F241" s="5" t="s">
        <v>27</v>
      </c>
      <c r="G241" s="5" t="s">
        <v>28</v>
      </c>
      <c r="H241" s="5">
        <v>41</v>
      </c>
      <c r="I241" s="6">
        <v>39379</v>
      </c>
      <c r="J241" s="7">
        <v>51630</v>
      </c>
      <c r="K241" s="8">
        <v>0</v>
      </c>
      <c r="L241" s="5" t="s">
        <v>29</v>
      </c>
      <c r="M241" s="5" t="s">
        <v>114</v>
      </c>
      <c r="N241" s="6">
        <v>44029</v>
      </c>
    </row>
    <row r="242" spans="1:14" x14ac:dyDescent="0.35">
      <c r="A242" s="5" t="s">
        <v>554</v>
      </c>
      <c r="B242" s="5" t="s">
        <v>555</v>
      </c>
      <c r="C242" s="5" t="s">
        <v>16</v>
      </c>
      <c r="D242" s="5" t="s">
        <v>48</v>
      </c>
      <c r="E242" s="5" t="s">
        <v>49</v>
      </c>
      <c r="F242" s="5" t="s">
        <v>27</v>
      </c>
      <c r="G242" s="5" t="s">
        <v>85</v>
      </c>
      <c r="H242" s="5">
        <v>55</v>
      </c>
      <c r="I242" s="6">
        <v>41594</v>
      </c>
      <c r="J242" s="7">
        <v>124129</v>
      </c>
      <c r="K242" s="8">
        <v>0.15</v>
      </c>
      <c r="L242" s="5" t="s">
        <v>93</v>
      </c>
      <c r="M242" s="5" t="s">
        <v>218</v>
      </c>
      <c r="N242" s="6">
        <v>44029</v>
      </c>
    </row>
    <row r="243" spans="1:14" x14ac:dyDescent="0.35">
      <c r="A243" s="5" t="s">
        <v>556</v>
      </c>
      <c r="B243" s="5" t="s">
        <v>557</v>
      </c>
      <c r="C243" s="5" t="s">
        <v>223</v>
      </c>
      <c r="D243" s="5" t="s">
        <v>69</v>
      </c>
      <c r="E243" s="5" t="s">
        <v>26</v>
      </c>
      <c r="F243" s="5" t="s">
        <v>27</v>
      </c>
      <c r="G243" s="5" t="s">
        <v>85</v>
      </c>
      <c r="H243" s="5">
        <v>36</v>
      </c>
      <c r="I243" s="6">
        <v>39912</v>
      </c>
      <c r="J243" s="7">
        <v>60055</v>
      </c>
      <c r="K243" s="8">
        <v>0</v>
      </c>
      <c r="L243" s="5" t="s">
        <v>21</v>
      </c>
      <c r="M243" s="5" t="s">
        <v>22</v>
      </c>
      <c r="N243" s="6">
        <v>44029</v>
      </c>
    </row>
    <row r="244" spans="1:14" x14ac:dyDescent="0.35">
      <c r="A244" s="5" t="s">
        <v>558</v>
      </c>
      <c r="B244" s="5" t="s">
        <v>559</v>
      </c>
      <c r="C244" s="5" t="s">
        <v>33</v>
      </c>
      <c r="D244" s="5" t="s">
        <v>69</v>
      </c>
      <c r="E244" s="5" t="s">
        <v>18</v>
      </c>
      <c r="F244" s="5" t="s">
        <v>27</v>
      </c>
      <c r="G244" s="5" t="s">
        <v>85</v>
      </c>
      <c r="H244" s="5">
        <v>31</v>
      </c>
      <c r="I244" s="6">
        <v>44069</v>
      </c>
      <c r="J244" s="7">
        <v>189290</v>
      </c>
      <c r="K244" s="8">
        <v>0.22</v>
      </c>
      <c r="L244" s="5" t="s">
        <v>93</v>
      </c>
      <c r="M244" s="5" t="s">
        <v>218</v>
      </c>
      <c r="N244" s="6">
        <v>44099</v>
      </c>
    </row>
    <row r="245" spans="1:14" x14ac:dyDescent="0.35">
      <c r="A245" s="5" t="s">
        <v>560</v>
      </c>
      <c r="B245" s="5" t="s">
        <v>561</v>
      </c>
      <c r="C245" s="5" t="s">
        <v>79</v>
      </c>
      <c r="D245" s="5" t="s">
        <v>17</v>
      </c>
      <c r="E245" s="5" t="s">
        <v>49</v>
      </c>
      <c r="F245" s="5" t="s">
        <v>19</v>
      </c>
      <c r="G245" s="5" t="s">
        <v>28</v>
      </c>
      <c r="H245" s="5">
        <v>53</v>
      </c>
      <c r="I245" s="6">
        <v>39568</v>
      </c>
      <c r="J245" s="7">
        <v>182202</v>
      </c>
      <c r="K245" s="8">
        <v>0.3</v>
      </c>
      <c r="L245" s="5" t="s">
        <v>21</v>
      </c>
      <c r="M245" s="5" t="s">
        <v>60</v>
      </c>
      <c r="N245" s="6">
        <v>44099</v>
      </c>
    </row>
    <row r="246" spans="1:14" x14ac:dyDescent="0.35">
      <c r="A246" s="5" t="s">
        <v>562</v>
      </c>
      <c r="B246" s="5" t="s">
        <v>563</v>
      </c>
      <c r="C246" s="5" t="s">
        <v>52</v>
      </c>
      <c r="D246" s="5" t="s">
        <v>48</v>
      </c>
      <c r="E246" s="5" t="s">
        <v>35</v>
      </c>
      <c r="F246" s="5" t="s">
        <v>27</v>
      </c>
      <c r="G246" s="5" t="s">
        <v>36</v>
      </c>
      <c r="H246" s="5">
        <v>43</v>
      </c>
      <c r="I246" s="6">
        <v>38748</v>
      </c>
      <c r="J246" s="7">
        <v>117518</v>
      </c>
      <c r="K246" s="8">
        <v>7.0000000000000007E-2</v>
      </c>
      <c r="L246" s="5" t="s">
        <v>21</v>
      </c>
      <c r="M246" s="5" t="s">
        <v>22</v>
      </c>
      <c r="N246" s="6">
        <v>44099</v>
      </c>
    </row>
    <row r="247" spans="1:14" x14ac:dyDescent="0.35">
      <c r="A247" s="5" t="s">
        <v>564</v>
      </c>
      <c r="B247" s="5" t="s">
        <v>565</v>
      </c>
      <c r="C247" s="5" t="s">
        <v>16</v>
      </c>
      <c r="D247" s="5" t="s">
        <v>34</v>
      </c>
      <c r="E247" s="5" t="s">
        <v>26</v>
      </c>
      <c r="F247" s="5" t="s">
        <v>19</v>
      </c>
      <c r="G247" s="5" t="s">
        <v>85</v>
      </c>
      <c r="H247" s="5">
        <v>37</v>
      </c>
      <c r="I247" s="6">
        <v>41329</v>
      </c>
      <c r="J247" s="7">
        <v>157474</v>
      </c>
      <c r="K247" s="8">
        <v>0.11</v>
      </c>
      <c r="L247" s="5" t="s">
        <v>93</v>
      </c>
      <c r="M247" s="5" t="s">
        <v>99</v>
      </c>
      <c r="N247" s="6">
        <v>44099</v>
      </c>
    </row>
    <row r="248" spans="1:14" x14ac:dyDescent="0.35">
      <c r="A248" s="5" t="s">
        <v>566</v>
      </c>
      <c r="B248" s="5" t="s">
        <v>567</v>
      </c>
      <c r="C248" s="5" t="s">
        <v>52</v>
      </c>
      <c r="D248" s="5" t="s">
        <v>80</v>
      </c>
      <c r="E248" s="5" t="s">
        <v>26</v>
      </c>
      <c r="F248" s="5" t="s">
        <v>27</v>
      </c>
      <c r="G248" s="5" t="s">
        <v>36</v>
      </c>
      <c r="H248" s="5">
        <v>38</v>
      </c>
      <c r="I248" s="6">
        <v>39544</v>
      </c>
      <c r="J248" s="7">
        <v>126856</v>
      </c>
      <c r="K248" s="8">
        <v>0.06</v>
      </c>
      <c r="L248" s="5" t="s">
        <v>21</v>
      </c>
      <c r="M248" s="5" t="s">
        <v>88</v>
      </c>
      <c r="N248" s="6">
        <v>44099</v>
      </c>
    </row>
    <row r="249" spans="1:14" x14ac:dyDescent="0.35">
      <c r="A249" s="5" t="s">
        <v>568</v>
      </c>
      <c r="B249" s="5" t="s">
        <v>569</v>
      </c>
      <c r="C249" s="5" t="s">
        <v>16</v>
      </c>
      <c r="D249" s="5" t="s">
        <v>59</v>
      </c>
      <c r="E249" s="5" t="s">
        <v>26</v>
      </c>
      <c r="F249" s="5" t="s">
        <v>19</v>
      </c>
      <c r="G249" s="5" t="s">
        <v>28</v>
      </c>
      <c r="H249" s="5">
        <v>49</v>
      </c>
      <c r="I249" s="6">
        <v>36983</v>
      </c>
      <c r="J249" s="7">
        <v>129124</v>
      </c>
      <c r="K249" s="8">
        <v>0.12</v>
      </c>
      <c r="L249" s="5" t="s">
        <v>29</v>
      </c>
      <c r="M249" s="5" t="s">
        <v>74</v>
      </c>
      <c r="N249" s="6">
        <v>44099</v>
      </c>
    </row>
    <row r="250" spans="1:14" x14ac:dyDescent="0.35">
      <c r="A250" s="5" t="s">
        <v>570</v>
      </c>
      <c r="B250" s="5" t="s">
        <v>571</v>
      </c>
      <c r="C250" s="5" t="s">
        <v>33</v>
      </c>
      <c r="D250" s="5" t="s">
        <v>48</v>
      </c>
      <c r="E250" s="5" t="s">
        <v>18</v>
      </c>
      <c r="F250" s="5" t="s">
        <v>19</v>
      </c>
      <c r="G250" s="5" t="s">
        <v>28</v>
      </c>
      <c r="H250" s="5">
        <v>45</v>
      </c>
      <c r="I250" s="6">
        <v>37316</v>
      </c>
      <c r="J250" s="7">
        <v>165181</v>
      </c>
      <c r="K250" s="8">
        <v>0.16</v>
      </c>
      <c r="L250" s="5" t="s">
        <v>21</v>
      </c>
      <c r="M250" s="5" t="s">
        <v>22</v>
      </c>
      <c r="N250" s="6">
        <v>44099</v>
      </c>
    </row>
    <row r="251" spans="1:14" x14ac:dyDescent="0.35">
      <c r="A251" s="5" t="s">
        <v>572</v>
      </c>
      <c r="B251" s="5" t="s">
        <v>573</v>
      </c>
      <c r="C251" s="5" t="s">
        <v>79</v>
      </c>
      <c r="D251" s="5" t="s">
        <v>34</v>
      </c>
      <c r="E251" s="5" t="s">
        <v>49</v>
      </c>
      <c r="F251" s="5" t="s">
        <v>27</v>
      </c>
      <c r="G251" s="5" t="s">
        <v>85</v>
      </c>
      <c r="H251" s="5">
        <v>50</v>
      </c>
      <c r="I251" s="6">
        <v>38004</v>
      </c>
      <c r="J251" s="7">
        <v>247939</v>
      </c>
      <c r="K251" s="8">
        <v>0.35</v>
      </c>
      <c r="L251" s="5" t="s">
        <v>93</v>
      </c>
      <c r="M251" s="5" t="s">
        <v>99</v>
      </c>
      <c r="N251" s="6">
        <v>44099</v>
      </c>
    </row>
    <row r="252" spans="1:14" x14ac:dyDescent="0.35">
      <c r="A252" s="5" t="s">
        <v>574</v>
      </c>
      <c r="B252" s="5" t="s">
        <v>575</v>
      </c>
      <c r="C252" s="5" t="s">
        <v>33</v>
      </c>
      <c r="D252" s="5" t="s">
        <v>69</v>
      </c>
      <c r="E252" s="5" t="s">
        <v>35</v>
      </c>
      <c r="F252" s="5" t="s">
        <v>27</v>
      </c>
      <c r="G252" s="5" t="s">
        <v>85</v>
      </c>
      <c r="H252" s="5">
        <v>64</v>
      </c>
      <c r="I252" s="6">
        <v>42972</v>
      </c>
      <c r="J252" s="7">
        <v>169509</v>
      </c>
      <c r="K252" s="8">
        <v>0.18</v>
      </c>
      <c r="L252" s="5" t="s">
        <v>93</v>
      </c>
      <c r="M252" s="5" t="s">
        <v>94</v>
      </c>
      <c r="N252" s="6">
        <v>44099</v>
      </c>
    </row>
    <row r="253" spans="1:14" x14ac:dyDescent="0.35">
      <c r="A253" s="5" t="s">
        <v>576</v>
      </c>
      <c r="B253" s="5" t="s">
        <v>577</v>
      </c>
      <c r="C253" s="5" t="s">
        <v>16</v>
      </c>
      <c r="D253" s="5" t="s">
        <v>59</v>
      </c>
      <c r="E253" s="5" t="s">
        <v>26</v>
      </c>
      <c r="F253" s="5" t="s">
        <v>19</v>
      </c>
      <c r="G253" s="5" t="s">
        <v>36</v>
      </c>
      <c r="H253" s="5">
        <v>55</v>
      </c>
      <c r="I253" s="6">
        <v>40552</v>
      </c>
      <c r="J253" s="7">
        <v>138521</v>
      </c>
      <c r="K253" s="8">
        <v>0.1</v>
      </c>
      <c r="L253" s="5" t="s">
        <v>21</v>
      </c>
      <c r="M253" s="5" t="s">
        <v>56</v>
      </c>
      <c r="N253" s="6">
        <v>44099</v>
      </c>
    </row>
    <row r="254" spans="1:14" x14ac:dyDescent="0.35">
      <c r="A254" s="5" t="s">
        <v>578</v>
      </c>
      <c r="B254" s="5" t="s">
        <v>579</v>
      </c>
      <c r="C254" s="5" t="s">
        <v>113</v>
      </c>
      <c r="D254" s="5" t="s">
        <v>69</v>
      </c>
      <c r="E254" s="5" t="s">
        <v>35</v>
      </c>
      <c r="F254" s="5" t="s">
        <v>19</v>
      </c>
      <c r="G254" s="5" t="s">
        <v>85</v>
      </c>
      <c r="H254" s="5">
        <v>45</v>
      </c>
      <c r="I254" s="6">
        <v>41712</v>
      </c>
      <c r="J254" s="7">
        <v>113873</v>
      </c>
      <c r="K254" s="8">
        <v>0.11</v>
      </c>
      <c r="L254" s="5" t="s">
        <v>93</v>
      </c>
      <c r="M254" s="5" t="s">
        <v>99</v>
      </c>
      <c r="N254" s="6">
        <v>44099</v>
      </c>
    </row>
    <row r="255" spans="1:14" x14ac:dyDescent="0.35">
      <c r="A255" s="5" t="s">
        <v>580</v>
      </c>
      <c r="B255" s="5" t="s">
        <v>581</v>
      </c>
      <c r="C255" s="5" t="s">
        <v>131</v>
      </c>
      <c r="D255" s="5" t="s">
        <v>17</v>
      </c>
      <c r="E255" s="5" t="s">
        <v>49</v>
      </c>
      <c r="F255" s="5" t="s">
        <v>19</v>
      </c>
      <c r="G255" s="5" t="s">
        <v>20</v>
      </c>
      <c r="H255" s="5">
        <v>39</v>
      </c>
      <c r="I255" s="6">
        <v>43229</v>
      </c>
      <c r="J255" s="7">
        <v>73317</v>
      </c>
      <c r="K255" s="8">
        <v>0</v>
      </c>
      <c r="L255" s="5" t="s">
        <v>21</v>
      </c>
      <c r="M255" s="5" t="s">
        <v>56</v>
      </c>
      <c r="N255" s="6">
        <v>44099</v>
      </c>
    </row>
    <row r="256" spans="1:14" x14ac:dyDescent="0.35">
      <c r="A256" s="5" t="s">
        <v>582</v>
      </c>
      <c r="B256" s="5" t="s">
        <v>583</v>
      </c>
      <c r="C256" s="5" t="s">
        <v>462</v>
      </c>
      <c r="D256" s="5" t="s">
        <v>17</v>
      </c>
      <c r="E256" s="5" t="s">
        <v>35</v>
      </c>
      <c r="F256" s="5" t="s">
        <v>19</v>
      </c>
      <c r="G256" s="5" t="s">
        <v>28</v>
      </c>
      <c r="H256" s="5">
        <v>40</v>
      </c>
      <c r="I256" s="6">
        <v>41451</v>
      </c>
      <c r="J256" s="7">
        <v>69096</v>
      </c>
      <c r="K256" s="8">
        <v>0</v>
      </c>
      <c r="L256" s="5" t="s">
        <v>21</v>
      </c>
      <c r="M256" s="5" t="s">
        <v>22</v>
      </c>
      <c r="N256" s="6">
        <v>44099</v>
      </c>
    </row>
    <row r="257" spans="1:14" x14ac:dyDescent="0.35">
      <c r="A257" s="5" t="s">
        <v>584</v>
      </c>
      <c r="B257" s="5" t="s">
        <v>585</v>
      </c>
      <c r="C257" s="5" t="s">
        <v>143</v>
      </c>
      <c r="D257" s="5" t="s">
        <v>65</v>
      </c>
      <c r="E257" s="5" t="s">
        <v>26</v>
      </c>
      <c r="F257" s="5" t="s">
        <v>27</v>
      </c>
      <c r="G257" s="5" t="s">
        <v>85</v>
      </c>
      <c r="H257" s="5">
        <v>48</v>
      </c>
      <c r="I257" s="6">
        <v>38454</v>
      </c>
      <c r="J257" s="7">
        <v>87158</v>
      </c>
      <c r="K257" s="8">
        <v>0</v>
      </c>
      <c r="L257" s="5" t="s">
        <v>93</v>
      </c>
      <c r="M257" s="5" t="s">
        <v>94</v>
      </c>
      <c r="N257" s="6">
        <v>44099</v>
      </c>
    </row>
    <row r="258" spans="1:14" x14ac:dyDescent="0.35">
      <c r="A258" s="5" t="s">
        <v>586</v>
      </c>
      <c r="B258" s="5" t="s">
        <v>587</v>
      </c>
      <c r="C258" s="5" t="s">
        <v>223</v>
      </c>
      <c r="D258" s="5" t="s">
        <v>69</v>
      </c>
      <c r="E258" s="5" t="s">
        <v>49</v>
      </c>
      <c r="F258" s="5" t="s">
        <v>27</v>
      </c>
      <c r="G258" s="5" t="s">
        <v>85</v>
      </c>
      <c r="H258" s="5">
        <v>64</v>
      </c>
      <c r="I258" s="6">
        <v>33875</v>
      </c>
      <c r="J258" s="7">
        <v>70778</v>
      </c>
      <c r="K258" s="8">
        <v>0</v>
      </c>
      <c r="L258" s="5" t="s">
        <v>21</v>
      </c>
      <c r="M258" s="5" t="s">
        <v>60</v>
      </c>
      <c r="N258" s="6">
        <v>44099</v>
      </c>
    </row>
    <row r="259" spans="1:14" x14ac:dyDescent="0.35">
      <c r="A259" s="5" t="s">
        <v>588</v>
      </c>
      <c r="B259" s="5" t="s">
        <v>589</v>
      </c>
      <c r="C259" s="5" t="s">
        <v>33</v>
      </c>
      <c r="D259" s="5" t="s">
        <v>65</v>
      </c>
      <c r="E259" s="5" t="s">
        <v>35</v>
      </c>
      <c r="F259" s="5" t="s">
        <v>19</v>
      </c>
      <c r="G259" s="5" t="s">
        <v>85</v>
      </c>
      <c r="H259" s="5">
        <v>65</v>
      </c>
      <c r="I259" s="6">
        <v>38130</v>
      </c>
      <c r="J259" s="7">
        <v>153938</v>
      </c>
      <c r="K259" s="8">
        <v>0.2</v>
      </c>
      <c r="L259" s="5" t="s">
        <v>21</v>
      </c>
      <c r="M259" s="5" t="s">
        <v>44</v>
      </c>
      <c r="N259" s="6">
        <v>44099</v>
      </c>
    </row>
    <row r="260" spans="1:14" x14ac:dyDescent="0.35">
      <c r="A260" s="5" t="s">
        <v>590</v>
      </c>
      <c r="B260" s="5" t="s">
        <v>591</v>
      </c>
      <c r="C260" s="5" t="s">
        <v>330</v>
      </c>
      <c r="D260" s="5" t="s">
        <v>17</v>
      </c>
      <c r="E260" s="5" t="s">
        <v>18</v>
      </c>
      <c r="F260" s="5" t="s">
        <v>27</v>
      </c>
      <c r="G260" s="5" t="s">
        <v>28</v>
      </c>
      <c r="H260" s="5">
        <v>43</v>
      </c>
      <c r="I260" s="6">
        <v>43224</v>
      </c>
      <c r="J260" s="7">
        <v>59888</v>
      </c>
      <c r="K260" s="8">
        <v>0</v>
      </c>
      <c r="L260" s="5" t="s">
        <v>29</v>
      </c>
      <c r="M260" s="5" t="s">
        <v>114</v>
      </c>
      <c r="N260" s="6">
        <v>44099</v>
      </c>
    </row>
    <row r="261" spans="1:14" x14ac:dyDescent="0.35">
      <c r="A261" s="5" t="s">
        <v>592</v>
      </c>
      <c r="B261" s="5" t="s">
        <v>593</v>
      </c>
      <c r="C261" s="5" t="s">
        <v>223</v>
      </c>
      <c r="D261" s="5" t="s">
        <v>69</v>
      </c>
      <c r="E261" s="5" t="s">
        <v>49</v>
      </c>
      <c r="F261" s="5" t="s">
        <v>27</v>
      </c>
      <c r="G261" s="5" t="s">
        <v>36</v>
      </c>
      <c r="H261" s="5">
        <v>50</v>
      </c>
      <c r="I261" s="6">
        <v>43447</v>
      </c>
      <c r="J261" s="7">
        <v>63098</v>
      </c>
      <c r="K261" s="8">
        <v>0</v>
      </c>
      <c r="L261" s="5" t="s">
        <v>21</v>
      </c>
      <c r="M261" s="5" t="s">
        <v>88</v>
      </c>
      <c r="N261" s="6">
        <v>44099</v>
      </c>
    </row>
    <row r="262" spans="1:14" x14ac:dyDescent="0.35">
      <c r="A262" s="5" t="s">
        <v>594</v>
      </c>
      <c r="B262" s="5" t="s">
        <v>595</v>
      </c>
      <c r="C262" s="5" t="s">
        <v>79</v>
      </c>
      <c r="D262" s="5" t="s">
        <v>34</v>
      </c>
      <c r="E262" s="5" t="s">
        <v>49</v>
      </c>
      <c r="F262" s="5" t="s">
        <v>19</v>
      </c>
      <c r="G262" s="5" t="s">
        <v>85</v>
      </c>
      <c r="H262" s="5">
        <v>27</v>
      </c>
      <c r="I262" s="6">
        <v>44545</v>
      </c>
      <c r="J262" s="7">
        <v>255369</v>
      </c>
      <c r="K262" s="8">
        <v>0.33</v>
      </c>
      <c r="L262" s="5" t="s">
        <v>93</v>
      </c>
      <c r="M262" s="5" t="s">
        <v>218</v>
      </c>
      <c r="N262" s="6">
        <v>44099</v>
      </c>
    </row>
    <row r="263" spans="1:14" x14ac:dyDescent="0.35">
      <c r="A263" s="5" t="s">
        <v>596</v>
      </c>
      <c r="B263" s="5" t="s">
        <v>597</v>
      </c>
      <c r="C263" s="5" t="s">
        <v>16</v>
      </c>
      <c r="D263" s="5" t="s">
        <v>65</v>
      </c>
      <c r="E263" s="5" t="s">
        <v>26</v>
      </c>
      <c r="F263" s="5" t="s">
        <v>19</v>
      </c>
      <c r="G263" s="5" t="s">
        <v>20</v>
      </c>
      <c r="H263" s="5">
        <v>55</v>
      </c>
      <c r="I263" s="6">
        <v>38301</v>
      </c>
      <c r="J263" s="7">
        <v>142318</v>
      </c>
      <c r="K263" s="8">
        <v>0.14000000000000001</v>
      </c>
      <c r="L263" s="5" t="s">
        <v>21</v>
      </c>
      <c r="M263" s="5" t="s">
        <v>37</v>
      </c>
      <c r="N263" s="6">
        <v>44099</v>
      </c>
    </row>
    <row r="264" spans="1:14" x14ac:dyDescent="0.35">
      <c r="A264" s="5" t="s">
        <v>598</v>
      </c>
      <c r="B264" s="5" t="s">
        <v>599</v>
      </c>
      <c r="C264" s="5" t="s">
        <v>184</v>
      </c>
      <c r="D264" s="5" t="s">
        <v>65</v>
      </c>
      <c r="E264" s="5" t="s">
        <v>26</v>
      </c>
      <c r="F264" s="5" t="s">
        <v>27</v>
      </c>
      <c r="G264" s="5" t="s">
        <v>20</v>
      </c>
      <c r="H264" s="5">
        <v>41</v>
      </c>
      <c r="I264" s="6">
        <v>38219</v>
      </c>
      <c r="J264" s="7">
        <v>49186</v>
      </c>
      <c r="K264" s="8">
        <v>0</v>
      </c>
      <c r="L264" s="5" t="s">
        <v>21</v>
      </c>
      <c r="M264" s="5" t="s">
        <v>60</v>
      </c>
      <c r="N264" s="6">
        <v>39616</v>
      </c>
    </row>
    <row r="265" spans="1:14" x14ac:dyDescent="0.35">
      <c r="A265" s="5" t="s">
        <v>600</v>
      </c>
      <c r="B265" s="5" t="s">
        <v>601</v>
      </c>
      <c r="C265" s="5" t="s">
        <v>79</v>
      </c>
      <c r="D265" s="5" t="s">
        <v>65</v>
      </c>
      <c r="E265" s="5" t="s">
        <v>18</v>
      </c>
      <c r="F265" s="5" t="s">
        <v>19</v>
      </c>
      <c r="G265" s="5" t="s">
        <v>20</v>
      </c>
      <c r="H265" s="5">
        <v>34</v>
      </c>
      <c r="I265" s="6">
        <v>43673</v>
      </c>
      <c r="J265" s="7">
        <v>220937</v>
      </c>
      <c r="K265" s="8">
        <v>0.38</v>
      </c>
      <c r="L265" s="5" t="s">
        <v>21</v>
      </c>
      <c r="M265" s="5" t="s">
        <v>60</v>
      </c>
      <c r="N265" s="6">
        <v>39616</v>
      </c>
    </row>
    <row r="266" spans="1:14" x14ac:dyDescent="0.35">
      <c r="A266" s="5" t="s">
        <v>602</v>
      </c>
      <c r="B266" s="5" t="s">
        <v>603</v>
      </c>
      <c r="C266" s="5" t="s">
        <v>33</v>
      </c>
      <c r="D266" s="5" t="s">
        <v>17</v>
      </c>
      <c r="E266" s="5" t="s">
        <v>35</v>
      </c>
      <c r="F266" s="5" t="s">
        <v>19</v>
      </c>
      <c r="G266" s="5" t="s">
        <v>28</v>
      </c>
      <c r="H266" s="5">
        <v>47</v>
      </c>
      <c r="I266" s="6">
        <v>41208</v>
      </c>
      <c r="J266" s="7">
        <v>183156</v>
      </c>
      <c r="K266" s="8">
        <v>0.3</v>
      </c>
      <c r="L266" s="5" t="s">
        <v>21</v>
      </c>
      <c r="M266" s="5" t="s">
        <v>22</v>
      </c>
      <c r="N266" s="6">
        <v>39616</v>
      </c>
    </row>
    <row r="267" spans="1:14" x14ac:dyDescent="0.35">
      <c r="A267" s="5" t="s">
        <v>604</v>
      </c>
      <c r="B267" s="5" t="s">
        <v>605</v>
      </c>
      <c r="C267" s="5" t="s">
        <v>79</v>
      </c>
      <c r="D267" s="5" t="s">
        <v>17</v>
      </c>
      <c r="E267" s="5" t="s">
        <v>35</v>
      </c>
      <c r="F267" s="5" t="s">
        <v>19</v>
      </c>
      <c r="G267" s="5" t="s">
        <v>85</v>
      </c>
      <c r="H267" s="5">
        <v>32</v>
      </c>
      <c r="I267" s="6">
        <v>44034</v>
      </c>
      <c r="J267" s="7">
        <v>192749</v>
      </c>
      <c r="K267" s="8">
        <v>0.31</v>
      </c>
      <c r="L267" s="5" t="s">
        <v>21</v>
      </c>
      <c r="M267" s="5" t="s">
        <v>37</v>
      </c>
      <c r="N267" s="6">
        <v>39616</v>
      </c>
    </row>
    <row r="268" spans="1:14" x14ac:dyDescent="0.35">
      <c r="A268" s="5" t="s">
        <v>606</v>
      </c>
      <c r="B268" s="5" t="s">
        <v>607</v>
      </c>
      <c r="C268" s="5" t="s">
        <v>16</v>
      </c>
      <c r="D268" s="5" t="s">
        <v>17</v>
      </c>
      <c r="E268" s="5" t="s">
        <v>26</v>
      </c>
      <c r="F268" s="5" t="s">
        <v>19</v>
      </c>
      <c r="G268" s="5" t="s">
        <v>28</v>
      </c>
      <c r="H268" s="5">
        <v>39</v>
      </c>
      <c r="I268" s="6">
        <v>42819</v>
      </c>
      <c r="J268" s="7">
        <v>135325</v>
      </c>
      <c r="K268" s="8">
        <v>0.14000000000000001</v>
      </c>
      <c r="L268" s="5" t="s">
        <v>21</v>
      </c>
      <c r="M268" s="5" t="s">
        <v>44</v>
      </c>
      <c r="N268" s="6">
        <v>39616</v>
      </c>
    </row>
    <row r="269" spans="1:14" x14ac:dyDescent="0.35">
      <c r="A269" s="5" t="s">
        <v>608</v>
      </c>
      <c r="B269" s="5" t="s">
        <v>609</v>
      </c>
      <c r="C269" s="5" t="s">
        <v>43</v>
      </c>
      <c r="D269" s="5" t="s">
        <v>48</v>
      </c>
      <c r="E269" s="5" t="s">
        <v>35</v>
      </c>
      <c r="F269" s="5" t="s">
        <v>19</v>
      </c>
      <c r="G269" s="5" t="s">
        <v>36</v>
      </c>
      <c r="H269" s="5">
        <v>26</v>
      </c>
      <c r="I269" s="6">
        <v>43752</v>
      </c>
      <c r="J269" s="7">
        <v>79356</v>
      </c>
      <c r="K269" s="8">
        <v>0</v>
      </c>
      <c r="L269" s="5" t="s">
        <v>21</v>
      </c>
      <c r="M269" s="5" t="s">
        <v>44</v>
      </c>
      <c r="N269" s="6">
        <v>39616</v>
      </c>
    </row>
    <row r="270" spans="1:14" x14ac:dyDescent="0.35">
      <c r="A270" s="5" t="s">
        <v>610</v>
      </c>
      <c r="B270" s="5" t="s">
        <v>611</v>
      </c>
      <c r="C270" s="5" t="s">
        <v>277</v>
      </c>
      <c r="D270" s="5" t="s">
        <v>69</v>
      </c>
      <c r="E270" s="5" t="s">
        <v>26</v>
      </c>
      <c r="F270" s="5" t="s">
        <v>27</v>
      </c>
      <c r="G270" s="5" t="s">
        <v>20</v>
      </c>
      <c r="H270" s="5">
        <v>40</v>
      </c>
      <c r="I270" s="6">
        <v>38540</v>
      </c>
      <c r="J270" s="7">
        <v>74412</v>
      </c>
      <c r="K270" s="8">
        <v>0</v>
      </c>
      <c r="L270" s="5" t="s">
        <v>21</v>
      </c>
      <c r="M270" s="5" t="s">
        <v>22</v>
      </c>
      <c r="N270" s="6">
        <v>39616</v>
      </c>
    </row>
    <row r="271" spans="1:14" x14ac:dyDescent="0.35">
      <c r="A271" s="5" t="s">
        <v>232</v>
      </c>
      <c r="B271" s="5" t="s">
        <v>612</v>
      </c>
      <c r="C271" s="5" t="s">
        <v>40</v>
      </c>
      <c r="D271" s="5" t="s">
        <v>17</v>
      </c>
      <c r="E271" s="5" t="s">
        <v>26</v>
      </c>
      <c r="F271" s="5" t="s">
        <v>19</v>
      </c>
      <c r="G271" s="5" t="s">
        <v>85</v>
      </c>
      <c r="H271" s="5">
        <v>32</v>
      </c>
      <c r="I271" s="6">
        <v>43010</v>
      </c>
      <c r="J271" s="7">
        <v>61886</v>
      </c>
      <c r="K271" s="8">
        <v>0.09</v>
      </c>
      <c r="L271" s="5" t="s">
        <v>93</v>
      </c>
      <c r="M271" s="5" t="s">
        <v>99</v>
      </c>
      <c r="N271" s="6">
        <v>39616</v>
      </c>
    </row>
    <row r="272" spans="1:14" x14ac:dyDescent="0.35">
      <c r="A272" s="5" t="s">
        <v>613</v>
      </c>
      <c r="B272" s="5" t="s">
        <v>614</v>
      </c>
      <c r="C272" s="5" t="s">
        <v>33</v>
      </c>
      <c r="D272" s="5" t="s">
        <v>59</v>
      </c>
      <c r="E272" s="5" t="s">
        <v>18</v>
      </c>
      <c r="F272" s="5" t="s">
        <v>19</v>
      </c>
      <c r="G272" s="5" t="s">
        <v>28</v>
      </c>
      <c r="H272" s="5">
        <v>58</v>
      </c>
      <c r="I272" s="6">
        <v>37755</v>
      </c>
      <c r="J272" s="7">
        <v>173071</v>
      </c>
      <c r="K272" s="8">
        <v>0.28999999999999998</v>
      </c>
      <c r="L272" s="5" t="s">
        <v>21</v>
      </c>
      <c r="M272" s="5" t="s">
        <v>88</v>
      </c>
      <c r="N272" s="6">
        <v>39616</v>
      </c>
    </row>
    <row r="273" spans="1:14" x14ac:dyDescent="0.35">
      <c r="A273" s="5" t="s">
        <v>615</v>
      </c>
      <c r="B273" s="5" t="s">
        <v>616</v>
      </c>
      <c r="C273" s="5" t="s">
        <v>175</v>
      </c>
      <c r="D273" s="5" t="s">
        <v>69</v>
      </c>
      <c r="E273" s="5" t="s">
        <v>18</v>
      </c>
      <c r="F273" s="5" t="s">
        <v>19</v>
      </c>
      <c r="G273" s="5" t="s">
        <v>36</v>
      </c>
      <c r="H273" s="5">
        <v>58</v>
      </c>
      <c r="I273" s="6">
        <v>34999</v>
      </c>
      <c r="J273" s="7">
        <v>70189</v>
      </c>
      <c r="K273" s="8">
        <v>0</v>
      </c>
      <c r="L273" s="5" t="s">
        <v>21</v>
      </c>
      <c r="M273" s="5" t="s">
        <v>88</v>
      </c>
      <c r="N273" s="6">
        <v>39616</v>
      </c>
    </row>
    <row r="274" spans="1:14" x14ac:dyDescent="0.35">
      <c r="A274" s="5" t="s">
        <v>617</v>
      </c>
      <c r="B274" s="5" t="s">
        <v>618</v>
      </c>
      <c r="C274" s="5" t="s">
        <v>79</v>
      </c>
      <c r="D274" s="5" t="s">
        <v>48</v>
      </c>
      <c r="E274" s="5" t="s">
        <v>18</v>
      </c>
      <c r="F274" s="5" t="s">
        <v>19</v>
      </c>
      <c r="G274" s="5" t="s">
        <v>85</v>
      </c>
      <c r="H274" s="5">
        <v>42</v>
      </c>
      <c r="I274" s="6">
        <v>41528</v>
      </c>
      <c r="J274" s="7">
        <v>181452</v>
      </c>
      <c r="K274" s="8">
        <v>0.3</v>
      </c>
      <c r="L274" s="5" t="s">
        <v>21</v>
      </c>
      <c r="M274" s="5" t="s">
        <v>88</v>
      </c>
      <c r="N274" s="6">
        <v>39616</v>
      </c>
    </row>
    <row r="275" spans="1:14" x14ac:dyDescent="0.35">
      <c r="A275" s="5" t="s">
        <v>619</v>
      </c>
      <c r="B275" s="5" t="s">
        <v>620</v>
      </c>
      <c r="C275" s="5" t="s">
        <v>164</v>
      </c>
      <c r="D275" s="5" t="s">
        <v>65</v>
      </c>
      <c r="E275" s="5" t="s">
        <v>35</v>
      </c>
      <c r="F275" s="5" t="s">
        <v>27</v>
      </c>
      <c r="G275" s="5" t="s">
        <v>36</v>
      </c>
      <c r="H275" s="5">
        <v>26</v>
      </c>
      <c r="I275" s="6">
        <v>44267</v>
      </c>
      <c r="J275" s="7">
        <v>70369</v>
      </c>
      <c r="K275" s="8">
        <v>0</v>
      </c>
      <c r="L275" s="5" t="s">
        <v>21</v>
      </c>
      <c r="M275" s="5" t="s">
        <v>22</v>
      </c>
      <c r="N275" s="6">
        <v>39616</v>
      </c>
    </row>
    <row r="276" spans="1:14" x14ac:dyDescent="0.35">
      <c r="A276" s="5" t="s">
        <v>621</v>
      </c>
      <c r="B276" s="5" t="s">
        <v>622</v>
      </c>
      <c r="C276" s="5" t="s">
        <v>43</v>
      </c>
      <c r="D276" s="5" t="s">
        <v>59</v>
      </c>
      <c r="E276" s="5" t="s">
        <v>26</v>
      </c>
      <c r="F276" s="5" t="s">
        <v>27</v>
      </c>
      <c r="G276" s="5" t="s">
        <v>85</v>
      </c>
      <c r="H276" s="5">
        <v>38</v>
      </c>
      <c r="I276" s="6">
        <v>39634</v>
      </c>
      <c r="J276" s="7">
        <v>78056</v>
      </c>
      <c r="K276" s="8">
        <v>0</v>
      </c>
      <c r="L276" s="5" t="s">
        <v>93</v>
      </c>
      <c r="M276" s="5" t="s">
        <v>218</v>
      </c>
      <c r="N276" s="6">
        <v>39616</v>
      </c>
    </row>
    <row r="277" spans="1:14" x14ac:dyDescent="0.35">
      <c r="A277" s="5" t="s">
        <v>623</v>
      </c>
      <c r="B277" s="5" t="s">
        <v>624</v>
      </c>
      <c r="C277" s="5" t="s">
        <v>33</v>
      </c>
      <c r="D277" s="5" t="s">
        <v>34</v>
      </c>
      <c r="E277" s="5" t="s">
        <v>18</v>
      </c>
      <c r="F277" s="5" t="s">
        <v>27</v>
      </c>
      <c r="G277" s="5" t="s">
        <v>28</v>
      </c>
      <c r="H277" s="5">
        <v>64</v>
      </c>
      <c r="I277" s="6">
        <v>35187</v>
      </c>
      <c r="J277" s="7">
        <v>189933</v>
      </c>
      <c r="K277" s="8">
        <v>0.23</v>
      </c>
      <c r="L277" s="5" t="s">
        <v>21</v>
      </c>
      <c r="M277" s="5" t="s">
        <v>56</v>
      </c>
      <c r="N277" s="6">
        <v>39616</v>
      </c>
    </row>
    <row r="278" spans="1:14" x14ac:dyDescent="0.35">
      <c r="A278" s="5" t="s">
        <v>53</v>
      </c>
      <c r="B278" s="5" t="s">
        <v>625</v>
      </c>
      <c r="C278" s="5" t="s">
        <v>178</v>
      </c>
      <c r="D278" s="5" t="s">
        <v>69</v>
      </c>
      <c r="E278" s="5" t="s">
        <v>35</v>
      </c>
      <c r="F278" s="5" t="s">
        <v>27</v>
      </c>
      <c r="G278" s="5" t="s">
        <v>36</v>
      </c>
      <c r="H278" s="5">
        <v>38</v>
      </c>
      <c r="I278" s="6">
        <v>40360</v>
      </c>
      <c r="J278" s="7">
        <v>78237</v>
      </c>
      <c r="K278" s="8">
        <v>0</v>
      </c>
      <c r="L278" s="5" t="s">
        <v>21</v>
      </c>
      <c r="M278" s="5" t="s">
        <v>44</v>
      </c>
      <c r="N278" s="6">
        <v>39616</v>
      </c>
    </row>
    <row r="279" spans="1:14" x14ac:dyDescent="0.35">
      <c r="A279" s="5" t="s">
        <v>626</v>
      </c>
      <c r="B279" s="5" t="s">
        <v>627</v>
      </c>
      <c r="C279" s="5" t="s">
        <v>55</v>
      </c>
      <c r="D279" s="5" t="s">
        <v>59</v>
      </c>
      <c r="E279" s="5" t="s">
        <v>18</v>
      </c>
      <c r="F279" s="5" t="s">
        <v>19</v>
      </c>
      <c r="G279" s="5" t="s">
        <v>85</v>
      </c>
      <c r="H279" s="5">
        <v>55</v>
      </c>
      <c r="I279" s="6">
        <v>35242</v>
      </c>
      <c r="J279" s="7">
        <v>48687</v>
      </c>
      <c r="K279" s="8">
        <v>0</v>
      </c>
      <c r="L279" s="5" t="s">
        <v>93</v>
      </c>
      <c r="M279" s="5" t="s">
        <v>99</v>
      </c>
      <c r="N279" s="6">
        <v>39616</v>
      </c>
    </row>
    <row r="280" spans="1:14" x14ac:dyDescent="0.35">
      <c r="A280" s="5" t="s">
        <v>628</v>
      </c>
      <c r="B280" s="5" t="s">
        <v>629</v>
      </c>
      <c r="C280" s="5" t="s">
        <v>16</v>
      </c>
      <c r="D280" s="5" t="s">
        <v>80</v>
      </c>
      <c r="E280" s="5" t="s">
        <v>26</v>
      </c>
      <c r="F280" s="5" t="s">
        <v>19</v>
      </c>
      <c r="G280" s="5" t="s">
        <v>85</v>
      </c>
      <c r="H280" s="5">
        <v>45</v>
      </c>
      <c r="I280" s="6">
        <v>38218</v>
      </c>
      <c r="J280" s="7">
        <v>121065</v>
      </c>
      <c r="K280" s="8">
        <v>0.15</v>
      </c>
      <c r="L280" s="5" t="s">
        <v>93</v>
      </c>
      <c r="M280" s="5" t="s">
        <v>99</v>
      </c>
      <c r="N280" s="6">
        <v>39616</v>
      </c>
    </row>
    <row r="281" spans="1:14" x14ac:dyDescent="0.35">
      <c r="A281" s="5" t="s">
        <v>630</v>
      </c>
      <c r="B281" s="5" t="s">
        <v>631</v>
      </c>
      <c r="C281" s="5" t="s">
        <v>43</v>
      </c>
      <c r="D281" s="5" t="s">
        <v>48</v>
      </c>
      <c r="E281" s="5" t="s">
        <v>49</v>
      </c>
      <c r="F281" s="5" t="s">
        <v>27</v>
      </c>
      <c r="G281" s="5" t="s">
        <v>20</v>
      </c>
      <c r="H281" s="5">
        <v>43</v>
      </c>
      <c r="I281" s="6">
        <v>38093</v>
      </c>
      <c r="J281" s="7">
        <v>94246</v>
      </c>
      <c r="K281" s="8">
        <v>0</v>
      </c>
      <c r="L281" s="5" t="s">
        <v>21</v>
      </c>
      <c r="M281" s="5" t="s">
        <v>60</v>
      </c>
      <c r="N281" s="6">
        <v>39616</v>
      </c>
    </row>
    <row r="282" spans="1:14" x14ac:dyDescent="0.35">
      <c r="A282" s="5" t="s">
        <v>290</v>
      </c>
      <c r="B282" s="5" t="s">
        <v>632</v>
      </c>
      <c r="C282" s="5" t="s">
        <v>330</v>
      </c>
      <c r="D282" s="5" t="s">
        <v>17</v>
      </c>
      <c r="E282" s="5" t="s">
        <v>26</v>
      </c>
      <c r="F282" s="5" t="s">
        <v>19</v>
      </c>
      <c r="G282" s="5" t="s">
        <v>28</v>
      </c>
      <c r="H282" s="5">
        <v>34</v>
      </c>
      <c r="I282" s="6">
        <v>42512</v>
      </c>
      <c r="J282" s="7">
        <v>44614</v>
      </c>
      <c r="K282" s="8">
        <v>0</v>
      </c>
      <c r="L282" s="5" t="s">
        <v>21</v>
      </c>
      <c r="M282" s="5" t="s">
        <v>56</v>
      </c>
      <c r="N282" s="6">
        <v>39616</v>
      </c>
    </row>
    <row r="283" spans="1:14" x14ac:dyDescent="0.35">
      <c r="A283" s="5" t="s">
        <v>633</v>
      </c>
      <c r="B283" s="5" t="s">
        <v>634</v>
      </c>
      <c r="C283" s="5" t="s">
        <v>79</v>
      </c>
      <c r="D283" s="5" t="s">
        <v>17</v>
      </c>
      <c r="E283" s="5" t="s">
        <v>18</v>
      </c>
      <c r="F283" s="5" t="s">
        <v>27</v>
      </c>
      <c r="G283" s="5" t="s">
        <v>28</v>
      </c>
      <c r="H283" s="5">
        <v>40</v>
      </c>
      <c r="I283" s="6">
        <v>44143</v>
      </c>
      <c r="J283" s="7">
        <v>234469</v>
      </c>
      <c r="K283" s="8">
        <v>0.31</v>
      </c>
      <c r="L283" s="5" t="s">
        <v>29</v>
      </c>
      <c r="M283" s="5" t="s">
        <v>134</v>
      </c>
      <c r="N283" s="6">
        <v>39616</v>
      </c>
    </row>
    <row r="284" spans="1:14" x14ac:dyDescent="0.35">
      <c r="A284" s="5" t="s">
        <v>635</v>
      </c>
      <c r="B284" s="5" t="s">
        <v>636</v>
      </c>
      <c r="C284" s="5" t="s">
        <v>178</v>
      </c>
      <c r="D284" s="5" t="s">
        <v>69</v>
      </c>
      <c r="E284" s="5" t="s">
        <v>18</v>
      </c>
      <c r="F284" s="5" t="s">
        <v>27</v>
      </c>
      <c r="G284" s="5" t="s">
        <v>85</v>
      </c>
      <c r="H284" s="5">
        <v>52</v>
      </c>
      <c r="I284" s="6">
        <v>44022</v>
      </c>
      <c r="J284" s="7">
        <v>88272</v>
      </c>
      <c r="K284" s="8">
        <v>0</v>
      </c>
      <c r="L284" s="5" t="s">
        <v>93</v>
      </c>
      <c r="M284" s="5" t="s">
        <v>218</v>
      </c>
      <c r="N284" s="6">
        <v>39616</v>
      </c>
    </row>
    <row r="285" spans="1:14" x14ac:dyDescent="0.35">
      <c r="A285" s="5" t="s">
        <v>637</v>
      </c>
      <c r="B285" s="5" t="s">
        <v>638</v>
      </c>
      <c r="C285" s="5" t="s">
        <v>124</v>
      </c>
      <c r="D285" s="5" t="s">
        <v>34</v>
      </c>
      <c r="E285" s="5" t="s">
        <v>49</v>
      </c>
      <c r="F285" s="5" t="s">
        <v>27</v>
      </c>
      <c r="G285" s="5" t="s">
        <v>28</v>
      </c>
      <c r="H285" s="5">
        <v>52</v>
      </c>
      <c r="I285" s="6">
        <v>42992</v>
      </c>
      <c r="J285" s="7">
        <v>74449</v>
      </c>
      <c r="K285" s="8">
        <v>0</v>
      </c>
      <c r="L285" s="5" t="s">
        <v>29</v>
      </c>
      <c r="M285" s="5" t="s">
        <v>114</v>
      </c>
      <c r="N285" s="6">
        <v>39616</v>
      </c>
    </row>
    <row r="286" spans="1:14" x14ac:dyDescent="0.35">
      <c r="A286" s="5" t="s">
        <v>639</v>
      </c>
      <c r="B286" s="5" t="s">
        <v>640</v>
      </c>
      <c r="C286" s="5" t="s">
        <v>79</v>
      </c>
      <c r="D286" s="5" t="s">
        <v>69</v>
      </c>
      <c r="E286" s="5" t="s">
        <v>35</v>
      </c>
      <c r="F286" s="5" t="s">
        <v>27</v>
      </c>
      <c r="G286" s="5" t="s">
        <v>28</v>
      </c>
      <c r="H286" s="5">
        <v>47</v>
      </c>
      <c r="I286" s="6">
        <v>41071</v>
      </c>
      <c r="J286" s="7">
        <v>222941</v>
      </c>
      <c r="K286" s="8">
        <v>0.39</v>
      </c>
      <c r="L286" s="5" t="s">
        <v>29</v>
      </c>
      <c r="M286" s="5" t="s">
        <v>114</v>
      </c>
      <c r="N286" s="6">
        <v>39616</v>
      </c>
    </row>
    <row r="287" spans="1:14" x14ac:dyDescent="0.35">
      <c r="A287" s="5" t="s">
        <v>641</v>
      </c>
      <c r="B287" s="5" t="s">
        <v>642</v>
      </c>
      <c r="C287" s="5" t="s">
        <v>55</v>
      </c>
      <c r="D287" s="5" t="s">
        <v>80</v>
      </c>
      <c r="E287" s="5" t="s">
        <v>26</v>
      </c>
      <c r="F287" s="5" t="s">
        <v>19</v>
      </c>
      <c r="G287" s="5" t="s">
        <v>28</v>
      </c>
      <c r="H287" s="5">
        <v>65</v>
      </c>
      <c r="I287" s="6">
        <v>41543</v>
      </c>
      <c r="J287" s="7">
        <v>50341</v>
      </c>
      <c r="K287" s="8">
        <v>0</v>
      </c>
      <c r="L287" s="5" t="s">
        <v>29</v>
      </c>
      <c r="M287" s="5" t="s">
        <v>114</v>
      </c>
      <c r="N287" s="6">
        <v>39616</v>
      </c>
    </row>
    <row r="288" spans="1:14" x14ac:dyDescent="0.35">
      <c r="A288" s="5" t="s">
        <v>643</v>
      </c>
      <c r="B288" s="5" t="s">
        <v>644</v>
      </c>
      <c r="C288" s="5" t="s">
        <v>164</v>
      </c>
      <c r="D288" s="5" t="s">
        <v>65</v>
      </c>
      <c r="E288" s="5" t="s">
        <v>49</v>
      </c>
      <c r="F288" s="5" t="s">
        <v>19</v>
      </c>
      <c r="G288" s="5" t="s">
        <v>85</v>
      </c>
      <c r="H288" s="5">
        <v>31</v>
      </c>
      <c r="I288" s="6">
        <v>44297</v>
      </c>
      <c r="J288" s="7">
        <v>72235</v>
      </c>
      <c r="K288" s="8">
        <v>0</v>
      </c>
      <c r="L288" s="5" t="s">
        <v>93</v>
      </c>
      <c r="M288" s="5" t="s">
        <v>94</v>
      </c>
      <c r="N288" s="6">
        <v>39616</v>
      </c>
    </row>
    <row r="289" spans="1:14" x14ac:dyDescent="0.35">
      <c r="A289" s="5" t="s">
        <v>645</v>
      </c>
      <c r="B289" s="5" t="s">
        <v>646</v>
      </c>
      <c r="C289" s="5" t="s">
        <v>43</v>
      </c>
      <c r="D289" s="5" t="s">
        <v>59</v>
      </c>
      <c r="E289" s="5" t="s">
        <v>49</v>
      </c>
      <c r="F289" s="5" t="s">
        <v>19</v>
      </c>
      <c r="G289" s="5" t="s">
        <v>85</v>
      </c>
      <c r="H289" s="5">
        <v>41</v>
      </c>
      <c r="I289" s="6">
        <v>42533</v>
      </c>
      <c r="J289" s="7">
        <v>70165</v>
      </c>
      <c r="K289" s="8">
        <v>0</v>
      </c>
      <c r="L289" s="5" t="s">
        <v>21</v>
      </c>
      <c r="M289" s="5" t="s">
        <v>88</v>
      </c>
      <c r="N289" s="6">
        <v>39616</v>
      </c>
    </row>
    <row r="290" spans="1:14" x14ac:dyDescent="0.35">
      <c r="A290" s="5" t="s">
        <v>647</v>
      </c>
      <c r="B290" s="5" t="s">
        <v>648</v>
      </c>
      <c r="C290" s="5" t="s">
        <v>16</v>
      </c>
      <c r="D290" s="5" t="s">
        <v>80</v>
      </c>
      <c r="E290" s="5" t="s">
        <v>35</v>
      </c>
      <c r="F290" s="5" t="s">
        <v>27</v>
      </c>
      <c r="G290" s="5" t="s">
        <v>36</v>
      </c>
      <c r="H290" s="5">
        <v>30</v>
      </c>
      <c r="I290" s="6">
        <v>44030</v>
      </c>
      <c r="J290" s="7">
        <v>148485</v>
      </c>
      <c r="K290" s="8">
        <v>0.15</v>
      </c>
      <c r="L290" s="5" t="s">
        <v>21</v>
      </c>
      <c r="M290" s="5" t="s">
        <v>56</v>
      </c>
      <c r="N290" s="6">
        <v>39616</v>
      </c>
    </row>
    <row r="291" spans="1:14" x14ac:dyDescent="0.35">
      <c r="A291" s="5" t="s">
        <v>649</v>
      </c>
      <c r="B291" s="5" t="s">
        <v>650</v>
      </c>
      <c r="C291" s="5" t="s">
        <v>25</v>
      </c>
      <c r="D291" s="5" t="s">
        <v>17</v>
      </c>
      <c r="E291" s="5" t="s">
        <v>26</v>
      </c>
      <c r="F291" s="5" t="s">
        <v>19</v>
      </c>
      <c r="G291" s="5" t="s">
        <v>28</v>
      </c>
      <c r="H291" s="5">
        <v>58</v>
      </c>
      <c r="I291" s="6">
        <v>38521</v>
      </c>
      <c r="J291" s="7">
        <v>86089</v>
      </c>
      <c r="K291" s="8">
        <v>0</v>
      </c>
      <c r="L291" s="5" t="s">
        <v>21</v>
      </c>
      <c r="M291" s="5" t="s">
        <v>37</v>
      </c>
      <c r="N291" s="6">
        <v>39616</v>
      </c>
    </row>
    <row r="292" spans="1:14" x14ac:dyDescent="0.35">
      <c r="A292" s="5" t="s">
        <v>651</v>
      </c>
      <c r="B292" s="5" t="s">
        <v>652</v>
      </c>
      <c r="C292" s="5" t="s">
        <v>113</v>
      </c>
      <c r="D292" s="5" t="s">
        <v>69</v>
      </c>
      <c r="E292" s="5" t="s">
        <v>18</v>
      </c>
      <c r="F292" s="5" t="s">
        <v>27</v>
      </c>
      <c r="G292" s="5" t="s">
        <v>85</v>
      </c>
      <c r="H292" s="5">
        <v>54</v>
      </c>
      <c r="I292" s="6">
        <v>39382</v>
      </c>
      <c r="J292" s="7">
        <v>106313</v>
      </c>
      <c r="K292" s="8">
        <v>0.15</v>
      </c>
      <c r="L292" s="5" t="s">
        <v>21</v>
      </c>
      <c r="M292" s="5" t="s">
        <v>37</v>
      </c>
      <c r="N292" s="6">
        <v>39616</v>
      </c>
    </row>
    <row r="293" spans="1:14" x14ac:dyDescent="0.35">
      <c r="A293" s="5" t="s">
        <v>653</v>
      </c>
      <c r="B293" s="5" t="s">
        <v>654</v>
      </c>
      <c r="C293" s="5" t="s">
        <v>55</v>
      </c>
      <c r="D293" s="5" t="s">
        <v>80</v>
      </c>
      <c r="E293" s="5" t="s">
        <v>18</v>
      </c>
      <c r="F293" s="5" t="s">
        <v>19</v>
      </c>
      <c r="G293" s="5" t="s">
        <v>28</v>
      </c>
      <c r="H293" s="5">
        <v>40</v>
      </c>
      <c r="I293" s="6">
        <v>44251</v>
      </c>
      <c r="J293" s="7">
        <v>46833</v>
      </c>
      <c r="K293" s="8">
        <v>0</v>
      </c>
      <c r="L293" s="5" t="s">
        <v>29</v>
      </c>
      <c r="M293" s="5" t="s">
        <v>134</v>
      </c>
      <c r="N293" s="6">
        <v>44510</v>
      </c>
    </row>
    <row r="294" spans="1:14" x14ac:dyDescent="0.35">
      <c r="A294" s="5" t="s">
        <v>655</v>
      </c>
      <c r="B294" s="5" t="s">
        <v>656</v>
      </c>
      <c r="C294" s="5" t="s">
        <v>33</v>
      </c>
      <c r="D294" s="5" t="s">
        <v>34</v>
      </c>
      <c r="E294" s="5" t="s">
        <v>18</v>
      </c>
      <c r="F294" s="5" t="s">
        <v>19</v>
      </c>
      <c r="G294" s="5" t="s">
        <v>28</v>
      </c>
      <c r="H294" s="5">
        <v>63</v>
      </c>
      <c r="I294" s="6">
        <v>36826</v>
      </c>
      <c r="J294" s="7">
        <v>155320</v>
      </c>
      <c r="K294" s="8">
        <v>0.17</v>
      </c>
      <c r="L294" s="5" t="s">
        <v>29</v>
      </c>
      <c r="M294" s="5" t="s">
        <v>30</v>
      </c>
      <c r="N294" s="6">
        <v>44510</v>
      </c>
    </row>
    <row r="295" spans="1:14" x14ac:dyDescent="0.35">
      <c r="A295" s="5" t="s">
        <v>657</v>
      </c>
      <c r="B295" s="5" t="s">
        <v>658</v>
      </c>
      <c r="C295" s="5" t="s">
        <v>43</v>
      </c>
      <c r="D295" s="5" t="s">
        <v>59</v>
      </c>
      <c r="E295" s="5" t="s">
        <v>26</v>
      </c>
      <c r="F295" s="5" t="s">
        <v>27</v>
      </c>
      <c r="G295" s="5" t="s">
        <v>28</v>
      </c>
      <c r="H295" s="5">
        <v>40</v>
      </c>
      <c r="I295" s="6">
        <v>42384</v>
      </c>
      <c r="J295" s="7">
        <v>89984</v>
      </c>
      <c r="K295" s="8">
        <v>0</v>
      </c>
      <c r="L295" s="5" t="s">
        <v>29</v>
      </c>
      <c r="M295" s="5" t="s">
        <v>134</v>
      </c>
      <c r="N295" s="6">
        <v>44510</v>
      </c>
    </row>
    <row r="296" spans="1:14" x14ac:dyDescent="0.35">
      <c r="A296" s="5" t="s">
        <v>659</v>
      </c>
      <c r="B296" s="5" t="s">
        <v>660</v>
      </c>
      <c r="C296" s="5" t="s">
        <v>113</v>
      </c>
      <c r="D296" s="5" t="s">
        <v>69</v>
      </c>
      <c r="E296" s="5" t="s">
        <v>35</v>
      </c>
      <c r="F296" s="5" t="s">
        <v>19</v>
      </c>
      <c r="G296" s="5" t="s">
        <v>28</v>
      </c>
      <c r="H296" s="5">
        <v>65</v>
      </c>
      <c r="I296" s="6">
        <v>38792</v>
      </c>
      <c r="J296" s="7">
        <v>83756</v>
      </c>
      <c r="K296" s="8">
        <v>0.14000000000000001</v>
      </c>
      <c r="L296" s="5" t="s">
        <v>29</v>
      </c>
      <c r="M296" s="5" t="s">
        <v>74</v>
      </c>
      <c r="N296" s="6">
        <v>44510</v>
      </c>
    </row>
    <row r="297" spans="1:14" x14ac:dyDescent="0.35">
      <c r="A297" s="5" t="s">
        <v>661</v>
      </c>
      <c r="B297" s="5" t="s">
        <v>662</v>
      </c>
      <c r="C297" s="5" t="s">
        <v>33</v>
      </c>
      <c r="D297" s="5" t="s">
        <v>65</v>
      </c>
      <c r="E297" s="5" t="s">
        <v>49</v>
      </c>
      <c r="F297" s="5" t="s">
        <v>19</v>
      </c>
      <c r="G297" s="5" t="s">
        <v>28</v>
      </c>
      <c r="H297" s="5">
        <v>57</v>
      </c>
      <c r="I297" s="6">
        <v>42667</v>
      </c>
      <c r="J297" s="7">
        <v>176324</v>
      </c>
      <c r="K297" s="8">
        <v>0.23</v>
      </c>
      <c r="L297" s="5" t="s">
        <v>29</v>
      </c>
      <c r="M297" s="5" t="s">
        <v>74</v>
      </c>
      <c r="N297" s="6">
        <v>44510</v>
      </c>
    </row>
    <row r="298" spans="1:14" x14ac:dyDescent="0.35">
      <c r="A298" s="5" t="s">
        <v>663</v>
      </c>
      <c r="B298" s="5" t="s">
        <v>664</v>
      </c>
      <c r="C298" s="5" t="s">
        <v>43</v>
      </c>
      <c r="D298" s="5" t="s">
        <v>59</v>
      </c>
      <c r="E298" s="5" t="s">
        <v>35</v>
      </c>
      <c r="F298" s="5" t="s">
        <v>27</v>
      </c>
      <c r="G298" s="5" t="s">
        <v>36</v>
      </c>
      <c r="H298" s="5">
        <v>27</v>
      </c>
      <c r="I298" s="6">
        <v>44482</v>
      </c>
      <c r="J298" s="7">
        <v>74077</v>
      </c>
      <c r="K298" s="8">
        <v>0</v>
      </c>
      <c r="L298" s="5" t="s">
        <v>21</v>
      </c>
      <c r="M298" s="5" t="s">
        <v>22</v>
      </c>
      <c r="N298" s="6">
        <v>44510</v>
      </c>
    </row>
    <row r="299" spans="1:14" x14ac:dyDescent="0.35">
      <c r="A299" s="5" t="s">
        <v>665</v>
      </c>
      <c r="B299" s="5" t="s">
        <v>666</v>
      </c>
      <c r="C299" s="5" t="s">
        <v>52</v>
      </c>
      <c r="D299" s="5" t="s">
        <v>65</v>
      </c>
      <c r="E299" s="5" t="s">
        <v>26</v>
      </c>
      <c r="F299" s="5" t="s">
        <v>19</v>
      </c>
      <c r="G299" s="5" t="s">
        <v>36</v>
      </c>
      <c r="H299" s="5">
        <v>31</v>
      </c>
      <c r="I299" s="6">
        <v>44214</v>
      </c>
      <c r="J299" s="7">
        <v>104162</v>
      </c>
      <c r="K299" s="8">
        <v>7.0000000000000007E-2</v>
      </c>
      <c r="L299" s="5" t="s">
        <v>21</v>
      </c>
      <c r="M299" s="5" t="s">
        <v>60</v>
      </c>
      <c r="N299" s="6">
        <v>44510</v>
      </c>
    </row>
    <row r="300" spans="1:14" x14ac:dyDescent="0.35">
      <c r="A300" s="5" t="s">
        <v>667</v>
      </c>
      <c r="B300" s="5" t="s">
        <v>668</v>
      </c>
      <c r="C300" s="5" t="s">
        <v>442</v>
      </c>
      <c r="D300" s="5" t="s">
        <v>17</v>
      </c>
      <c r="E300" s="5" t="s">
        <v>49</v>
      </c>
      <c r="F300" s="5" t="s">
        <v>19</v>
      </c>
      <c r="G300" s="5" t="s">
        <v>28</v>
      </c>
      <c r="H300" s="5">
        <v>45</v>
      </c>
      <c r="I300" s="6">
        <v>40418</v>
      </c>
      <c r="J300" s="7">
        <v>82162</v>
      </c>
      <c r="K300" s="8">
        <v>0</v>
      </c>
      <c r="L300" s="5" t="s">
        <v>29</v>
      </c>
      <c r="M300" s="5" t="s">
        <v>114</v>
      </c>
      <c r="N300" s="6">
        <v>44107</v>
      </c>
    </row>
    <row r="301" spans="1:14" x14ac:dyDescent="0.35">
      <c r="A301" s="5" t="s">
        <v>669</v>
      </c>
      <c r="B301" s="5" t="s">
        <v>670</v>
      </c>
      <c r="C301" s="5" t="s">
        <v>47</v>
      </c>
      <c r="D301" s="5" t="s">
        <v>48</v>
      </c>
      <c r="E301" s="5" t="s">
        <v>35</v>
      </c>
      <c r="F301" s="5" t="s">
        <v>19</v>
      </c>
      <c r="G301" s="5" t="s">
        <v>28</v>
      </c>
      <c r="H301" s="5">
        <v>47</v>
      </c>
      <c r="I301" s="6">
        <v>42195</v>
      </c>
      <c r="J301" s="7">
        <v>63880</v>
      </c>
      <c r="K301" s="8">
        <v>0</v>
      </c>
      <c r="L301" s="5" t="s">
        <v>29</v>
      </c>
      <c r="M301" s="5" t="s">
        <v>30</v>
      </c>
      <c r="N301" s="6">
        <v>44107</v>
      </c>
    </row>
    <row r="302" spans="1:14" x14ac:dyDescent="0.35">
      <c r="A302" s="5" t="s">
        <v>671</v>
      </c>
      <c r="B302" s="5" t="s">
        <v>672</v>
      </c>
      <c r="C302" s="5" t="s">
        <v>223</v>
      </c>
      <c r="D302" s="5" t="s">
        <v>69</v>
      </c>
      <c r="E302" s="5" t="s">
        <v>18</v>
      </c>
      <c r="F302" s="5" t="s">
        <v>19</v>
      </c>
      <c r="G302" s="5" t="s">
        <v>28</v>
      </c>
      <c r="H302" s="5">
        <v>55</v>
      </c>
      <c r="I302" s="6">
        <v>41525</v>
      </c>
      <c r="J302" s="7">
        <v>73248</v>
      </c>
      <c r="K302" s="8">
        <v>0</v>
      </c>
      <c r="L302" s="5" t="s">
        <v>21</v>
      </c>
      <c r="M302" s="5" t="s">
        <v>88</v>
      </c>
      <c r="N302" s="6">
        <v>44107</v>
      </c>
    </row>
    <row r="303" spans="1:14" x14ac:dyDescent="0.35">
      <c r="A303" s="5" t="s">
        <v>673</v>
      </c>
      <c r="B303" s="5" t="s">
        <v>674</v>
      </c>
      <c r="C303" s="5" t="s">
        <v>43</v>
      </c>
      <c r="D303" s="5" t="s">
        <v>59</v>
      </c>
      <c r="E303" s="5" t="s">
        <v>26</v>
      </c>
      <c r="F303" s="5" t="s">
        <v>27</v>
      </c>
      <c r="G303" s="5" t="s">
        <v>20</v>
      </c>
      <c r="H303" s="5">
        <v>51</v>
      </c>
      <c r="I303" s="6">
        <v>44113</v>
      </c>
      <c r="J303" s="7">
        <v>91853</v>
      </c>
      <c r="K303" s="8">
        <v>0</v>
      </c>
      <c r="L303" s="5" t="s">
        <v>21</v>
      </c>
      <c r="M303" s="5" t="s">
        <v>37</v>
      </c>
      <c r="N303" s="6">
        <v>44107</v>
      </c>
    </row>
    <row r="304" spans="1:14" x14ac:dyDescent="0.35">
      <c r="A304" s="5" t="s">
        <v>675</v>
      </c>
      <c r="B304" s="5" t="s">
        <v>676</v>
      </c>
      <c r="C304" s="5" t="s">
        <v>33</v>
      </c>
      <c r="D304" s="5" t="s">
        <v>34</v>
      </c>
      <c r="E304" s="5" t="s">
        <v>35</v>
      </c>
      <c r="F304" s="5" t="s">
        <v>27</v>
      </c>
      <c r="G304" s="5" t="s">
        <v>36</v>
      </c>
      <c r="H304" s="5">
        <v>25</v>
      </c>
      <c r="I304" s="6">
        <v>43844</v>
      </c>
      <c r="J304" s="7">
        <v>168014</v>
      </c>
      <c r="K304" s="8">
        <v>0.27</v>
      </c>
      <c r="L304" s="5" t="s">
        <v>21</v>
      </c>
      <c r="M304" s="5" t="s">
        <v>37</v>
      </c>
      <c r="N304" s="6">
        <v>44404</v>
      </c>
    </row>
    <row r="305" spans="1:14" x14ac:dyDescent="0.35">
      <c r="A305" s="5" t="s">
        <v>677</v>
      </c>
      <c r="B305" s="5" t="s">
        <v>678</v>
      </c>
      <c r="C305" s="5" t="s">
        <v>277</v>
      </c>
      <c r="D305" s="5" t="s">
        <v>69</v>
      </c>
      <c r="E305" s="5" t="s">
        <v>49</v>
      </c>
      <c r="F305" s="5" t="s">
        <v>19</v>
      </c>
      <c r="G305" s="5" t="s">
        <v>36</v>
      </c>
      <c r="H305" s="5">
        <v>37</v>
      </c>
      <c r="I305" s="6">
        <v>42995</v>
      </c>
      <c r="J305" s="7">
        <v>70770</v>
      </c>
      <c r="K305" s="8">
        <v>0</v>
      </c>
      <c r="L305" s="5" t="s">
        <v>21</v>
      </c>
      <c r="M305" s="5" t="s">
        <v>56</v>
      </c>
      <c r="N305" s="6">
        <v>44404</v>
      </c>
    </row>
    <row r="306" spans="1:14" x14ac:dyDescent="0.35">
      <c r="A306" s="5" t="s">
        <v>679</v>
      </c>
      <c r="B306" s="5" t="s">
        <v>680</v>
      </c>
      <c r="C306" s="5" t="s">
        <v>164</v>
      </c>
      <c r="D306" s="5" t="s">
        <v>65</v>
      </c>
      <c r="E306" s="5" t="s">
        <v>49</v>
      </c>
      <c r="F306" s="5" t="s">
        <v>27</v>
      </c>
      <c r="G306" s="5" t="s">
        <v>36</v>
      </c>
      <c r="H306" s="5">
        <v>62</v>
      </c>
      <c r="I306" s="6">
        <v>38271</v>
      </c>
      <c r="J306" s="7">
        <v>50825</v>
      </c>
      <c r="K306" s="8">
        <v>0</v>
      </c>
      <c r="L306" s="5" t="s">
        <v>21</v>
      </c>
      <c r="M306" s="5" t="s">
        <v>22</v>
      </c>
      <c r="N306" s="6">
        <v>44404</v>
      </c>
    </row>
    <row r="307" spans="1:14" x14ac:dyDescent="0.35">
      <c r="A307" s="5" t="s">
        <v>681</v>
      </c>
      <c r="B307" s="5" t="s">
        <v>682</v>
      </c>
      <c r="C307" s="5" t="s">
        <v>16</v>
      </c>
      <c r="D307" s="5" t="s">
        <v>34</v>
      </c>
      <c r="E307" s="5" t="s">
        <v>18</v>
      </c>
      <c r="F307" s="5" t="s">
        <v>27</v>
      </c>
      <c r="G307" s="5" t="s">
        <v>85</v>
      </c>
      <c r="H307" s="5">
        <v>31</v>
      </c>
      <c r="I307" s="6">
        <v>42266</v>
      </c>
      <c r="J307" s="7">
        <v>145846</v>
      </c>
      <c r="K307" s="8">
        <v>0.15</v>
      </c>
      <c r="L307" s="5" t="s">
        <v>93</v>
      </c>
      <c r="M307" s="5" t="s">
        <v>94</v>
      </c>
      <c r="N307" s="6">
        <v>44404</v>
      </c>
    </row>
    <row r="308" spans="1:14" x14ac:dyDescent="0.35">
      <c r="A308" s="5" t="s">
        <v>683</v>
      </c>
      <c r="B308" s="5" t="s">
        <v>684</v>
      </c>
      <c r="C308" s="5" t="s">
        <v>16</v>
      </c>
      <c r="D308" s="5" t="s">
        <v>65</v>
      </c>
      <c r="E308" s="5" t="s">
        <v>18</v>
      </c>
      <c r="F308" s="5" t="s">
        <v>19</v>
      </c>
      <c r="G308" s="5" t="s">
        <v>28</v>
      </c>
      <c r="H308" s="5">
        <v>64</v>
      </c>
      <c r="I308" s="6">
        <v>37962</v>
      </c>
      <c r="J308" s="7">
        <v>125807</v>
      </c>
      <c r="K308" s="8">
        <v>0.15</v>
      </c>
      <c r="L308" s="5" t="s">
        <v>21</v>
      </c>
      <c r="M308" s="5" t="s">
        <v>37</v>
      </c>
      <c r="N308" s="6">
        <v>44404</v>
      </c>
    </row>
    <row r="309" spans="1:14" x14ac:dyDescent="0.35">
      <c r="A309" s="5" t="s">
        <v>685</v>
      </c>
      <c r="B309" s="5" t="s">
        <v>686</v>
      </c>
      <c r="C309" s="5" t="s">
        <v>55</v>
      </c>
      <c r="D309" s="5" t="s">
        <v>48</v>
      </c>
      <c r="E309" s="5" t="s">
        <v>35</v>
      </c>
      <c r="F309" s="5" t="s">
        <v>27</v>
      </c>
      <c r="G309" s="5" t="s">
        <v>28</v>
      </c>
      <c r="H309" s="5">
        <v>25</v>
      </c>
      <c r="I309" s="6">
        <v>44405</v>
      </c>
      <c r="J309" s="7">
        <v>46845</v>
      </c>
      <c r="K309" s="8">
        <v>0</v>
      </c>
      <c r="L309" s="5" t="s">
        <v>21</v>
      </c>
      <c r="M309" s="5" t="s">
        <v>56</v>
      </c>
      <c r="N309" s="6">
        <v>44404</v>
      </c>
    </row>
    <row r="310" spans="1:14" x14ac:dyDescent="0.35">
      <c r="A310" s="5" t="s">
        <v>687</v>
      </c>
      <c r="B310" s="5" t="s">
        <v>688</v>
      </c>
      <c r="C310" s="5" t="s">
        <v>16</v>
      </c>
      <c r="D310" s="5" t="s">
        <v>80</v>
      </c>
      <c r="E310" s="5" t="s">
        <v>49</v>
      </c>
      <c r="F310" s="5" t="s">
        <v>19</v>
      </c>
      <c r="G310" s="5" t="s">
        <v>28</v>
      </c>
      <c r="H310" s="5">
        <v>59</v>
      </c>
      <c r="I310" s="6">
        <v>39689</v>
      </c>
      <c r="J310" s="7">
        <v>157969</v>
      </c>
      <c r="K310" s="8">
        <v>0.1</v>
      </c>
      <c r="L310" s="5" t="s">
        <v>29</v>
      </c>
      <c r="M310" s="5" t="s">
        <v>30</v>
      </c>
      <c r="N310" s="6">
        <v>44404</v>
      </c>
    </row>
    <row r="311" spans="1:14" x14ac:dyDescent="0.35">
      <c r="A311" s="5" t="s">
        <v>689</v>
      </c>
      <c r="B311" s="5" t="s">
        <v>690</v>
      </c>
      <c r="C311" s="5" t="s">
        <v>372</v>
      </c>
      <c r="D311" s="5" t="s">
        <v>17</v>
      </c>
      <c r="E311" s="5" t="s">
        <v>49</v>
      </c>
      <c r="F311" s="5" t="s">
        <v>19</v>
      </c>
      <c r="G311" s="5" t="s">
        <v>36</v>
      </c>
      <c r="H311" s="5">
        <v>40</v>
      </c>
      <c r="I311" s="6">
        <v>40522</v>
      </c>
      <c r="J311" s="7">
        <v>97807</v>
      </c>
      <c r="K311" s="8">
        <v>0</v>
      </c>
      <c r="L311" s="5" t="s">
        <v>21</v>
      </c>
      <c r="M311" s="5" t="s">
        <v>37</v>
      </c>
      <c r="N311" s="6">
        <v>44404</v>
      </c>
    </row>
    <row r="312" spans="1:14" x14ac:dyDescent="0.35">
      <c r="A312" s="5" t="s">
        <v>691</v>
      </c>
      <c r="B312" s="5" t="s">
        <v>692</v>
      </c>
      <c r="C312" s="5" t="s">
        <v>164</v>
      </c>
      <c r="D312" s="5" t="s">
        <v>65</v>
      </c>
      <c r="E312" s="5" t="s">
        <v>26</v>
      </c>
      <c r="F312" s="5" t="s">
        <v>27</v>
      </c>
      <c r="G312" s="5" t="s">
        <v>85</v>
      </c>
      <c r="H312" s="5">
        <v>31</v>
      </c>
      <c r="I312" s="6">
        <v>42347</v>
      </c>
      <c r="J312" s="7">
        <v>73854</v>
      </c>
      <c r="K312" s="8">
        <v>0</v>
      </c>
      <c r="L312" s="5" t="s">
        <v>21</v>
      </c>
      <c r="M312" s="5" t="s">
        <v>22</v>
      </c>
      <c r="N312" s="6">
        <v>44404</v>
      </c>
    </row>
    <row r="313" spans="1:14" x14ac:dyDescent="0.35">
      <c r="A313" s="5" t="s">
        <v>693</v>
      </c>
      <c r="B313" s="5" t="s">
        <v>694</v>
      </c>
      <c r="C313" s="5" t="s">
        <v>16</v>
      </c>
      <c r="D313" s="5" t="s">
        <v>59</v>
      </c>
      <c r="E313" s="5" t="s">
        <v>26</v>
      </c>
      <c r="F313" s="5" t="s">
        <v>27</v>
      </c>
      <c r="G313" s="5" t="s">
        <v>28</v>
      </c>
      <c r="H313" s="5">
        <v>45</v>
      </c>
      <c r="I313" s="6">
        <v>39063</v>
      </c>
      <c r="J313" s="7">
        <v>149537</v>
      </c>
      <c r="K313" s="8">
        <v>0.14000000000000001</v>
      </c>
      <c r="L313" s="5" t="s">
        <v>21</v>
      </c>
      <c r="M313" s="5" t="s">
        <v>22</v>
      </c>
      <c r="N313" s="6">
        <v>44404</v>
      </c>
    </row>
    <row r="314" spans="1:14" x14ac:dyDescent="0.35">
      <c r="A314" s="5" t="s">
        <v>695</v>
      </c>
      <c r="B314" s="5" t="s">
        <v>696</v>
      </c>
      <c r="C314" s="5" t="s">
        <v>16</v>
      </c>
      <c r="D314" s="5" t="s">
        <v>48</v>
      </c>
      <c r="E314" s="5" t="s">
        <v>26</v>
      </c>
      <c r="F314" s="5" t="s">
        <v>19</v>
      </c>
      <c r="G314" s="5" t="s">
        <v>36</v>
      </c>
      <c r="H314" s="5">
        <v>49</v>
      </c>
      <c r="I314" s="6">
        <v>41379</v>
      </c>
      <c r="J314" s="7">
        <v>128303</v>
      </c>
      <c r="K314" s="8">
        <v>0.15</v>
      </c>
      <c r="L314" s="5" t="s">
        <v>21</v>
      </c>
      <c r="M314" s="5" t="s">
        <v>44</v>
      </c>
      <c r="N314" s="6">
        <v>44404</v>
      </c>
    </row>
    <row r="315" spans="1:14" x14ac:dyDescent="0.35">
      <c r="A315" s="5" t="s">
        <v>697</v>
      </c>
      <c r="B315" s="5" t="s">
        <v>698</v>
      </c>
      <c r="C315" s="5" t="s">
        <v>248</v>
      </c>
      <c r="D315" s="5" t="s">
        <v>17</v>
      </c>
      <c r="E315" s="5" t="s">
        <v>35</v>
      </c>
      <c r="F315" s="5" t="s">
        <v>27</v>
      </c>
      <c r="G315" s="5" t="s">
        <v>20</v>
      </c>
      <c r="H315" s="5">
        <v>46</v>
      </c>
      <c r="I315" s="6">
        <v>38513</v>
      </c>
      <c r="J315" s="7">
        <v>67374</v>
      </c>
      <c r="K315" s="8">
        <v>0</v>
      </c>
      <c r="L315" s="5" t="s">
        <v>21</v>
      </c>
      <c r="M315" s="5" t="s">
        <v>60</v>
      </c>
      <c r="N315" s="6">
        <v>44404</v>
      </c>
    </row>
    <row r="316" spans="1:14" x14ac:dyDescent="0.35">
      <c r="A316" s="5" t="s">
        <v>699</v>
      </c>
      <c r="B316" s="5" t="s">
        <v>700</v>
      </c>
      <c r="C316" s="5" t="s">
        <v>52</v>
      </c>
      <c r="D316" s="5" t="s">
        <v>65</v>
      </c>
      <c r="E316" s="5" t="s">
        <v>49</v>
      </c>
      <c r="F316" s="5" t="s">
        <v>27</v>
      </c>
      <c r="G316" s="5" t="s">
        <v>85</v>
      </c>
      <c r="H316" s="5">
        <v>46</v>
      </c>
      <c r="I316" s="6">
        <v>40810</v>
      </c>
      <c r="J316" s="7">
        <v>102167</v>
      </c>
      <c r="K316" s="8">
        <v>0.06</v>
      </c>
      <c r="L316" s="5" t="s">
        <v>93</v>
      </c>
      <c r="M316" s="5" t="s">
        <v>99</v>
      </c>
      <c r="N316" s="6">
        <v>44404</v>
      </c>
    </row>
    <row r="317" spans="1:14" x14ac:dyDescent="0.35">
      <c r="A317" s="5" t="s">
        <v>701</v>
      </c>
      <c r="B317" s="5" t="s">
        <v>702</v>
      </c>
      <c r="C317" s="5" t="s">
        <v>16</v>
      </c>
      <c r="D317" s="5" t="s">
        <v>48</v>
      </c>
      <c r="E317" s="5" t="s">
        <v>26</v>
      </c>
      <c r="F317" s="5" t="s">
        <v>27</v>
      </c>
      <c r="G317" s="5" t="s">
        <v>28</v>
      </c>
      <c r="H317" s="5">
        <v>45</v>
      </c>
      <c r="I317" s="6">
        <v>39332</v>
      </c>
      <c r="J317" s="7">
        <v>151027</v>
      </c>
      <c r="K317" s="8">
        <v>0.1</v>
      </c>
      <c r="L317" s="5" t="s">
        <v>29</v>
      </c>
      <c r="M317" s="5" t="s">
        <v>74</v>
      </c>
      <c r="N317" s="6">
        <v>44404</v>
      </c>
    </row>
    <row r="318" spans="1:14" x14ac:dyDescent="0.35">
      <c r="A318" s="5" t="s">
        <v>703</v>
      </c>
      <c r="B318" s="5" t="s">
        <v>704</v>
      </c>
      <c r="C318" s="5" t="s">
        <v>52</v>
      </c>
      <c r="D318" s="5" t="s">
        <v>59</v>
      </c>
      <c r="E318" s="5" t="s">
        <v>35</v>
      </c>
      <c r="F318" s="5" t="s">
        <v>27</v>
      </c>
      <c r="G318" s="5" t="s">
        <v>28</v>
      </c>
      <c r="H318" s="5">
        <v>40</v>
      </c>
      <c r="I318" s="6">
        <v>43147</v>
      </c>
      <c r="J318" s="7">
        <v>120905</v>
      </c>
      <c r="K318" s="8">
        <v>0.05</v>
      </c>
      <c r="L318" s="5" t="s">
        <v>21</v>
      </c>
      <c r="M318" s="5" t="s">
        <v>22</v>
      </c>
      <c r="N318" s="6">
        <v>44404</v>
      </c>
    </row>
    <row r="319" spans="1:14" x14ac:dyDescent="0.35">
      <c r="A319" s="5" t="s">
        <v>705</v>
      </c>
      <c r="B319" s="5" t="s">
        <v>706</v>
      </c>
      <c r="C319" s="5" t="s">
        <v>79</v>
      </c>
      <c r="D319" s="5" t="s">
        <v>34</v>
      </c>
      <c r="E319" s="5" t="s">
        <v>26</v>
      </c>
      <c r="F319" s="5" t="s">
        <v>19</v>
      </c>
      <c r="G319" s="5" t="s">
        <v>36</v>
      </c>
      <c r="H319" s="5">
        <v>48</v>
      </c>
      <c r="I319" s="6">
        <v>43253</v>
      </c>
      <c r="J319" s="7">
        <v>231567</v>
      </c>
      <c r="K319" s="8">
        <v>0.36</v>
      </c>
      <c r="L319" s="5" t="s">
        <v>21</v>
      </c>
      <c r="M319" s="5" t="s">
        <v>22</v>
      </c>
      <c r="N319" s="6">
        <v>44404</v>
      </c>
    </row>
    <row r="320" spans="1:14" x14ac:dyDescent="0.35">
      <c r="A320" s="5" t="s">
        <v>412</v>
      </c>
      <c r="B320" s="5" t="s">
        <v>707</v>
      </c>
      <c r="C320" s="5" t="s">
        <v>79</v>
      </c>
      <c r="D320" s="5" t="s">
        <v>17</v>
      </c>
      <c r="E320" s="5" t="s">
        <v>18</v>
      </c>
      <c r="F320" s="5" t="s">
        <v>27</v>
      </c>
      <c r="G320" s="5" t="s">
        <v>28</v>
      </c>
      <c r="H320" s="5">
        <v>31</v>
      </c>
      <c r="I320" s="6">
        <v>42197</v>
      </c>
      <c r="J320" s="7">
        <v>215388</v>
      </c>
      <c r="K320" s="8">
        <v>0.33</v>
      </c>
      <c r="L320" s="5" t="s">
        <v>21</v>
      </c>
      <c r="M320" s="5" t="s">
        <v>56</v>
      </c>
      <c r="N320" s="6">
        <v>44404</v>
      </c>
    </row>
    <row r="321" spans="1:14" x14ac:dyDescent="0.35">
      <c r="A321" s="5" t="s">
        <v>708</v>
      </c>
      <c r="B321" s="5" t="s">
        <v>709</v>
      </c>
      <c r="C321" s="5" t="s">
        <v>16</v>
      </c>
      <c r="D321" s="5" t="s">
        <v>48</v>
      </c>
      <c r="E321" s="5" t="s">
        <v>35</v>
      </c>
      <c r="F321" s="5" t="s">
        <v>19</v>
      </c>
      <c r="G321" s="5" t="s">
        <v>28</v>
      </c>
      <c r="H321" s="5">
        <v>30</v>
      </c>
      <c r="I321" s="6">
        <v>42168</v>
      </c>
      <c r="J321" s="7">
        <v>127972</v>
      </c>
      <c r="K321" s="8">
        <v>0.11</v>
      </c>
      <c r="L321" s="5" t="s">
        <v>21</v>
      </c>
      <c r="M321" s="5" t="s">
        <v>22</v>
      </c>
      <c r="N321" s="6">
        <v>44404</v>
      </c>
    </row>
    <row r="322" spans="1:14" x14ac:dyDescent="0.35">
      <c r="A322" s="5" t="s">
        <v>710</v>
      </c>
      <c r="B322" s="5" t="s">
        <v>711</v>
      </c>
      <c r="C322" s="5" t="s">
        <v>181</v>
      </c>
      <c r="D322" s="5" t="s">
        <v>69</v>
      </c>
      <c r="E322" s="5" t="s">
        <v>49</v>
      </c>
      <c r="F322" s="5" t="s">
        <v>19</v>
      </c>
      <c r="G322" s="5" t="s">
        <v>28</v>
      </c>
      <c r="H322" s="5">
        <v>55</v>
      </c>
      <c r="I322" s="6">
        <v>34915</v>
      </c>
      <c r="J322" s="7">
        <v>80701</v>
      </c>
      <c r="K322" s="8">
        <v>0</v>
      </c>
      <c r="L322" s="5" t="s">
        <v>21</v>
      </c>
      <c r="M322" s="5" t="s">
        <v>37</v>
      </c>
      <c r="N322" s="6">
        <v>38456</v>
      </c>
    </row>
    <row r="323" spans="1:14" x14ac:dyDescent="0.35">
      <c r="A323" s="5" t="s">
        <v>712</v>
      </c>
      <c r="B323" s="5" t="s">
        <v>713</v>
      </c>
      <c r="C323" s="5" t="s">
        <v>52</v>
      </c>
      <c r="D323" s="5" t="s">
        <v>80</v>
      </c>
      <c r="E323" s="5" t="s">
        <v>49</v>
      </c>
      <c r="F323" s="5" t="s">
        <v>27</v>
      </c>
      <c r="G323" s="5" t="s">
        <v>28</v>
      </c>
      <c r="H323" s="5">
        <v>28</v>
      </c>
      <c r="I323" s="6">
        <v>43863</v>
      </c>
      <c r="J323" s="7">
        <v>115417</v>
      </c>
      <c r="K323" s="8">
        <v>0.06</v>
      </c>
      <c r="L323" s="5" t="s">
        <v>29</v>
      </c>
      <c r="M323" s="5" t="s">
        <v>74</v>
      </c>
      <c r="N323" s="6">
        <v>38456</v>
      </c>
    </row>
    <row r="324" spans="1:14" x14ac:dyDescent="0.35">
      <c r="A324" s="5" t="s">
        <v>345</v>
      </c>
      <c r="B324" s="5" t="s">
        <v>714</v>
      </c>
      <c r="C324" s="5" t="s">
        <v>108</v>
      </c>
      <c r="D324" s="5" t="s">
        <v>69</v>
      </c>
      <c r="E324" s="5" t="s">
        <v>49</v>
      </c>
      <c r="F324" s="5" t="s">
        <v>19</v>
      </c>
      <c r="G324" s="5" t="s">
        <v>36</v>
      </c>
      <c r="H324" s="5">
        <v>45</v>
      </c>
      <c r="I324" s="6">
        <v>43635</v>
      </c>
      <c r="J324" s="7">
        <v>88045</v>
      </c>
      <c r="K324" s="8">
        <v>0</v>
      </c>
      <c r="L324" s="5" t="s">
        <v>21</v>
      </c>
      <c r="M324" s="5" t="s">
        <v>37</v>
      </c>
      <c r="N324" s="6">
        <v>38456</v>
      </c>
    </row>
    <row r="325" spans="1:14" x14ac:dyDescent="0.35">
      <c r="A325" s="5" t="s">
        <v>715</v>
      </c>
      <c r="B325" s="5" t="s">
        <v>716</v>
      </c>
      <c r="C325" s="5" t="s">
        <v>40</v>
      </c>
      <c r="D325" s="5" t="s">
        <v>17</v>
      </c>
      <c r="E325" s="5" t="s">
        <v>35</v>
      </c>
      <c r="F325" s="5" t="s">
        <v>19</v>
      </c>
      <c r="G325" s="5" t="s">
        <v>20</v>
      </c>
      <c r="H325" s="5">
        <v>45</v>
      </c>
      <c r="I325" s="6">
        <v>43185</v>
      </c>
      <c r="J325" s="7">
        <v>86478</v>
      </c>
      <c r="K325" s="8">
        <v>0.06</v>
      </c>
      <c r="L325" s="5" t="s">
        <v>21</v>
      </c>
      <c r="M325" s="5" t="s">
        <v>60</v>
      </c>
      <c r="N325" s="6">
        <v>38456</v>
      </c>
    </row>
    <row r="326" spans="1:14" x14ac:dyDescent="0.35">
      <c r="A326" s="5" t="s">
        <v>717</v>
      </c>
      <c r="B326" s="5" t="s">
        <v>718</v>
      </c>
      <c r="C326" s="5" t="s">
        <v>79</v>
      </c>
      <c r="D326" s="5" t="s">
        <v>69</v>
      </c>
      <c r="E326" s="5" t="s">
        <v>26</v>
      </c>
      <c r="F326" s="5" t="s">
        <v>27</v>
      </c>
      <c r="G326" s="5" t="s">
        <v>36</v>
      </c>
      <c r="H326" s="5">
        <v>63</v>
      </c>
      <c r="I326" s="6">
        <v>42387</v>
      </c>
      <c r="J326" s="7">
        <v>180994</v>
      </c>
      <c r="K326" s="8">
        <v>0.39</v>
      </c>
      <c r="L326" s="5" t="s">
        <v>21</v>
      </c>
      <c r="M326" s="5" t="s">
        <v>22</v>
      </c>
      <c r="N326" s="6">
        <v>38456</v>
      </c>
    </row>
    <row r="327" spans="1:14" x14ac:dyDescent="0.35">
      <c r="A327" s="5" t="s">
        <v>719</v>
      </c>
      <c r="B327" s="5" t="s">
        <v>720</v>
      </c>
      <c r="C327" s="5" t="s">
        <v>124</v>
      </c>
      <c r="D327" s="5" t="s">
        <v>34</v>
      </c>
      <c r="E327" s="5" t="s">
        <v>18</v>
      </c>
      <c r="F327" s="5" t="s">
        <v>19</v>
      </c>
      <c r="G327" s="5" t="s">
        <v>28</v>
      </c>
      <c r="H327" s="5">
        <v>55</v>
      </c>
      <c r="I327" s="6">
        <v>39418</v>
      </c>
      <c r="J327" s="7">
        <v>64494</v>
      </c>
      <c r="K327" s="8">
        <v>0</v>
      </c>
      <c r="L327" s="5" t="s">
        <v>21</v>
      </c>
      <c r="M327" s="5" t="s">
        <v>88</v>
      </c>
      <c r="N327" s="6">
        <v>38456</v>
      </c>
    </row>
    <row r="328" spans="1:14" x14ac:dyDescent="0.35">
      <c r="A328" s="5" t="s">
        <v>721</v>
      </c>
      <c r="B328" s="5" t="s">
        <v>722</v>
      </c>
      <c r="C328" s="5" t="s">
        <v>47</v>
      </c>
      <c r="D328" s="5" t="s">
        <v>48</v>
      </c>
      <c r="E328" s="5" t="s">
        <v>26</v>
      </c>
      <c r="F328" s="5" t="s">
        <v>27</v>
      </c>
      <c r="G328" s="5" t="s">
        <v>20</v>
      </c>
      <c r="H328" s="5">
        <v>47</v>
      </c>
      <c r="I328" s="6">
        <v>37550</v>
      </c>
      <c r="J328" s="7">
        <v>70122</v>
      </c>
      <c r="K328" s="8">
        <v>0</v>
      </c>
      <c r="L328" s="5" t="s">
        <v>21</v>
      </c>
      <c r="M328" s="5" t="s">
        <v>88</v>
      </c>
      <c r="N328" s="6">
        <v>38456</v>
      </c>
    </row>
    <row r="329" spans="1:14" x14ac:dyDescent="0.35">
      <c r="A329" s="5" t="s">
        <v>723</v>
      </c>
      <c r="B329" s="5" t="s">
        <v>724</v>
      </c>
      <c r="C329" s="5" t="s">
        <v>33</v>
      </c>
      <c r="D329" s="5" t="s">
        <v>59</v>
      </c>
      <c r="E329" s="5" t="s">
        <v>26</v>
      </c>
      <c r="F329" s="5" t="s">
        <v>27</v>
      </c>
      <c r="G329" s="5" t="s">
        <v>36</v>
      </c>
      <c r="H329" s="5">
        <v>29</v>
      </c>
      <c r="I329" s="6">
        <v>42785</v>
      </c>
      <c r="J329" s="7">
        <v>181854</v>
      </c>
      <c r="K329" s="8">
        <v>0.28999999999999998</v>
      </c>
      <c r="L329" s="5" t="s">
        <v>21</v>
      </c>
      <c r="M329" s="5" t="s">
        <v>22</v>
      </c>
      <c r="N329" s="6">
        <v>43945</v>
      </c>
    </row>
    <row r="330" spans="1:14" x14ac:dyDescent="0.35">
      <c r="A330" s="5" t="s">
        <v>725</v>
      </c>
      <c r="B330" s="5" t="s">
        <v>726</v>
      </c>
      <c r="C330" s="5" t="s">
        <v>184</v>
      </c>
      <c r="D330" s="5" t="s">
        <v>65</v>
      </c>
      <c r="E330" s="5" t="s">
        <v>35</v>
      </c>
      <c r="F330" s="5" t="s">
        <v>19</v>
      </c>
      <c r="G330" s="5" t="s">
        <v>85</v>
      </c>
      <c r="H330" s="5">
        <v>34</v>
      </c>
      <c r="I330" s="6">
        <v>42664</v>
      </c>
      <c r="J330" s="7">
        <v>52811</v>
      </c>
      <c r="K330" s="8">
        <v>0</v>
      </c>
      <c r="L330" s="5" t="s">
        <v>21</v>
      </c>
      <c r="M330" s="5" t="s">
        <v>56</v>
      </c>
      <c r="N330" s="6">
        <v>43945</v>
      </c>
    </row>
    <row r="331" spans="1:14" x14ac:dyDescent="0.35">
      <c r="A331" s="5" t="s">
        <v>727</v>
      </c>
      <c r="B331" s="5" t="s">
        <v>728</v>
      </c>
      <c r="C331" s="5" t="s">
        <v>330</v>
      </c>
      <c r="D331" s="5" t="s">
        <v>17</v>
      </c>
      <c r="E331" s="5" t="s">
        <v>18</v>
      </c>
      <c r="F331" s="5" t="s">
        <v>19</v>
      </c>
      <c r="G331" s="5" t="s">
        <v>28</v>
      </c>
      <c r="H331" s="5">
        <v>28</v>
      </c>
      <c r="I331" s="6">
        <v>43763</v>
      </c>
      <c r="J331" s="7">
        <v>50111</v>
      </c>
      <c r="K331" s="8">
        <v>0</v>
      </c>
      <c r="L331" s="5" t="s">
        <v>29</v>
      </c>
      <c r="M331" s="5" t="s">
        <v>134</v>
      </c>
      <c r="N331" s="6">
        <v>43945</v>
      </c>
    </row>
    <row r="332" spans="1:14" x14ac:dyDescent="0.35">
      <c r="A332" s="5" t="s">
        <v>729</v>
      </c>
      <c r="B332" s="5" t="s">
        <v>625</v>
      </c>
      <c r="C332" s="5" t="s">
        <v>485</v>
      </c>
      <c r="D332" s="5" t="s">
        <v>17</v>
      </c>
      <c r="E332" s="5" t="s">
        <v>26</v>
      </c>
      <c r="F332" s="5" t="s">
        <v>27</v>
      </c>
      <c r="G332" s="5" t="s">
        <v>20</v>
      </c>
      <c r="H332" s="5">
        <v>31</v>
      </c>
      <c r="I332" s="6">
        <v>42497</v>
      </c>
      <c r="J332" s="7">
        <v>71192</v>
      </c>
      <c r="K332" s="8">
        <v>0</v>
      </c>
      <c r="L332" s="5" t="s">
        <v>21</v>
      </c>
      <c r="M332" s="5" t="s">
        <v>60</v>
      </c>
      <c r="N332" s="6">
        <v>43945</v>
      </c>
    </row>
    <row r="333" spans="1:14" x14ac:dyDescent="0.35">
      <c r="A333" s="5" t="s">
        <v>730</v>
      </c>
      <c r="B333" s="5" t="s">
        <v>731</v>
      </c>
      <c r="C333" s="5" t="s">
        <v>33</v>
      </c>
      <c r="D333" s="5" t="s">
        <v>48</v>
      </c>
      <c r="E333" s="5" t="s">
        <v>26</v>
      </c>
      <c r="F333" s="5" t="s">
        <v>19</v>
      </c>
      <c r="G333" s="5" t="s">
        <v>85</v>
      </c>
      <c r="H333" s="5">
        <v>50</v>
      </c>
      <c r="I333" s="6">
        <v>43452</v>
      </c>
      <c r="J333" s="7">
        <v>155351</v>
      </c>
      <c r="K333" s="8">
        <v>0.2</v>
      </c>
      <c r="L333" s="5" t="s">
        <v>21</v>
      </c>
      <c r="M333" s="5" t="s">
        <v>22</v>
      </c>
      <c r="N333" s="6">
        <v>43945</v>
      </c>
    </row>
    <row r="334" spans="1:14" x14ac:dyDescent="0.35">
      <c r="A334" s="5" t="s">
        <v>732</v>
      </c>
      <c r="B334" s="5" t="s">
        <v>733</v>
      </c>
      <c r="C334" s="5" t="s">
        <v>33</v>
      </c>
      <c r="D334" s="5" t="s">
        <v>65</v>
      </c>
      <c r="E334" s="5" t="s">
        <v>35</v>
      </c>
      <c r="F334" s="5" t="s">
        <v>27</v>
      </c>
      <c r="G334" s="5" t="s">
        <v>28</v>
      </c>
      <c r="H334" s="5">
        <v>39</v>
      </c>
      <c r="I334" s="6">
        <v>39049</v>
      </c>
      <c r="J334" s="7">
        <v>161690</v>
      </c>
      <c r="K334" s="8">
        <v>0.28999999999999998</v>
      </c>
      <c r="L334" s="5" t="s">
        <v>29</v>
      </c>
      <c r="M334" s="5" t="s">
        <v>114</v>
      </c>
      <c r="N334" s="6">
        <v>43945</v>
      </c>
    </row>
    <row r="335" spans="1:14" x14ac:dyDescent="0.35">
      <c r="A335" s="5" t="s">
        <v>734</v>
      </c>
      <c r="B335" s="5" t="s">
        <v>735</v>
      </c>
      <c r="C335" s="5" t="s">
        <v>277</v>
      </c>
      <c r="D335" s="5" t="s">
        <v>69</v>
      </c>
      <c r="E335" s="5" t="s">
        <v>35</v>
      </c>
      <c r="F335" s="5" t="s">
        <v>19</v>
      </c>
      <c r="G335" s="5" t="s">
        <v>28</v>
      </c>
      <c r="H335" s="5">
        <v>35</v>
      </c>
      <c r="I335" s="6">
        <v>42776</v>
      </c>
      <c r="J335" s="7">
        <v>60132</v>
      </c>
      <c r="K335" s="8">
        <v>0</v>
      </c>
      <c r="L335" s="5" t="s">
        <v>29</v>
      </c>
      <c r="M335" s="5" t="s">
        <v>30</v>
      </c>
      <c r="N335" s="6">
        <v>43945</v>
      </c>
    </row>
    <row r="336" spans="1:14" x14ac:dyDescent="0.35">
      <c r="A336" s="5" t="s">
        <v>736</v>
      </c>
      <c r="B336" s="5" t="s">
        <v>737</v>
      </c>
      <c r="C336" s="5" t="s">
        <v>248</v>
      </c>
      <c r="D336" s="5" t="s">
        <v>17</v>
      </c>
      <c r="E336" s="5" t="s">
        <v>26</v>
      </c>
      <c r="F336" s="5" t="s">
        <v>27</v>
      </c>
      <c r="G336" s="5" t="s">
        <v>36</v>
      </c>
      <c r="H336" s="5">
        <v>54</v>
      </c>
      <c r="I336" s="6">
        <v>34631</v>
      </c>
      <c r="J336" s="7">
        <v>87216</v>
      </c>
      <c r="K336" s="8">
        <v>0</v>
      </c>
      <c r="L336" s="5" t="s">
        <v>21</v>
      </c>
      <c r="M336" s="5" t="s">
        <v>56</v>
      </c>
      <c r="N336" s="6">
        <v>43945</v>
      </c>
    </row>
    <row r="337" spans="1:14" x14ac:dyDescent="0.35">
      <c r="A337" s="5" t="s">
        <v>738</v>
      </c>
      <c r="B337" s="5" t="s">
        <v>739</v>
      </c>
      <c r="C337" s="5" t="s">
        <v>330</v>
      </c>
      <c r="D337" s="5" t="s">
        <v>17</v>
      </c>
      <c r="E337" s="5" t="s">
        <v>49</v>
      </c>
      <c r="F337" s="5" t="s">
        <v>27</v>
      </c>
      <c r="G337" s="5" t="s">
        <v>36</v>
      </c>
      <c r="H337" s="5">
        <v>47</v>
      </c>
      <c r="I337" s="6">
        <v>43944</v>
      </c>
      <c r="J337" s="7">
        <v>50069</v>
      </c>
      <c r="K337" s="8">
        <v>0</v>
      </c>
      <c r="L337" s="5" t="s">
        <v>21</v>
      </c>
      <c r="M337" s="5" t="s">
        <v>22</v>
      </c>
      <c r="N337" s="6">
        <v>43945</v>
      </c>
    </row>
    <row r="338" spans="1:14" x14ac:dyDescent="0.35">
      <c r="A338" s="5" t="s">
        <v>740</v>
      </c>
      <c r="B338" s="5" t="s">
        <v>741</v>
      </c>
      <c r="C338" s="5" t="s">
        <v>33</v>
      </c>
      <c r="D338" s="5" t="s">
        <v>17</v>
      </c>
      <c r="E338" s="5" t="s">
        <v>35</v>
      </c>
      <c r="F338" s="5" t="s">
        <v>19</v>
      </c>
      <c r="G338" s="5" t="s">
        <v>36</v>
      </c>
      <c r="H338" s="5">
        <v>26</v>
      </c>
      <c r="I338" s="6">
        <v>44403</v>
      </c>
      <c r="J338" s="7">
        <v>151108</v>
      </c>
      <c r="K338" s="8">
        <v>0.22</v>
      </c>
      <c r="L338" s="5" t="s">
        <v>21</v>
      </c>
      <c r="M338" s="5" t="s">
        <v>44</v>
      </c>
      <c r="N338" s="6">
        <v>43945</v>
      </c>
    </row>
    <row r="339" spans="1:14" x14ac:dyDescent="0.35">
      <c r="A339" s="5" t="s">
        <v>742</v>
      </c>
      <c r="B339" s="5" t="s">
        <v>743</v>
      </c>
      <c r="C339" s="5" t="s">
        <v>40</v>
      </c>
      <c r="D339" s="5" t="s">
        <v>17</v>
      </c>
      <c r="E339" s="5" t="s">
        <v>26</v>
      </c>
      <c r="F339" s="5" t="s">
        <v>19</v>
      </c>
      <c r="G339" s="5" t="s">
        <v>28</v>
      </c>
      <c r="H339" s="5">
        <v>42</v>
      </c>
      <c r="I339" s="6">
        <v>38640</v>
      </c>
      <c r="J339" s="7">
        <v>67398</v>
      </c>
      <c r="K339" s="8">
        <v>7.0000000000000007E-2</v>
      </c>
      <c r="L339" s="5" t="s">
        <v>21</v>
      </c>
      <c r="M339" s="5" t="s">
        <v>44</v>
      </c>
      <c r="N339" s="6">
        <v>43945</v>
      </c>
    </row>
    <row r="340" spans="1:14" x14ac:dyDescent="0.35">
      <c r="A340" s="5" t="s">
        <v>744</v>
      </c>
      <c r="B340" s="5" t="s">
        <v>745</v>
      </c>
      <c r="C340" s="5" t="s">
        <v>277</v>
      </c>
      <c r="D340" s="5" t="s">
        <v>69</v>
      </c>
      <c r="E340" s="5" t="s">
        <v>18</v>
      </c>
      <c r="F340" s="5" t="s">
        <v>19</v>
      </c>
      <c r="G340" s="5" t="s">
        <v>85</v>
      </c>
      <c r="H340" s="5">
        <v>47</v>
      </c>
      <c r="I340" s="6">
        <v>42245</v>
      </c>
      <c r="J340" s="7">
        <v>68488</v>
      </c>
      <c r="K340" s="8">
        <v>0</v>
      </c>
      <c r="L340" s="5" t="s">
        <v>21</v>
      </c>
      <c r="M340" s="5" t="s">
        <v>22</v>
      </c>
      <c r="N340" s="6">
        <v>43945</v>
      </c>
    </row>
    <row r="341" spans="1:14" x14ac:dyDescent="0.35">
      <c r="A341" s="5" t="s">
        <v>746</v>
      </c>
      <c r="B341" s="5" t="s">
        <v>747</v>
      </c>
      <c r="C341" s="5" t="s">
        <v>108</v>
      </c>
      <c r="D341" s="5" t="s">
        <v>69</v>
      </c>
      <c r="E341" s="5" t="s">
        <v>26</v>
      </c>
      <c r="F341" s="5" t="s">
        <v>19</v>
      </c>
      <c r="G341" s="5" t="s">
        <v>85</v>
      </c>
      <c r="H341" s="5">
        <v>60</v>
      </c>
      <c r="I341" s="6">
        <v>35992</v>
      </c>
      <c r="J341" s="7">
        <v>92932</v>
      </c>
      <c r="K341" s="8">
        <v>0</v>
      </c>
      <c r="L341" s="5" t="s">
        <v>21</v>
      </c>
      <c r="M341" s="5" t="s">
        <v>88</v>
      </c>
      <c r="N341" s="6">
        <v>43945</v>
      </c>
    </row>
    <row r="342" spans="1:14" x14ac:dyDescent="0.35">
      <c r="A342" s="5" t="s">
        <v>748</v>
      </c>
      <c r="B342" s="5" t="s">
        <v>749</v>
      </c>
      <c r="C342" s="5" t="s">
        <v>55</v>
      </c>
      <c r="D342" s="5" t="s">
        <v>34</v>
      </c>
      <c r="E342" s="5" t="s">
        <v>49</v>
      </c>
      <c r="F342" s="5" t="s">
        <v>19</v>
      </c>
      <c r="G342" s="5" t="s">
        <v>85</v>
      </c>
      <c r="H342" s="5">
        <v>36</v>
      </c>
      <c r="I342" s="6">
        <v>39994</v>
      </c>
      <c r="J342" s="7">
        <v>43363</v>
      </c>
      <c r="K342" s="8">
        <v>0</v>
      </c>
      <c r="L342" s="5" t="s">
        <v>21</v>
      </c>
      <c r="M342" s="5" t="s">
        <v>60</v>
      </c>
      <c r="N342" s="6">
        <v>43945</v>
      </c>
    </row>
    <row r="343" spans="1:14" x14ac:dyDescent="0.35">
      <c r="A343" s="5" t="s">
        <v>750</v>
      </c>
      <c r="B343" s="5" t="s">
        <v>751</v>
      </c>
      <c r="C343" s="5" t="s">
        <v>462</v>
      </c>
      <c r="D343" s="5" t="s">
        <v>17</v>
      </c>
      <c r="E343" s="5" t="s">
        <v>35</v>
      </c>
      <c r="F343" s="5" t="s">
        <v>27</v>
      </c>
      <c r="G343" s="5" t="s">
        <v>28</v>
      </c>
      <c r="H343" s="5">
        <v>31</v>
      </c>
      <c r="I343" s="6">
        <v>42780</v>
      </c>
      <c r="J343" s="7">
        <v>95963</v>
      </c>
      <c r="K343" s="8">
        <v>0</v>
      </c>
      <c r="L343" s="5" t="s">
        <v>29</v>
      </c>
      <c r="M343" s="5" t="s">
        <v>134</v>
      </c>
      <c r="N343" s="6">
        <v>43945</v>
      </c>
    </row>
    <row r="344" spans="1:14" x14ac:dyDescent="0.35">
      <c r="A344" s="5" t="s">
        <v>752</v>
      </c>
      <c r="B344" s="5" t="s">
        <v>753</v>
      </c>
      <c r="C344" s="5" t="s">
        <v>52</v>
      </c>
      <c r="D344" s="5" t="s">
        <v>34</v>
      </c>
      <c r="E344" s="5" t="s">
        <v>35</v>
      </c>
      <c r="F344" s="5" t="s">
        <v>19</v>
      </c>
      <c r="G344" s="5" t="s">
        <v>85</v>
      </c>
      <c r="H344" s="5">
        <v>55</v>
      </c>
      <c r="I344" s="6">
        <v>40297</v>
      </c>
      <c r="J344" s="7">
        <v>111038</v>
      </c>
      <c r="K344" s="8">
        <v>0.05</v>
      </c>
      <c r="L344" s="5" t="s">
        <v>93</v>
      </c>
      <c r="M344" s="5" t="s">
        <v>218</v>
      </c>
      <c r="N344" s="6">
        <v>43945</v>
      </c>
    </row>
    <row r="345" spans="1:14" x14ac:dyDescent="0.35">
      <c r="A345" s="5" t="s">
        <v>754</v>
      </c>
      <c r="B345" s="5" t="s">
        <v>755</v>
      </c>
      <c r="C345" s="5" t="s">
        <v>79</v>
      </c>
      <c r="D345" s="5" t="s">
        <v>69</v>
      </c>
      <c r="E345" s="5" t="s">
        <v>18</v>
      </c>
      <c r="F345" s="5" t="s">
        <v>19</v>
      </c>
      <c r="G345" s="5" t="s">
        <v>36</v>
      </c>
      <c r="H345" s="5">
        <v>51</v>
      </c>
      <c r="I345" s="6">
        <v>35230</v>
      </c>
      <c r="J345" s="7">
        <v>200246</v>
      </c>
      <c r="K345" s="8">
        <v>0.34</v>
      </c>
      <c r="L345" s="5" t="s">
        <v>21</v>
      </c>
      <c r="M345" s="5" t="s">
        <v>88</v>
      </c>
      <c r="N345" s="6">
        <v>43945</v>
      </c>
    </row>
    <row r="346" spans="1:14" x14ac:dyDescent="0.35">
      <c r="A346" s="5" t="s">
        <v>544</v>
      </c>
      <c r="B346" s="5" t="s">
        <v>756</v>
      </c>
      <c r="C346" s="5" t="s">
        <v>79</v>
      </c>
      <c r="D346" s="5" t="s">
        <v>17</v>
      </c>
      <c r="E346" s="5" t="s">
        <v>49</v>
      </c>
      <c r="F346" s="5" t="s">
        <v>19</v>
      </c>
      <c r="G346" s="5" t="s">
        <v>36</v>
      </c>
      <c r="H346" s="5">
        <v>48</v>
      </c>
      <c r="I346" s="6">
        <v>42053</v>
      </c>
      <c r="J346" s="7">
        <v>194871</v>
      </c>
      <c r="K346" s="8">
        <v>0.35</v>
      </c>
      <c r="L346" s="5" t="s">
        <v>21</v>
      </c>
      <c r="M346" s="5" t="s">
        <v>88</v>
      </c>
      <c r="N346" s="6">
        <v>43945</v>
      </c>
    </row>
    <row r="347" spans="1:14" x14ac:dyDescent="0.35">
      <c r="A347" s="5" t="s">
        <v>757</v>
      </c>
      <c r="B347" s="5" t="s">
        <v>758</v>
      </c>
      <c r="C347" s="5" t="s">
        <v>43</v>
      </c>
      <c r="D347" s="5" t="s">
        <v>59</v>
      </c>
      <c r="E347" s="5" t="s">
        <v>18</v>
      </c>
      <c r="F347" s="5" t="s">
        <v>27</v>
      </c>
      <c r="G347" s="5" t="s">
        <v>85</v>
      </c>
      <c r="H347" s="5">
        <v>58</v>
      </c>
      <c r="I347" s="6">
        <v>34592</v>
      </c>
      <c r="J347" s="7">
        <v>98769</v>
      </c>
      <c r="K347" s="8">
        <v>0</v>
      </c>
      <c r="L347" s="5" t="s">
        <v>93</v>
      </c>
      <c r="M347" s="5" t="s">
        <v>99</v>
      </c>
      <c r="N347" s="6">
        <v>42646</v>
      </c>
    </row>
    <row r="348" spans="1:14" x14ac:dyDescent="0.35">
      <c r="A348" s="5" t="s">
        <v>759</v>
      </c>
      <c r="B348" s="5" t="s">
        <v>760</v>
      </c>
      <c r="C348" s="5" t="s">
        <v>47</v>
      </c>
      <c r="D348" s="5" t="s">
        <v>48</v>
      </c>
      <c r="E348" s="5" t="s">
        <v>18</v>
      </c>
      <c r="F348" s="5" t="s">
        <v>19</v>
      </c>
      <c r="G348" s="5" t="s">
        <v>85</v>
      </c>
      <c r="H348" s="5">
        <v>29</v>
      </c>
      <c r="I348" s="6">
        <v>43239</v>
      </c>
      <c r="J348" s="7">
        <v>65334</v>
      </c>
      <c r="K348" s="8">
        <v>0</v>
      </c>
      <c r="L348" s="5" t="s">
        <v>93</v>
      </c>
      <c r="M348" s="5" t="s">
        <v>99</v>
      </c>
      <c r="N348" s="6">
        <v>42646</v>
      </c>
    </row>
    <row r="349" spans="1:14" x14ac:dyDescent="0.35">
      <c r="A349" s="5" t="s">
        <v>761</v>
      </c>
      <c r="B349" s="5" t="s">
        <v>762</v>
      </c>
      <c r="C349" s="5" t="s">
        <v>25</v>
      </c>
      <c r="D349" s="5" t="s">
        <v>17</v>
      </c>
      <c r="E349" s="5" t="s">
        <v>26</v>
      </c>
      <c r="F349" s="5" t="s">
        <v>19</v>
      </c>
      <c r="G349" s="5" t="s">
        <v>85</v>
      </c>
      <c r="H349" s="5">
        <v>25</v>
      </c>
      <c r="I349" s="6">
        <v>44327</v>
      </c>
      <c r="J349" s="7">
        <v>83934</v>
      </c>
      <c r="K349" s="8">
        <v>0</v>
      </c>
      <c r="L349" s="5" t="s">
        <v>21</v>
      </c>
      <c r="M349" s="5" t="s">
        <v>56</v>
      </c>
      <c r="N349" s="6">
        <v>42646</v>
      </c>
    </row>
    <row r="350" spans="1:14" x14ac:dyDescent="0.35">
      <c r="A350" s="5" t="s">
        <v>763</v>
      </c>
      <c r="B350" s="5" t="s">
        <v>764</v>
      </c>
      <c r="C350" s="5" t="s">
        <v>33</v>
      </c>
      <c r="D350" s="5" t="s">
        <v>59</v>
      </c>
      <c r="E350" s="5" t="s">
        <v>18</v>
      </c>
      <c r="F350" s="5" t="s">
        <v>27</v>
      </c>
      <c r="G350" s="5" t="s">
        <v>36</v>
      </c>
      <c r="H350" s="5">
        <v>36</v>
      </c>
      <c r="I350" s="6">
        <v>42616</v>
      </c>
      <c r="J350" s="7">
        <v>150399</v>
      </c>
      <c r="K350" s="8">
        <v>0.28000000000000003</v>
      </c>
      <c r="L350" s="5" t="s">
        <v>21</v>
      </c>
      <c r="M350" s="5" t="s">
        <v>37</v>
      </c>
      <c r="N350" s="6">
        <v>42646</v>
      </c>
    </row>
    <row r="351" spans="1:14" x14ac:dyDescent="0.35">
      <c r="A351" s="5" t="s">
        <v>765</v>
      </c>
      <c r="B351" s="5" t="s">
        <v>766</v>
      </c>
      <c r="C351" s="5" t="s">
        <v>33</v>
      </c>
      <c r="D351" s="5" t="s">
        <v>65</v>
      </c>
      <c r="E351" s="5" t="s">
        <v>18</v>
      </c>
      <c r="F351" s="5" t="s">
        <v>27</v>
      </c>
      <c r="G351" s="5" t="s">
        <v>28</v>
      </c>
      <c r="H351" s="5">
        <v>37</v>
      </c>
      <c r="I351" s="6">
        <v>41048</v>
      </c>
      <c r="J351" s="7">
        <v>160280</v>
      </c>
      <c r="K351" s="8">
        <v>0.19</v>
      </c>
      <c r="L351" s="5" t="s">
        <v>29</v>
      </c>
      <c r="M351" s="5" t="s">
        <v>114</v>
      </c>
      <c r="N351" s="6">
        <v>42646</v>
      </c>
    </row>
    <row r="352" spans="1:14" x14ac:dyDescent="0.35">
      <c r="A352" s="5" t="s">
        <v>767</v>
      </c>
      <c r="B352" s="5" t="s">
        <v>768</v>
      </c>
      <c r="C352" s="5" t="s">
        <v>184</v>
      </c>
      <c r="D352" s="5" t="s">
        <v>65</v>
      </c>
      <c r="E352" s="5" t="s">
        <v>35</v>
      </c>
      <c r="F352" s="5" t="s">
        <v>27</v>
      </c>
      <c r="G352" s="5" t="s">
        <v>28</v>
      </c>
      <c r="H352" s="5">
        <v>57</v>
      </c>
      <c r="I352" s="6">
        <v>35548</v>
      </c>
      <c r="J352" s="7">
        <v>54051</v>
      </c>
      <c r="K352" s="8">
        <v>0</v>
      </c>
      <c r="L352" s="5" t="s">
        <v>21</v>
      </c>
      <c r="M352" s="5" t="s">
        <v>56</v>
      </c>
      <c r="N352" s="6">
        <v>36079</v>
      </c>
    </row>
    <row r="353" spans="1:14" x14ac:dyDescent="0.35">
      <c r="A353" s="5" t="s">
        <v>769</v>
      </c>
      <c r="B353" s="5" t="s">
        <v>770</v>
      </c>
      <c r="C353" s="5" t="s">
        <v>33</v>
      </c>
      <c r="D353" s="5" t="s">
        <v>69</v>
      </c>
      <c r="E353" s="5" t="s">
        <v>18</v>
      </c>
      <c r="F353" s="5" t="s">
        <v>19</v>
      </c>
      <c r="G353" s="5" t="s">
        <v>85</v>
      </c>
      <c r="H353" s="5">
        <v>59</v>
      </c>
      <c r="I353" s="6">
        <v>37726</v>
      </c>
      <c r="J353" s="7">
        <v>150699</v>
      </c>
      <c r="K353" s="8">
        <v>0.28999999999999998</v>
      </c>
      <c r="L353" s="5" t="s">
        <v>93</v>
      </c>
      <c r="M353" s="5" t="s">
        <v>218</v>
      </c>
      <c r="N353" s="6">
        <v>36079</v>
      </c>
    </row>
    <row r="354" spans="1:14" x14ac:dyDescent="0.35">
      <c r="A354" s="5" t="s">
        <v>771</v>
      </c>
      <c r="B354" s="5" t="s">
        <v>772</v>
      </c>
      <c r="C354" s="5" t="s">
        <v>124</v>
      </c>
      <c r="D354" s="5" t="s">
        <v>80</v>
      </c>
      <c r="E354" s="5" t="s">
        <v>35</v>
      </c>
      <c r="F354" s="5" t="s">
        <v>27</v>
      </c>
      <c r="G354" s="5" t="s">
        <v>85</v>
      </c>
      <c r="H354" s="5">
        <v>37</v>
      </c>
      <c r="I354" s="6">
        <v>41363</v>
      </c>
      <c r="J354" s="7">
        <v>69570</v>
      </c>
      <c r="K354" s="8">
        <v>0</v>
      </c>
      <c r="L354" s="5" t="s">
        <v>21</v>
      </c>
      <c r="M354" s="5" t="s">
        <v>56</v>
      </c>
      <c r="N354" s="6">
        <v>36079</v>
      </c>
    </row>
    <row r="355" spans="1:14" x14ac:dyDescent="0.35">
      <c r="A355" s="5" t="s">
        <v>773</v>
      </c>
      <c r="B355" s="5" t="s">
        <v>774</v>
      </c>
      <c r="C355" s="5" t="s">
        <v>462</v>
      </c>
      <c r="D355" s="5" t="s">
        <v>17</v>
      </c>
      <c r="E355" s="5" t="s">
        <v>26</v>
      </c>
      <c r="F355" s="5" t="s">
        <v>19</v>
      </c>
      <c r="G355" s="5" t="s">
        <v>28</v>
      </c>
      <c r="H355" s="5">
        <v>30</v>
      </c>
      <c r="I355" s="6">
        <v>43553</v>
      </c>
      <c r="J355" s="7">
        <v>86774</v>
      </c>
      <c r="K355" s="8">
        <v>0</v>
      </c>
      <c r="L355" s="5" t="s">
        <v>29</v>
      </c>
      <c r="M355" s="5" t="s">
        <v>134</v>
      </c>
      <c r="N355" s="6">
        <v>36079</v>
      </c>
    </row>
    <row r="356" spans="1:14" x14ac:dyDescent="0.35">
      <c r="A356" s="5" t="s">
        <v>775</v>
      </c>
      <c r="B356" s="5" t="s">
        <v>776</v>
      </c>
      <c r="C356" s="5" t="s">
        <v>164</v>
      </c>
      <c r="D356" s="5" t="s">
        <v>65</v>
      </c>
      <c r="E356" s="5" t="s">
        <v>26</v>
      </c>
      <c r="F356" s="5" t="s">
        <v>27</v>
      </c>
      <c r="G356" s="5" t="s">
        <v>36</v>
      </c>
      <c r="H356" s="5">
        <v>49</v>
      </c>
      <c r="I356" s="6">
        <v>36979</v>
      </c>
      <c r="J356" s="7">
        <v>57606</v>
      </c>
      <c r="K356" s="8">
        <v>0</v>
      </c>
      <c r="L356" s="5" t="s">
        <v>21</v>
      </c>
      <c r="M356" s="5" t="s">
        <v>56</v>
      </c>
      <c r="N356" s="6">
        <v>36079</v>
      </c>
    </row>
    <row r="357" spans="1:14" x14ac:dyDescent="0.35">
      <c r="A357" s="5" t="s">
        <v>777</v>
      </c>
      <c r="B357" s="5" t="s">
        <v>778</v>
      </c>
      <c r="C357" s="5" t="s">
        <v>16</v>
      </c>
      <c r="D357" s="5" t="s">
        <v>34</v>
      </c>
      <c r="E357" s="5" t="s">
        <v>49</v>
      </c>
      <c r="F357" s="5" t="s">
        <v>19</v>
      </c>
      <c r="G357" s="5" t="s">
        <v>28</v>
      </c>
      <c r="H357" s="5">
        <v>48</v>
      </c>
      <c r="I357" s="6">
        <v>37144</v>
      </c>
      <c r="J357" s="7">
        <v>125730</v>
      </c>
      <c r="K357" s="8">
        <v>0.11</v>
      </c>
      <c r="L357" s="5" t="s">
        <v>29</v>
      </c>
      <c r="M357" s="5" t="s">
        <v>30</v>
      </c>
      <c r="N357" s="6">
        <v>36079</v>
      </c>
    </row>
    <row r="358" spans="1:14" x14ac:dyDescent="0.35">
      <c r="A358" s="5" t="s">
        <v>779</v>
      </c>
      <c r="B358" s="5" t="s">
        <v>780</v>
      </c>
      <c r="C358" s="5" t="s">
        <v>299</v>
      </c>
      <c r="D358" s="5" t="s">
        <v>17</v>
      </c>
      <c r="E358" s="5" t="s">
        <v>18</v>
      </c>
      <c r="F358" s="5" t="s">
        <v>19</v>
      </c>
      <c r="G358" s="5" t="s">
        <v>28</v>
      </c>
      <c r="H358" s="5">
        <v>51</v>
      </c>
      <c r="I358" s="6">
        <v>40964</v>
      </c>
      <c r="J358" s="7">
        <v>64170</v>
      </c>
      <c r="K358" s="8">
        <v>0</v>
      </c>
      <c r="L358" s="5" t="s">
        <v>21</v>
      </c>
      <c r="M358" s="5" t="s">
        <v>88</v>
      </c>
      <c r="N358" s="6">
        <v>36079</v>
      </c>
    </row>
    <row r="359" spans="1:14" x14ac:dyDescent="0.35">
      <c r="A359" s="5" t="s">
        <v>781</v>
      </c>
      <c r="B359" s="5" t="s">
        <v>782</v>
      </c>
      <c r="C359" s="5" t="s">
        <v>143</v>
      </c>
      <c r="D359" s="5" t="s">
        <v>65</v>
      </c>
      <c r="E359" s="5" t="s">
        <v>35</v>
      </c>
      <c r="F359" s="5" t="s">
        <v>27</v>
      </c>
      <c r="G359" s="5" t="s">
        <v>85</v>
      </c>
      <c r="H359" s="5">
        <v>56</v>
      </c>
      <c r="I359" s="6">
        <v>35816</v>
      </c>
      <c r="J359" s="7">
        <v>72303</v>
      </c>
      <c r="K359" s="8">
        <v>0</v>
      </c>
      <c r="L359" s="5" t="s">
        <v>21</v>
      </c>
      <c r="M359" s="5" t="s">
        <v>44</v>
      </c>
      <c r="N359" s="6">
        <v>36079</v>
      </c>
    </row>
    <row r="360" spans="1:14" x14ac:dyDescent="0.35">
      <c r="A360" s="5" t="s">
        <v>783</v>
      </c>
      <c r="B360" s="5" t="s">
        <v>784</v>
      </c>
      <c r="C360" s="5" t="s">
        <v>52</v>
      </c>
      <c r="D360" s="5" t="s">
        <v>48</v>
      </c>
      <c r="E360" s="5" t="s">
        <v>18</v>
      </c>
      <c r="F360" s="5" t="s">
        <v>27</v>
      </c>
      <c r="G360" s="5" t="s">
        <v>85</v>
      </c>
      <c r="H360" s="5">
        <v>36</v>
      </c>
      <c r="I360" s="6">
        <v>41116</v>
      </c>
      <c r="J360" s="7">
        <v>105891</v>
      </c>
      <c r="K360" s="8">
        <v>7.0000000000000007E-2</v>
      </c>
      <c r="L360" s="5" t="s">
        <v>21</v>
      </c>
      <c r="M360" s="5" t="s">
        <v>22</v>
      </c>
      <c r="N360" s="6">
        <v>36079</v>
      </c>
    </row>
    <row r="361" spans="1:14" x14ac:dyDescent="0.35">
      <c r="A361" s="5" t="s">
        <v>448</v>
      </c>
      <c r="B361" s="5" t="s">
        <v>785</v>
      </c>
      <c r="C361" s="5" t="s">
        <v>79</v>
      </c>
      <c r="D361" s="5" t="s">
        <v>80</v>
      </c>
      <c r="E361" s="5" t="s">
        <v>35</v>
      </c>
      <c r="F361" s="5" t="s">
        <v>27</v>
      </c>
      <c r="G361" s="5" t="s">
        <v>28</v>
      </c>
      <c r="H361" s="5">
        <v>38</v>
      </c>
      <c r="I361" s="6">
        <v>44433</v>
      </c>
      <c r="J361" s="7">
        <v>255230</v>
      </c>
      <c r="K361" s="8">
        <v>0.36</v>
      </c>
      <c r="L361" s="5" t="s">
        <v>21</v>
      </c>
      <c r="M361" s="5" t="s">
        <v>60</v>
      </c>
      <c r="N361" s="6">
        <v>36079</v>
      </c>
    </row>
    <row r="362" spans="1:14" x14ac:dyDescent="0.35">
      <c r="A362" s="5" t="s">
        <v>786</v>
      </c>
      <c r="B362" s="5" t="s">
        <v>787</v>
      </c>
      <c r="C362" s="5" t="s">
        <v>124</v>
      </c>
      <c r="D362" s="5" t="s">
        <v>48</v>
      </c>
      <c r="E362" s="5" t="s">
        <v>26</v>
      </c>
      <c r="F362" s="5" t="s">
        <v>19</v>
      </c>
      <c r="G362" s="5" t="s">
        <v>85</v>
      </c>
      <c r="H362" s="5">
        <v>56</v>
      </c>
      <c r="I362" s="6">
        <v>33770</v>
      </c>
      <c r="J362" s="7">
        <v>59591</v>
      </c>
      <c r="K362" s="8">
        <v>0</v>
      </c>
      <c r="L362" s="5" t="s">
        <v>93</v>
      </c>
      <c r="M362" s="5" t="s">
        <v>218</v>
      </c>
      <c r="N362" s="6">
        <v>36079</v>
      </c>
    </row>
    <row r="363" spans="1:14" x14ac:dyDescent="0.35">
      <c r="A363" s="5" t="s">
        <v>788</v>
      </c>
      <c r="B363" s="5" t="s">
        <v>789</v>
      </c>
      <c r="C363" s="5" t="s">
        <v>79</v>
      </c>
      <c r="D363" s="5" t="s">
        <v>65</v>
      </c>
      <c r="E363" s="5" t="s">
        <v>26</v>
      </c>
      <c r="F363" s="5" t="s">
        <v>19</v>
      </c>
      <c r="G363" s="5" t="s">
        <v>28</v>
      </c>
      <c r="H363" s="5">
        <v>52</v>
      </c>
      <c r="I363" s="6">
        <v>41113</v>
      </c>
      <c r="J363" s="7">
        <v>187048</v>
      </c>
      <c r="K363" s="8">
        <v>0.32</v>
      </c>
      <c r="L363" s="5" t="s">
        <v>29</v>
      </c>
      <c r="M363" s="5" t="s">
        <v>134</v>
      </c>
      <c r="N363" s="6">
        <v>36079</v>
      </c>
    </row>
    <row r="364" spans="1:14" x14ac:dyDescent="0.35">
      <c r="A364" s="5" t="s">
        <v>790</v>
      </c>
      <c r="B364" s="5" t="s">
        <v>791</v>
      </c>
      <c r="C364" s="5" t="s">
        <v>124</v>
      </c>
      <c r="D364" s="5" t="s">
        <v>34</v>
      </c>
      <c r="E364" s="5" t="s">
        <v>35</v>
      </c>
      <c r="F364" s="5" t="s">
        <v>19</v>
      </c>
      <c r="G364" s="5" t="s">
        <v>85</v>
      </c>
      <c r="H364" s="5">
        <v>53</v>
      </c>
      <c r="I364" s="6">
        <v>37296</v>
      </c>
      <c r="J364" s="7">
        <v>58605</v>
      </c>
      <c r="K364" s="8">
        <v>0</v>
      </c>
      <c r="L364" s="5" t="s">
        <v>21</v>
      </c>
      <c r="M364" s="5" t="s">
        <v>44</v>
      </c>
      <c r="N364" s="6">
        <v>36079</v>
      </c>
    </row>
    <row r="365" spans="1:14" x14ac:dyDescent="0.35">
      <c r="A365" s="5" t="s">
        <v>792</v>
      </c>
      <c r="B365" s="5" t="s">
        <v>793</v>
      </c>
      <c r="C365" s="5" t="s">
        <v>33</v>
      </c>
      <c r="D365" s="5" t="s">
        <v>69</v>
      </c>
      <c r="E365" s="5" t="s">
        <v>49</v>
      </c>
      <c r="F365" s="5" t="s">
        <v>19</v>
      </c>
      <c r="G365" s="5" t="s">
        <v>85</v>
      </c>
      <c r="H365" s="5">
        <v>60</v>
      </c>
      <c r="I365" s="6">
        <v>42739</v>
      </c>
      <c r="J365" s="7">
        <v>178502</v>
      </c>
      <c r="K365" s="8">
        <v>0.2</v>
      </c>
      <c r="L365" s="5" t="s">
        <v>21</v>
      </c>
      <c r="M365" s="5" t="s">
        <v>60</v>
      </c>
      <c r="N365" s="6">
        <v>36079</v>
      </c>
    </row>
    <row r="366" spans="1:14" x14ac:dyDescent="0.35">
      <c r="A366" s="5" t="s">
        <v>794</v>
      </c>
      <c r="B366" s="5" t="s">
        <v>795</v>
      </c>
      <c r="C366" s="5" t="s">
        <v>52</v>
      </c>
      <c r="D366" s="5" t="s">
        <v>59</v>
      </c>
      <c r="E366" s="5" t="s">
        <v>35</v>
      </c>
      <c r="F366" s="5" t="s">
        <v>27</v>
      </c>
      <c r="G366" s="5" t="s">
        <v>28</v>
      </c>
      <c r="H366" s="5">
        <v>63</v>
      </c>
      <c r="I366" s="6">
        <v>42214</v>
      </c>
      <c r="J366" s="7">
        <v>103724</v>
      </c>
      <c r="K366" s="8">
        <v>0.05</v>
      </c>
      <c r="L366" s="5" t="s">
        <v>29</v>
      </c>
      <c r="M366" s="5" t="s">
        <v>74</v>
      </c>
      <c r="N366" s="6">
        <v>36079</v>
      </c>
    </row>
    <row r="367" spans="1:14" x14ac:dyDescent="0.35">
      <c r="A367" s="5" t="s">
        <v>796</v>
      </c>
      <c r="B367" s="5" t="s">
        <v>797</v>
      </c>
      <c r="C367" s="5" t="s">
        <v>33</v>
      </c>
      <c r="D367" s="5" t="s">
        <v>69</v>
      </c>
      <c r="E367" s="5" t="s">
        <v>18</v>
      </c>
      <c r="F367" s="5" t="s">
        <v>19</v>
      </c>
      <c r="G367" s="5" t="s">
        <v>85</v>
      </c>
      <c r="H367" s="5">
        <v>37</v>
      </c>
      <c r="I367" s="6">
        <v>39528</v>
      </c>
      <c r="J367" s="7">
        <v>156277</v>
      </c>
      <c r="K367" s="8">
        <v>0.22</v>
      </c>
      <c r="L367" s="5" t="s">
        <v>93</v>
      </c>
      <c r="M367" s="5" t="s">
        <v>94</v>
      </c>
      <c r="N367" s="6">
        <v>36079</v>
      </c>
    </row>
    <row r="368" spans="1:14" x14ac:dyDescent="0.35">
      <c r="A368" s="5" t="s">
        <v>798</v>
      </c>
      <c r="B368" s="5" t="s">
        <v>799</v>
      </c>
      <c r="C368" s="5" t="s">
        <v>175</v>
      </c>
      <c r="D368" s="5" t="s">
        <v>69</v>
      </c>
      <c r="E368" s="5" t="s">
        <v>18</v>
      </c>
      <c r="F368" s="5" t="s">
        <v>19</v>
      </c>
      <c r="G368" s="5" t="s">
        <v>85</v>
      </c>
      <c r="H368" s="5">
        <v>30</v>
      </c>
      <c r="I368" s="6">
        <v>43086</v>
      </c>
      <c r="J368" s="7">
        <v>87744</v>
      </c>
      <c r="K368" s="8">
        <v>0</v>
      </c>
      <c r="L368" s="5" t="s">
        <v>93</v>
      </c>
      <c r="M368" s="5" t="s">
        <v>218</v>
      </c>
      <c r="N368" s="6">
        <v>36079</v>
      </c>
    </row>
    <row r="369" spans="1:14" x14ac:dyDescent="0.35">
      <c r="A369" s="5" t="s">
        <v>800</v>
      </c>
      <c r="B369" s="5" t="s">
        <v>801</v>
      </c>
      <c r="C369" s="5" t="s">
        <v>124</v>
      </c>
      <c r="D369" s="5" t="s">
        <v>34</v>
      </c>
      <c r="E369" s="5" t="s">
        <v>26</v>
      </c>
      <c r="F369" s="5" t="s">
        <v>27</v>
      </c>
      <c r="G369" s="5" t="s">
        <v>36</v>
      </c>
      <c r="H369" s="5">
        <v>30</v>
      </c>
      <c r="I369" s="6">
        <v>43542</v>
      </c>
      <c r="J369" s="7">
        <v>54714</v>
      </c>
      <c r="K369" s="8">
        <v>0</v>
      </c>
      <c r="L369" s="5" t="s">
        <v>21</v>
      </c>
      <c r="M369" s="5" t="s">
        <v>88</v>
      </c>
      <c r="N369" s="6">
        <v>36079</v>
      </c>
    </row>
    <row r="370" spans="1:14" x14ac:dyDescent="0.35">
      <c r="A370" s="5" t="s">
        <v>802</v>
      </c>
      <c r="B370" s="5" t="s">
        <v>803</v>
      </c>
      <c r="C370" s="5" t="s">
        <v>131</v>
      </c>
      <c r="D370" s="5" t="s">
        <v>17</v>
      </c>
      <c r="E370" s="5" t="s">
        <v>49</v>
      </c>
      <c r="F370" s="5" t="s">
        <v>19</v>
      </c>
      <c r="G370" s="5" t="s">
        <v>28</v>
      </c>
      <c r="H370" s="5">
        <v>45</v>
      </c>
      <c r="I370" s="6">
        <v>41511</v>
      </c>
      <c r="J370" s="7">
        <v>99169</v>
      </c>
      <c r="K370" s="8">
        <v>0</v>
      </c>
      <c r="L370" s="5" t="s">
        <v>29</v>
      </c>
      <c r="M370" s="5" t="s">
        <v>114</v>
      </c>
      <c r="N370" s="6">
        <v>36079</v>
      </c>
    </row>
    <row r="371" spans="1:14" x14ac:dyDescent="0.35">
      <c r="A371" s="5" t="s">
        <v>804</v>
      </c>
      <c r="B371" s="5" t="s">
        <v>805</v>
      </c>
      <c r="C371" s="5" t="s">
        <v>16</v>
      </c>
      <c r="D371" s="5" t="s">
        <v>59</v>
      </c>
      <c r="E371" s="5" t="s">
        <v>18</v>
      </c>
      <c r="F371" s="5" t="s">
        <v>19</v>
      </c>
      <c r="G371" s="5" t="s">
        <v>28</v>
      </c>
      <c r="H371" s="5">
        <v>55</v>
      </c>
      <c r="I371" s="6">
        <v>38888</v>
      </c>
      <c r="J371" s="7">
        <v>142628</v>
      </c>
      <c r="K371" s="8">
        <v>0.12</v>
      </c>
      <c r="L371" s="5" t="s">
        <v>29</v>
      </c>
      <c r="M371" s="5" t="s">
        <v>30</v>
      </c>
      <c r="N371" s="6">
        <v>36079</v>
      </c>
    </row>
    <row r="372" spans="1:14" x14ac:dyDescent="0.35">
      <c r="A372" s="5" t="s">
        <v>806</v>
      </c>
      <c r="B372" s="5" t="s">
        <v>807</v>
      </c>
      <c r="C372" s="5" t="s">
        <v>43</v>
      </c>
      <c r="D372" s="5" t="s">
        <v>80</v>
      </c>
      <c r="E372" s="5" t="s">
        <v>26</v>
      </c>
      <c r="F372" s="5" t="s">
        <v>19</v>
      </c>
      <c r="G372" s="5" t="s">
        <v>85</v>
      </c>
      <c r="H372" s="5">
        <v>33</v>
      </c>
      <c r="I372" s="6">
        <v>41756</v>
      </c>
      <c r="J372" s="7">
        <v>75869</v>
      </c>
      <c r="K372" s="8">
        <v>0</v>
      </c>
      <c r="L372" s="5" t="s">
        <v>93</v>
      </c>
      <c r="M372" s="5" t="s">
        <v>218</v>
      </c>
      <c r="N372" s="6">
        <v>36079</v>
      </c>
    </row>
    <row r="373" spans="1:14" x14ac:dyDescent="0.35">
      <c r="A373" s="5" t="s">
        <v>808</v>
      </c>
      <c r="B373" s="5" t="s">
        <v>809</v>
      </c>
      <c r="C373" s="5" t="s">
        <v>248</v>
      </c>
      <c r="D373" s="5" t="s">
        <v>17</v>
      </c>
      <c r="E373" s="5" t="s">
        <v>26</v>
      </c>
      <c r="F373" s="5" t="s">
        <v>19</v>
      </c>
      <c r="G373" s="5" t="s">
        <v>36</v>
      </c>
      <c r="H373" s="5">
        <v>65</v>
      </c>
      <c r="I373" s="6">
        <v>43234</v>
      </c>
      <c r="J373" s="7">
        <v>60985</v>
      </c>
      <c r="K373" s="8">
        <v>0</v>
      </c>
      <c r="L373" s="5" t="s">
        <v>21</v>
      </c>
      <c r="M373" s="5" t="s">
        <v>22</v>
      </c>
      <c r="N373" s="6">
        <v>36079</v>
      </c>
    </row>
    <row r="374" spans="1:14" x14ac:dyDescent="0.35">
      <c r="A374" s="5" t="s">
        <v>810</v>
      </c>
      <c r="B374" s="5" t="s">
        <v>811</v>
      </c>
      <c r="C374" s="5" t="s">
        <v>16</v>
      </c>
      <c r="D374" s="5" t="s">
        <v>17</v>
      </c>
      <c r="E374" s="5" t="s">
        <v>18</v>
      </c>
      <c r="F374" s="5" t="s">
        <v>19</v>
      </c>
      <c r="G374" s="5" t="s">
        <v>28</v>
      </c>
      <c r="H374" s="5">
        <v>60</v>
      </c>
      <c r="I374" s="6">
        <v>40383</v>
      </c>
      <c r="J374" s="7">
        <v>126911</v>
      </c>
      <c r="K374" s="8">
        <v>0.1</v>
      </c>
      <c r="L374" s="5" t="s">
        <v>29</v>
      </c>
      <c r="M374" s="5" t="s">
        <v>74</v>
      </c>
      <c r="N374" s="6">
        <v>36079</v>
      </c>
    </row>
    <row r="375" spans="1:14" x14ac:dyDescent="0.35">
      <c r="A375" s="5" t="s">
        <v>812</v>
      </c>
      <c r="B375" s="5" t="s">
        <v>813</v>
      </c>
      <c r="C375" s="5" t="s">
        <v>79</v>
      </c>
      <c r="D375" s="5" t="s">
        <v>48</v>
      </c>
      <c r="E375" s="5" t="s">
        <v>18</v>
      </c>
      <c r="F375" s="5" t="s">
        <v>27</v>
      </c>
      <c r="G375" s="5" t="s">
        <v>28</v>
      </c>
      <c r="H375" s="5">
        <v>56</v>
      </c>
      <c r="I375" s="6">
        <v>38042</v>
      </c>
      <c r="J375" s="7">
        <v>216949</v>
      </c>
      <c r="K375" s="8">
        <v>0.32</v>
      </c>
      <c r="L375" s="5" t="s">
        <v>29</v>
      </c>
      <c r="M375" s="5" t="s">
        <v>74</v>
      </c>
      <c r="N375" s="6">
        <v>36079</v>
      </c>
    </row>
    <row r="376" spans="1:14" x14ac:dyDescent="0.35">
      <c r="A376" s="5" t="s">
        <v>814</v>
      </c>
      <c r="B376" s="5" t="s">
        <v>815</v>
      </c>
      <c r="C376" s="5" t="s">
        <v>33</v>
      </c>
      <c r="D376" s="5" t="s">
        <v>69</v>
      </c>
      <c r="E376" s="5" t="s">
        <v>26</v>
      </c>
      <c r="F376" s="5" t="s">
        <v>27</v>
      </c>
      <c r="G376" s="5" t="s">
        <v>28</v>
      </c>
      <c r="H376" s="5">
        <v>53</v>
      </c>
      <c r="I376" s="6">
        <v>41204</v>
      </c>
      <c r="J376" s="7">
        <v>168510</v>
      </c>
      <c r="K376" s="8">
        <v>0.28999999999999998</v>
      </c>
      <c r="L376" s="5" t="s">
        <v>21</v>
      </c>
      <c r="M376" s="5" t="s">
        <v>22</v>
      </c>
      <c r="N376" s="6">
        <v>36079</v>
      </c>
    </row>
    <row r="377" spans="1:14" x14ac:dyDescent="0.35">
      <c r="A377" s="5" t="s">
        <v>816</v>
      </c>
      <c r="B377" s="5" t="s">
        <v>817</v>
      </c>
      <c r="C377" s="5" t="s">
        <v>175</v>
      </c>
      <c r="D377" s="5" t="s">
        <v>69</v>
      </c>
      <c r="E377" s="5" t="s">
        <v>35</v>
      </c>
      <c r="F377" s="5" t="s">
        <v>19</v>
      </c>
      <c r="G377" s="5" t="s">
        <v>85</v>
      </c>
      <c r="H377" s="5">
        <v>36</v>
      </c>
      <c r="I377" s="6">
        <v>42443</v>
      </c>
      <c r="J377" s="7">
        <v>85870</v>
      </c>
      <c r="K377" s="8">
        <v>0</v>
      </c>
      <c r="L377" s="5" t="s">
        <v>93</v>
      </c>
      <c r="M377" s="5" t="s">
        <v>218</v>
      </c>
      <c r="N377" s="6">
        <v>36079</v>
      </c>
    </row>
    <row r="378" spans="1:14" x14ac:dyDescent="0.35">
      <c r="A378" s="5" t="s">
        <v>818</v>
      </c>
      <c r="B378" s="5" t="s">
        <v>819</v>
      </c>
      <c r="C378" s="5" t="s">
        <v>43</v>
      </c>
      <c r="D378" s="5" t="s">
        <v>80</v>
      </c>
      <c r="E378" s="5" t="s">
        <v>49</v>
      </c>
      <c r="F378" s="5" t="s">
        <v>19</v>
      </c>
      <c r="G378" s="5" t="s">
        <v>28</v>
      </c>
      <c r="H378" s="5">
        <v>46</v>
      </c>
      <c r="I378" s="6">
        <v>37271</v>
      </c>
      <c r="J378" s="7">
        <v>86510</v>
      </c>
      <c r="K378" s="8">
        <v>0</v>
      </c>
      <c r="L378" s="5" t="s">
        <v>29</v>
      </c>
      <c r="M378" s="5" t="s">
        <v>114</v>
      </c>
      <c r="N378" s="6">
        <v>37623</v>
      </c>
    </row>
    <row r="379" spans="1:14" x14ac:dyDescent="0.35">
      <c r="A379" s="5" t="s">
        <v>820</v>
      </c>
      <c r="B379" s="5" t="s">
        <v>821</v>
      </c>
      <c r="C379" s="5" t="s">
        <v>52</v>
      </c>
      <c r="D379" s="5" t="s">
        <v>48</v>
      </c>
      <c r="E379" s="5" t="s">
        <v>35</v>
      </c>
      <c r="F379" s="5" t="s">
        <v>19</v>
      </c>
      <c r="G379" s="5" t="s">
        <v>85</v>
      </c>
      <c r="H379" s="5">
        <v>38</v>
      </c>
      <c r="I379" s="6">
        <v>42999</v>
      </c>
      <c r="J379" s="7">
        <v>119647</v>
      </c>
      <c r="K379" s="8">
        <v>0.09</v>
      </c>
      <c r="L379" s="5" t="s">
        <v>93</v>
      </c>
      <c r="M379" s="5" t="s">
        <v>218</v>
      </c>
      <c r="N379" s="6">
        <v>37623</v>
      </c>
    </row>
    <row r="380" spans="1:14" x14ac:dyDescent="0.35">
      <c r="A380" s="5" t="s">
        <v>822</v>
      </c>
      <c r="B380" s="5" t="s">
        <v>823</v>
      </c>
      <c r="C380" s="5" t="s">
        <v>131</v>
      </c>
      <c r="D380" s="5" t="s">
        <v>17</v>
      </c>
      <c r="E380" s="5" t="s">
        <v>18</v>
      </c>
      <c r="F380" s="5" t="s">
        <v>27</v>
      </c>
      <c r="G380" s="5" t="s">
        <v>36</v>
      </c>
      <c r="H380" s="5">
        <v>62</v>
      </c>
      <c r="I380" s="6">
        <v>36996</v>
      </c>
      <c r="J380" s="7">
        <v>80921</v>
      </c>
      <c r="K380" s="8">
        <v>0</v>
      </c>
      <c r="L380" s="5" t="s">
        <v>21</v>
      </c>
      <c r="M380" s="5" t="s">
        <v>88</v>
      </c>
      <c r="N380" s="6">
        <v>37623</v>
      </c>
    </row>
    <row r="381" spans="1:14" x14ac:dyDescent="0.35">
      <c r="A381" s="5" t="s">
        <v>824</v>
      </c>
      <c r="B381" s="5" t="s">
        <v>825</v>
      </c>
      <c r="C381" s="5" t="s">
        <v>113</v>
      </c>
      <c r="D381" s="5" t="s">
        <v>69</v>
      </c>
      <c r="E381" s="5" t="s">
        <v>18</v>
      </c>
      <c r="F381" s="5" t="s">
        <v>19</v>
      </c>
      <c r="G381" s="5" t="s">
        <v>36</v>
      </c>
      <c r="H381" s="5">
        <v>61</v>
      </c>
      <c r="I381" s="6">
        <v>40193</v>
      </c>
      <c r="J381" s="7">
        <v>98110</v>
      </c>
      <c r="K381" s="8">
        <v>0.13</v>
      </c>
      <c r="L381" s="5" t="s">
        <v>21</v>
      </c>
      <c r="M381" s="5" t="s">
        <v>37</v>
      </c>
      <c r="N381" s="6">
        <v>37623</v>
      </c>
    </row>
    <row r="382" spans="1:14" x14ac:dyDescent="0.35">
      <c r="A382" s="5" t="s">
        <v>826</v>
      </c>
      <c r="B382" s="5" t="s">
        <v>827</v>
      </c>
      <c r="C382" s="5" t="s">
        <v>248</v>
      </c>
      <c r="D382" s="5" t="s">
        <v>17</v>
      </c>
      <c r="E382" s="5" t="s">
        <v>35</v>
      </c>
      <c r="F382" s="5" t="s">
        <v>19</v>
      </c>
      <c r="G382" s="5" t="s">
        <v>36</v>
      </c>
      <c r="H382" s="5">
        <v>59</v>
      </c>
      <c r="I382" s="6">
        <v>43028</v>
      </c>
      <c r="J382" s="7">
        <v>86831</v>
      </c>
      <c r="K382" s="8">
        <v>0</v>
      </c>
      <c r="L382" s="5" t="s">
        <v>21</v>
      </c>
      <c r="M382" s="5" t="s">
        <v>44</v>
      </c>
      <c r="N382" s="6">
        <v>37623</v>
      </c>
    </row>
    <row r="383" spans="1:14" x14ac:dyDescent="0.35">
      <c r="A383" s="5" t="s">
        <v>828</v>
      </c>
      <c r="B383" s="5" t="s">
        <v>829</v>
      </c>
      <c r="C383" s="5" t="s">
        <v>25</v>
      </c>
      <c r="D383" s="5" t="s">
        <v>17</v>
      </c>
      <c r="E383" s="5" t="s">
        <v>35</v>
      </c>
      <c r="F383" s="5" t="s">
        <v>19</v>
      </c>
      <c r="G383" s="5" t="s">
        <v>28</v>
      </c>
      <c r="H383" s="5">
        <v>49</v>
      </c>
      <c r="I383" s="6">
        <v>40431</v>
      </c>
      <c r="J383" s="7">
        <v>72826</v>
      </c>
      <c r="K383" s="8">
        <v>0</v>
      </c>
      <c r="L383" s="5" t="s">
        <v>29</v>
      </c>
      <c r="M383" s="5" t="s">
        <v>114</v>
      </c>
      <c r="N383" s="6">
        <v>37623</v>
      </c>
    </row>
    <row r="384" spans="1:14" x14ac:dyDescent="0.35">
      <c r="A384" s="5" t="s">
        <v>830</v>
      </c>
      <c r="B384" s="5" t="s">
        <v>831</v>
      </c>
      <c r="C384" s="5" t="s">
        <v>33</v>
      </c>
      <c r="D384" s="5" t="s">
        <v>80</v>
      </c>
      <c r="E384" s="5" t="s">
        <v>26</v>
      </c>
      <c r="F384" s="5" t="s">
        <v>19</v>
      </c>
      <c r="G384" s="5" t="s">
        <v>28</v>
      </c>
      <c r="H384" s="5">
        <v>64</v>
      </c>
      <c r="I384" s="6">
        <v>40588</v>
      </c>
      <c r="J384" s="7">
        <v>171217</v>
      </c>
      <c r="K384" s="8">
        <v>0.19</v>
      </c>
      <c r="L384" s="5" t="s">
        <v>21</v>
      </c>
      <c r="M384" s="5" t="s">
        <v>22</v>
      </c>
      <c r="N384" s="6">
        <v>37623</v>
      </c>
    </row>
    <row r="385" spans="1:14" x14ac:dyDescent="0.35">
      <c r="A385" s="5" t="s">
        <v>832</v>
      </c>
      <c r="B385" s="5" t="s">
        <v>833</v>
      </c>
      <c r="C385" s="5" t="s">
        <v>52</v>
      </c>
      <c r="D385" s="5" t="s">
        <v>17</v>
      </c>
      <c r="E385" s="5" t="s">
        <v>18</v>
      </c>
      <c r="F385" s="5" t="s">
        <v>19</v>
      </c>
      <c r="G385" s="5" t="s">
        <v>36</v>
      </c>
      <c r="H385" s="5">
        <v>57</v>
      </c>
      <c r="I385" s="6">
        <v>43948</v>
      </c>
      <c r="J385" s="7">
        <v>103058</v>
      </c>
      <c r="K385" s="8">
        <v>7.0000000000000007E-2</v>
      </c>
      <c r="L385" s="5" t="s">
        <v>21</v>
      </c>
      <c r="M385" s="5" t="s">
        <v>88</v>
      </c>
      <c r="N385" s="6">
        <v>37623</v>
      </c>
    </row>
    <row r="386" spans="1:14" x14ac:dyDescent="0.35">
      <c r="A386" s="5" t="s">
        <v>834</v>
      </c>
      <c r="B386" s="5" t="s">
        <v>835</v>
      </c>
      <c r="C386" s="5" t="s">
        <v>52</v>
      </c>
      <c r="D386" s="5" t="s">
        <v>48</v>
      </c>
      <c r="E386" s="5" t="s">
        <v>35</v>
      </c>
      <c r="F386" s="5" t="s">
        <v>27</v>
      </c>
      <c r="G386" s="5" t="s">
        <v>28</v>
      </c>
      <c r="H386" s="5">
        <v>52</v>
      </c>
      <c r="I386" s="6">
        <v>41858</v>
      </c>
      <c r="J386" s="7">
        <v>117062</v>
      </c>
      <c r="K386" s="8">
        <v>7.0000000000000007E-2</v>
      </c>
      <c r="L386" s="5" t="s">
        <v>21</v>
      </c>
      <c r="M386" s="5" t="s">
        <v>44</v>
      </c>
      <c r="N386" s="6">
        <v>37623</v>
      </c>
    </row>
    <row r="387" spans="1:14" x14ac:dyDescent="0.35">
      <c r="A387" s="5" t="s">
        <v>836</v>
      </c>
      <c r="B387" s="5" t="s">
        <v>837</v>
      </c>
      <c r="C387" s="5" t="s">
        <v>16</v>
      </c>
      <c r="D387" s="5" t="s">
        <v>59</v>
      </c>
      <c r="E387" s="5" t="s">
        <v>35</v>
      </c>
      <c r="F387" s="5" t="s">
        <v>27</v>
      </c>
      <c r="G387" s="5" t="s">
        <v>85</v>
      </c>
      <c r="H387" s="5">
        <v>40</v>
      </c>
      <c r="I387" s="6">
        <v>43488</v>
      </c>
      <c r="J387" s="7">
        <v>159031</v>
      </c>
      <c r="K387" s="8">
        <v>0.1</v>
      </c>
      <c r="L387" s="5" t="s">
        <v>21</v>
      </c>
      <c r="M387" s="5" t="s">
        <v>56</v>
      </c>
      <c r="N387" s="6">
        <v>37623</v>
      </c>
    </row>
    <row r="388" spans="1:14" x14ac:dyDescent="0.35">
      <c r="A388" s="5" t="s">
        <v>838</v>
      </c>
      <c r="B388" s="5" t="s">
        <v>839</v>
      </c>
      <c r="C388" s="5" t="s">
        <v>16</v>
      </c>
      <c r="D388" s="5" t="s">
        <v>17</v>
      </c>
      <c r="E388" s="5" t="s">
        <v>18</v>
      </c>
      <c r="F388" s="5" t="s">
        <v>19</v>
      </c>
      <c r="G388" s="5" t="s">
        <v>85</v>
      </c>
      <c r="H388" s="5">
        <v>49</v>
      </c>
      <c r="I388" s="6">
        <v>38000</v>
      </c>
      <c r="J388" s="7">
        <v>125086</v>
      </c>
      <c r="K388" s="8">
        <v>0.1</v>
      </c>
      <c r="L388" s="5" t="s">
        <v>93</v>
      </c>
      <c r="M388" s="5" t="s">
        <v>218</v>
      </c>
      <c r="N388" s="6">
        <v>37623</v>
      </c>
    </row>
    <row r="389" spans="1:14" x14ac:dyDescent="0.35">
      <c r="A389" s="5" t="s">
        <v>840</v>
      </c>
      <c r="B389" s="5" t="s">
        <v>841</v>
      </c>
      <c r="C389" s="5" t="s">
        <v>299</v>
      </c>
      <c r="D389" s="5" t="s">
        <v>17</v>
      </c>
      <c r="E389" s="5" t="s">
        <v>35</v>
      </c>
      <c r="F389" s="5" t="s">
        <v>27</v>
      </c>
      <c r="G389" s="5" t="s">
        <v>36</v>
      </c>
      <c r="H389" s="5">
        <v>43</v>
      </c>
      <c r="I389" s="6">
        <v>42467</v>
      </c>
      <c r="J389" s="7">
        <v>67976</v>
      </c>
      <c r="K389" s="8">
        <v>0</v>
      </c>
      <c r="L389" s="5" t="s">
        <v>21</v>
      </c>
      <c r="M389" s="5" t="s">
        <v>22</v>
      </c>
      <c r="N389" s="6">
        <v>37623</v>
      </c>
    </row>
    <row r="390" spans="1:14" x14ac:dyDescent="0.35">
      <c r="A390" s="5" t="s">
        <v>842</v>
      </c>
      <c r="B390" s="5" t="s">
        <v>843</v>
      </c>
      <c r="C390" s="5" t="s">
        <v>124</v>
      </c>
      <c r="D390" s="5" t="s">
        <v>34</v>
      </c>
      <c r="E390" s="5" t="s">
        <v>35</v>
      </c>
      <c r="F390" s="5" t="s">
        <v>27</v>
      </c>
      <c r="G390" s="5" t="s">
        <v>36</v>
      </c>
      <c r="H390" s="5">
        <v>31</v>
      </c>
      <c r="I390" s="6">
        <v>44308</v>
      </c>
      <c r="J390" s="7">
        <v>74215</v>
      </c>
      <c r="K390" s="8">
        <v>0</v>
      </c>
      <c r="L390" s="5" t="s">
        <v>21</v>
      </c>
      <c r="M390" s="5" t="s">
        <v>44</v>
      </c>
      <c r="N390" s="6">
        <v>37623</v>
      </c>
    </row>
    <row r="391" spans="1:14" x14ac:dyDescent="0.35">
      <c r="A391" s="5" t="s">
        <v>844</v>
      </c>
      <c r="B391" s="5" t="s">
        <v>845</v>
      </c>
      <c r="C391" s="5" t="s">
        <v>33</v>
      </c>
      <c r="D391" s="5" t="s">
        <v>59</v>
      </c>
      <c r="E391" s="5" t="s">
        <v>26</v>
      </c>
      <c r="F391" s="5" t="s">
        <v>27</v>
      </c>
      <c r="G391" s="5" t="s">
        <v>28</v>
      </c>
      <c r="H391" s="5">
        <v>55</v>
      </c>
      <c r="I391" s="6">
        <v>40340</v>
      </c>
      <c r="J391" s="7">
        <v>187389</v>
      </c>
      <c r="K391" s="8">
        <v>0.25</v>
      </c>
      <c r="L391" s="5" t="s">
        <v>29</v>
      </c>
      <c r="M391" s="5" t="s">
        <v>134</v>
      </c>
      <c r="N391" s="6">
        <v>37623</v>
      </c>
    </row>
    <row r="392" spans="1:14" x14ac:dyDescent="0.35">
      <c r="A392" s="5" t="s">
        <v>647</v>
      </c>
      <c r="B392" s="5" t="s">
        <v>846</v>
      </c>
      <c r="C392" s="5" t="s">
        <v>16</v>
      </c>
      <c r="D392" s="5" t="s">
        <v>65</v>
      </c>
      <c r="E392" s="5" t="s">
        <v>35</v>
      </c>
      <c r="F392" s="5" t="s">
        <v>19</v>
      </c>
      <c r="G392" s="5" t="s">
        <v>36</v>
      </c>
      <c r="H392" s="5">
        <v>41</v>
      </c>
      <c r="I392" s="6">
        <v>39747</v>
      </c>
      <c r="J392" s="7">
        <v>131841</v>
      </c>
      <c r="K392" s="8">
        <v>0.13</v>
      </c>
      <c r="L392" s="5" t="s">
        <v>21</v>
      </c>
      <c r="M392" s="5" t="s">
        <v>88</v>
      </c>
      <c r="N392" s="6">
        <v>37623</v>
      </c>
    </row>
    <row r="393" spans="1:14" x14ac:dyDescent="0.35">
      <c r="A393" s="5" t="s">
        <v>847</v>
      </c>
      <c r="B393" s="5" t="s">
        <v>848</v>
      </c>
      <c r="C393" s="5" t="s">
        <v>43</v>
      </c>
      <c r="D393" s="5" t="s">
        <v>59</v>
      </c>
      <c r="E393" s="5" t="s">
        <v>18</v>
      </c>
      <c r="F393" s="5" t="s">
        <v>27</v>
      </c>
      <c r="G393" s="5" t="s">
        <v>28</v>
      </c>
      <c r="H393" s="5">
        <v>34</v>
      </c>
      <c r="I393" s="6">
        <v>40750</v>
      </c>
      <c r="J393" s="7">
        <v>97231</v>
      </c>
      <c r="K393" s="8">
        <v>0</v>
      </c>
      <c r="L393" s="5" t="s">
        <v>29</v>
      </c>
      <c r="M393" s="5" t="s">
        <v>114</v>
      </c>
      <c r="N393" s="6">
        <v>37623</v>
      </c>
    </row>
    <row r="394" spans="1:14" x14ac:dyDescent="0.35">
      <c r="A394" s="5" t="s">
        <v>849</v>
      </c>
      <c r="B394" s="5" t="s">
        <v>850</v>
      </c>
      <c r="C394" s="5" t="s">
        <v>16</v>
      </c>
      <c r="D394" s="5" t="s">
        <v>34</v>
      </c>
      <c r="E394" s="5" t="s">
        <v>49</v>
      </c>
      <c r="F394" s="5" t="s">
        <v>19</v>
      </c>
      <c r="G394" s="5" t="s">
        <v>28</v>
      </c>
      <c r="H394" s="5">
        <v>41</v>
      </c>
      <c r="I394" s="6">
        <v>38060</v>
      </c>
      <c r="J394" s="7">
        <v>155004</v>
      </c>
      <c r="K394" s="8">
        <v>0.12</v>
      </c>
      <c r="L394" s="5" t="s">
        <v>21</v>
      </c>
      <c r="M394" s="5" t="s">
        <v>60</v>
      </c>
      <c r="N394" s="6">
        <v>37623</v>
      </c>
    </row>
    <row r="395" spans="1:14" x14ac:dyDescent="0.35">
      <c r="A395" s="5" t="s">
        <v>851</v>
      </c>
      <c r="B395" s="5" t="s">
        <v>852</v>
      </c>
      <c r="C395" s="5" t="s">
        <v>330</v>
      </c>
      <c r="D395" s="5" t="s">
        <v>17</v>
      </c>
      <c r="E395" s="5" t="s">
        <v>26</v>
      </c>
      <c r="F395" s="5" t="s">
        <v>27</v>
      </c>
      <c r="G395" s="5" t="s">
        <v>28</v>
      </c>
      <c r="H395" s="5">
        <v>40</v>
      </c>
      <c r="I395" s="6">
        <v>39293</v>
      </c>
      <c r="J395" s="7">
        <v>41859</v>
      </c>
      <c r="K395" s="8">
        <v>0</v>
      </c>
      <c r="L395" s="5" t="s">
        <v>21</v>
      </c>
      <c r="M395" s="5" t="s">
        <v>22</v>
      </c>
      <c r="N395" s="6">
        <v>37623</v>
      </c>
    </row>
    <row r="396" spans="1:14" x14ac:dyDescent="0.35">
      <c r="A396" s="5" t="s">
        <v>853</v>
      </c>
      <c r="B396" s="5" t="s">
        <v>854</v>
      </c>
      <c r="C396" s="5" t="s">
        <v>119</v>
      </c>
      <c r="D396" s="5" t="s">
        <v>17</v>
      </c>
      <c r="E396" s="5" t="s">
        <v>26</v>
      </c>
      <c r="F396" s="5" t="s">
        <v>27</v>
      </c>
      <c r="G396" s="5" t="s">
        <v>20</v>
      </c>
      <c r="H396" s="5">
        <v>42</v>
      </c>
      <c r="I396" s="6">
        <v>38984</v>
      </c>
      <c r="J396" s="7">
        <v>52733</v>
      </c>
      <c r="K396" s="8">
        <v>0</v>
      </c>
      <c r="L396" s="5" t="s">
        <v>21</v>
      </c>
      <c r="M396" s="5" t="s">
        <v>37</v>
      </c>
      <c r="N396" s="6">
        <v>37623</v>
      </c>
    </row>
    <row r="397" spans="1:14" x14ac:dyDescent="0.35">
      <c r="A397" s="5" t="s">
        <v>855</v>
      </c>
      <c r="B397" s="5" t="s">
        <v>856</v>
      </c>
      <c r="C397" s="5" t="s">
        <v>79</v>
      </c>
      <c r="D397" s="5" t="s">
        <v>65</v>
      </c>
      <c r="E397" s="5" t="s">
        <v>49</v>
      </c>
      <c r="F397" s="5" t="s">
        <v>27</v>
      </c>
      <c r="G397" s="5" t="s">
        <v>28</v>
      </c>
      <c r="H397" s="5">
        <v>31</v>
      </c>
      <c r="I397" s="6">
        <v>42250</v>
      </c>
      <c r="J397" s="7">
        <v>250953</v>
      </c>
      <c r="K397" s="8">
        <v>0.34</v>
      </c>
      <c r="L397" s="5" t="s">
        <v>21</v>
      </c>
      <c r="M397" s="5" t="s">
        <v>88</v>
      </c>
      <c r="N397" s="6">
        <v>37623</v>
      </c>
    </row>
    <row r="398" spans="1:14" x14ac:dyDescent="0.35">
      <c r="A398" s="5" t="s">
        <v>857</v>
      </c>
      <c r="B398" s="5" t="s">
        <v>858</v>
      </c>
      <c r="C398" s="5" t="s">
        <v>33</v>
      </c>
      <c r="D398" s="5" t="s">
        <v>80</v>
      </c>
      <c r="E398" s="5" t="s">
        <v>18</v>
      </c>
      <c r="F398" s="5" t="s">
        <v>27</v>
      </c>
      <c r="G398" s="5" t="s">
        <v>28</v>
      </c>
      <c r="H398" s="5">
        <v>49</v>
      </c>
      <c r="I398" s="6">
        <v>36210</v>
      </c>
      <c r="J398" s="7">
        <v>191807</v>
      </c>
      <c r="K398" s="8">
        <v>0.21</v>
      </c>
      <c r="L398" s="5" t="s">
        <v>29</v>
      </c>
      <c r="M398" s="5" t="s">
        <v>30</v>
      </c>
      <c r="N398" s="6">
        <v>37623</v>
      </c>
    </row>
    <row r="399" spans="1:14" x14ac:dyDescent="0.35">
      <c r="A399" s="5" t="s">
        <v>859</v>
      </c>
      <c r="B399" s="5" t="s">
        <v>860</v>
      </c>
      <c r="C399" s="5" t="s">
        <v>25</v>
      </c>
      <c r="D399" s="5" t="s">
        <v>17</v>
      </c>
      <c r="E399" s="5" t="s">
        <v>35</v>
      </c>
      <c r="F399" s="5" t="s">
        <v>27</v>
      </c>
      <c r="G399" s="5" t="s">
        <v>28</v>
      </c>
      <c r="H399" s="5">
        <v>42</v>
      </c>
      <c r="I399" s="6">
        <v>41813</v>
      </c>
      <c r="J399" s="7">
        <v>64677</v>
      </c>
      <c r="K399" s="8">
        <v>0</v>
      </c>
      <c r="L399" s="5" t="s">
        <v>29</v>
      </c>
      <c r="M399" s="5" t="s">
        <v>30</v>
      </c>
      <c r="N399" s="6">
        <v>37623</v>
      </c>
    </row>
    <row r="400" spans="1:14" x14ac:dyDescent="0.35">
      <c r="A400" s="5" t="s">
        <v>409</v>
      </c>
      <c r="B400" s="5" t="s">
        <v>861</v>
      </c>
      <c r="C400" s="5" t="s">
        <v>16</v>
      </c>
      <c r="D400" s="5" t="s">
        <v>17</v>
      </c>
      <c r="E400" s="5" t="s">
        <v>49</v>
      </c>
      <c r="F400" s="5" t="s">
        <v>27</v>
      </c>
      <c r="G400" s="5" t="s">
        <v>36</v>
      </c>
      <c r="H400" s="5">
        <v>46</v>
      </c>
      <c r="I400" s="6">
        <v>38244</v>
      </c>
      <c r="J400" s="7">
        <v>130274</v>
      </c>
      <c r="K400" s="8">
        <v>0.11</v>
      </c>
      <c r="L400" s="5" t="s">
        <v>21</v>
      </c>
      <c r="M400" s="5" t="s">
        <v>37</v>
      </c>
      <c r="N400" s="6">
        <v>37623</v>
      </c>
    </row>
    <row r="401" spans="1:14" x14ac:dyDescent="0.35">
      <c r="A401" s="5" t="s">
        <v>862</v>
      </c>
      <c r="B401" s="5" t="s">
        <v>863</v>
      </c>
      <c r="C401" s="5" t="s">
        <v>248</v>
      </c>
      <c r="D401" s="5" t="s">
        <v>17</v>
      </c>
      <c r="E401" s="5" t="s">
        <v>18</v>
      </c>
      <c r="F401" s="5" t="s">
        <v>27</v>
      </c>
      <c r="G401" s="5" t="s">
        <v>28</v>
      </c>
      <c r="H401" s="5">
        <v>37</v>
      </c>
      <c r="I401" s="6">
        <v>42922</v>
      </c>
      <c r="J401" s="7">
        <v>96331</v>
      </c>
      <c r="K401" s="8">
        <v>0</v>
      </c>
      <c r="L401" s="5" t="s">
        <v>29</v>
      </c>
      <c r="M401" s="5" t="s">
        <v>74</v>
      </c>
      <c r="N401" s="6">
        <v>37623</v>
      </c>
    </row>
    <row r="402" spans="1:14" x14ac:dyDescent="0.35">
      <c r="A402" s="5" t="s">
        <v>864</v>
      </c>
      <c r="B402" s="5" t="s">
        <v>865</v>
      </c>
      <c r="C402" s="5" t="s">
        <v>16</v>
      </c>
      <c r="D402" s="5" t="s">
        <v>34</v>
      </c>
      <c r="E402" s="5" t="s">
        <v>18</v>
      </c>
      <c r="F402" s="5" t="s">
        <v>19</v>
      </c>
      <c r="G402" s="5" t="s">
        <v>36</v>
      </c>
      <c r="H402" s="5">
        <v>51</v>
      </c>
      <c r="I402" s="6">
        <v>38835</v>
      </c>
      <c r="J402" s="7">
        <v>150758</v>
      </c>
      <c r="K402" s="8">
        <v>0.13</v>
      </c>
      <c r="L402" s="5" t="s">
        <v>21</v>
      </c>
      <c r="M402" s="5" t="s">
        <v>37</v>
      </c>
      <c r="N402" s="6">
        <v>39310</v>
      </c>
    </row>
    <row r="403" spans="1:14" x14ac:dyDescent="0.35">
      <c r="A403" s="5" t="s">
        <v>866</v>
      </c>
      <c r="B403" s="5" t="s">
        <v>867</v>
      </c>
      <c r="C403" s="5" t="s">
        <v>33</v>
      </c>
      <c r="D403" s="5" t="s">
        <v>69</v>
      </c>
      <c r="E403" s="5" t="s">
        <v>49</v>
      </c>
      <c r="F403" s="5" t="s">
        <v>27</v>
      </c>
      <c r="G403" s="5" t="s">
        <v>85</v>
      </c>
      <c r="H403" s="5">
        <v>46</v>
      </c>
      <c r="I403" s="6">
        <v>41839</v>
      </c>
      <c r="J403" s="7">
        <v>173629</v>
      </c>
      <c r="K403" s="8">
        <v>0.21</v>
      </c>
      <c r="L403" s="5" t="s">
        <v>93</v>
      </c>
      <c r="M403" s="5" t="s">
        <v>218</v>
      </c>
      <c r="N403" s="6">
        <v>39310</v>
      </c>
    </row>
    <row r="404" spans="1:14" x14ac:dyDescent="0.35">
      <c r="A404" s="5" t="s">
        <v>868</v>
      </c>
      <c r="B404" s="5" t="s">
        <v>869</v>
      </c>
      <c r="C404" s="5" t="s">
        <v>372</v>
      </c>
      <c r="D404" s="5" t="s">
        <v>17</v>
      </c>
      <c r="E404" s="5" t="s">
        <v>49</v>
      </c>
      <c r="F404" s="5" t="s">
        <v>27</v>
      </c>
      <c r="G404" s="5" t="s">
        <v>20</v>
      </c>
      <c r="H404" s="5">
        <v>55</v>
      </c>
      <c r="I404" s="6">
        <v>35919</v>
      </c>
      <c r="J404" s="7">
        <v>62174</v>
      </c>
      <c r="K404" s="8">
        <v>0</v>
      </c>
      <c r="L404" s="5" t="s">
        <v>21</v>
      </c>
      <c r="M404" s="5" t="s">
        <v>37</v>
      </c>
      <c r="N404" s="6">
        <v>39310</v>
      </c>
    </row>
    <row r="405" spans="1:14" x14ac:dyDescent="0.35">
      <c r="A405" s="5" t="s">
        <v>870</v>
      </c>
      <c r="B405" s="5" t="s">
        <v>871</v>
      </c>
      <c r="C405" s="5" t="s">
        <v>124</v>
      </c>
      <c r="D405" s="5" t="s">
        <v>59</v>
      </c>
      <c r="E405" s="5" t="s">
        <v>26</v>
      </c>
      <c r="F405" s="5" t="s">
        <v>27</v>
      </c>
      <c r="G405" s="5" t="s">
        <v>36</v>
      </c>
      <c r="H405" s="5">
        <v>43</v>
      </c>
      <c r="I405" s="6">
        <v>43028</v>
      </c>
      <c r="J405" s="7">
        <v>56555</v>
      </c>
      <c r="K405" s="8">
        <v>0</v>
      </c>
      <c r="L405" s="5" t="s">
        <v>21</v>
      </c>
      <c r="M405" s="5" t="s">
        <v>44</v>
      </c>
      <c r="N405" s="6">
        <v>39310</v>
      </c>
    </row>
    <row r="406" spans="1:14" x14ac:dyDescent="0.35">
      <c r="A406" s="5" t="s">
        <v>872</v>
      </c>
      <c r="B406" s="5" t="s">
        <v>873</v>
      </c>
      <c r="C406" s="5" t="s">
        <v>124</v>
      </c>
      <c r="D406" s="5" t="s">
        <v>80</v>
      </c>
      <c r="E406" s="5" t="s">
        <v>26</v>
      </c>
      <c r="F406" s="5" t="s">
        <v>27</v>
      </c>
      <c r="G406" s="5" t="s">
        <v>36</v>
      </c>
      <c r="H406" s="5">
        <v>48</v>
      </c>
      <c r="I406" s="6">
        <v>38623</v>
      </c>
      <c r="J406" s="7">
        <v>74655</v>
      </c>
      <c r="K406" s="8">
        <v>0</v>
      </c>
      <c r="L406" s="5" t="s">
        <v>21</v>
      </c>
      <c r="M406" s="5" t="s">
        <v>60</v>
      </c>
      <c r="N406" s="6">
        <v>39310</v>
      </c>
    </row>
    <row r="407" spans="1:14" x14ac:dyDescent="0.35">
      <c r="A407" s="5" t="s">
        <v>874</v>
      </c>
      <c r="B407" s="5" t="s">
        <v>875</v>
      </c>
      <c r="C407" s="5" t="s">
        <v>299</v>
      </c>
      <c r="D407" s="5" t="s">
        <v>17</v>
      </c>
      <c r="E407" s="5" t="s">
        <v>49</v>
      </c>
      <c r="F407" s="5" t="s">
        <v>27</v>
      </c>
      <c r="G407" s="5" t="s">
        <v>36</v>
      </c>
      <c r="H407" s="5">
        <v>48</v>
      </c>
      <c r="I407" s="6">
        <v>37844</v>
      </c>
      <c r="J407" s="7">
        <v>93017</v>
      </c>
      <c r="K407" s="8">
        <v>0</v>
      </c>
      <c r="L407" s="5" t="s">
        <v>21</v>
      </c>
      <c r="M407" s="5" t="s">
        <v>22</v>
      </c>
      <c r="N407" s="6">
        <v>39310</v>
      </c>
    </row>
    <row r="408" spans="1:14" x14ac:dyDescent="0.35">
      <c r="A408" s="5" t="s">
        <v>876</v>
      </c>
      <c r="B408" s="5" t="s">
        <v>877</v>
      </c>
      <c r="C408" s="5" t="s">
        <v>43</v>
      </c>
      <c r="D408" s="5" t="s">
        <v>80</v>
      </c>
      <c r="E408" s="5" t="s">
        <v>26</v>
      </c>
      <c r="F408" s="5" t="s">
        <v>27</v>
      </c>
      <c r="G408" s="5" t="s">
        <v>28</v>
      </c>
      <c r="H408" s="5">
        <v>51</v>
      </c>
      <c r="I408" s="6">
        <v>41013</v>
      </c>
      <c r="J408" s="7">
        <v>82300</v>
      </c>
      <c r="K408" s="8">
        <v>0</v>
      </c>
      <c r="L408" s="5" t="s">
        <v>29</v>
      </c>
      <c r="M408" s="5" t="s">
        <v>134</v>
      </c>
      <c r="N408" s="6">
        <v>39310</v>
      </c>
    </row>
    <row r="409" spans="1:14" x14ac:dyDescent="0.35">
      <c r="A409" s="5" t="s">
        <v>878</v>
      </c>
      <c r="B409" s="5" t="s">
        <v>879</v>
      </c>
      <c r="C409" s="5" t="s">
        <v>178</v>
      </c>
      <c r="D409" s="5" t="s">
        <v>69</v>
      </c>
      <c r="E409" s="5" t="s">
        <v>18</v>
      </c>
      <c r="F409" s="5" t="s">
        <v>19</v>
      </c>
      <c r="G409" s="5" t="s">
        <v>36</v>
      </c>
      <c r="H409" s="5">
        <v>46</v>
      </c>
      <c r="I409" s="6">
        <v>39471</v>
      </c>
      <c r="J409" s="7">
        <v>91621</v>
      </c>
      <c r="K409" s="8">
        <v>0</v>
      </c>
      <c r="L409" s="5" t="s">
        <v>21</v>
      </c>
      <c r="M409" s="5" t="s">
        <v>37</v>
      </c>
      <c r="N409" s="6">
        <v>39310</v>
      </c>
    </row>
    <row r="410" spans="1:14" x14ac:dyDescent="0.35">
      <c r="A410" s="5" t="s">
        <v>880</v>
      </c>
      <c r="B410" s="5" t="s">
        <v>881</v>
      </c>
      <c r="C410" s="5" t="s">
        <v>43</v>
      </c>
      <c r="D410" s="5" t="s">
        <v>80</v>
      </c>
      <c r="E410" s="5" t="s">
        <v>18</v>
      </c>
      <c r="F410" s="5" t="s">
        <v>27</v>
      </c>
      <c r="G410" s="5" t="s">
        <v>85</v>
      </c>
      <c r="H410" s="5">
        <v>33</v>
      </c>
      <c r="I410" s="6">
        <v>41973</v>
      </c>
      <c r="J410" s="7">
        <v>91280</v>
      </c>
      <c r="K410" s="8">
        <v>0</v>
      </c>
      <c r="L410" s="5" t="s">
        <v>21</v>
      </c>
      <c r="M410" s="5" t="s">
        <v>56</v>
      </c>
      <c r="N410" s="6">
        <v>39310</v>
      </c>
    </row>
    <row r="411" spans="1:14" x14ac:dyDescent="0.35">
      <c r="A411" s="5" t="s">
        <v>882</v>
      </c>
      <c r="B411" s="5" t="s">
        <v>883</v>
      </c>
      <c r="C411" s="5" t="s">
        <v>184</v>
      </c>
      <c r="D411" s="5" t="s">
        <v>65</v>
      </c>
      <c r="E411" s="5" t="s">
        <v>26</v>
      </c>
      <c r="F411" s="5" t="s">
        <v>19</v>
      </c>
      <c r="G411" s="5" t="s">
        <v>20</v>
      </c>
      <c r="H411" s="5">
        <v>42</v>
      </c>
      <c r="I411" s="6">
        <v>44092</v>
      </c>
      <c r="J411" s="7">
        <v>47071</v>
      </c>
      <c r="K411" s="8">
        <v>0</v>
      </c>
      <c r="L411" s="5" t="s">
        <v>21</v>
      </c>
      <c r="M411" s="5" t="s">
        <v>88</v>
      </c>
      <c r="N411" s="6">
        <v>39310</v>
      </c>
    </row>
    <row r="412" spans="1:14" x14ac:dyDescent="0.35">
      <c r="A412" s="5" t="s">
        <v>884</v>
      </c>
      <c r="B412" s="5" t="s">
        <v>885</v>
      </c>
      <c r="C412" s="5" t="s">
        <v>442</v>
      </c>
      <c r="D412" s="5" t="s">
        <v>17</v>
      </c>
      <c r="E412" s="5" t="s">
        <v>26</v>
      </c>
      <c r="F412" s="5" t="s">
        <v>19</v>
      </c>
      <c r="G412" s="5" t="s">
        <v>36</v>
      </c>
      <c r="H412" s="5">
        <v>55</v>
      </c>
      <c r="I412" s="6">
        <v>40868</v>
      </c>
      <c r="J412" s="7">
        <v>81218</v>
      </c>
      <c r="K412" s="8">
        <v>0</v>
      </c>
      <c r="L412" s="5" t="s">
        <v>21</v>
      </c>
      <c r="M412" s="5" t="s">
        <v>37</v>
      </c>
      <c r="N412" s="6">
        <v>39310</v>
      </c>
    </row>
    <row r="413" spans="1:14" x14ac:dyDescent="0.35">
      <c r="A413" s="5" t="s">
        <v>886</v>
      </c>
      <c r="B413" s="5" t="s">
        <v>887</v>
      </c>
      <c r="C413" s="5" t="s">
        <v>79</v>
      </c>
      <c r="D413" s="5" t="s">
        <v>69</v>
      </c>
      <c r="E413" s="5" t="s">
        <v>26</v>
      </c>
      <c r="F413" s="5" t="s">
        <v>19</v>
      </c>
      <c r="G413" s="5" t="s">
        <v>28</v>
      </c>
      <c r="H413" s="5">
        <v>50</v>
      </c>
      <c r="I413" s="6">
        <v>39734</v>
      </c>
      <c r="J413" s="7">
        <v>181801</v>
      </c>
      <c r="K413" s="8">
        <v>0.4</v>
      </c>
      <c r="L413" s="5" t="s">
        <v>29</v>
      </c>
      <c r="M413" s="5" t="s">
        <v>30</v>
      </c>
      <c r="N413" s="6">
        <v>43810</v>
      </c>
    </row>
    <row r="414" spans="1:14" x14ac:dyDescent="0.35">
      <c r="A414" s="5" t="s">
        <v>888</v>
      </c>
      <c r="B414" s="5" t="s">
        <v>889</v>
      </c>
      <c r="C414" s="5" t="s">
        <v>47</v>
      </c>
      <c r="D414" s="5" t="s">
        <v>48</v>
      </c>
      <c r="E414" s="5" t="s">
        <v>26</v>
      </c>
      <c r="F414" s="5" t="s">
        <v>19</v>
      </c>
      <c r="G414" s="5" t="s">
        <v>36</v>
      </c>
      <c r="H414" s="5">
        <v>26</v>
      </c>
      <c r="I414" s="6">
        <v>44521</v>
      </c>
      <c r="J414" s="7">
        <v>63137</v>
      </c>
      <c r="K414" s="8">
        <v>0</v>
      </c>
      <c r="L414" s="5" t="s">
        <v>21</v>
      </c>
      <c r="M414" s="5" t="s">
        <v>37</v>
      </c>
      <c r="N414" s="6">
        <v>43810</v>
      </c>
    </row>
    <row r="415" spans="1:14" x14ac:dyDescent="0.35">
      <c r="A415" s="5" t="s">
        <v>890</v>
      </c>
      <c r="B415" s="5" t="s">
        <v>891</v>
      </c>
      <c r="C415" s="5" t="s">
        <v>79</v>
      </c>
      <c r="D415" s="5" t="s">
        <v>69</v>
      </c>
      <c r="E415" s="5" t="s">
        <v>26</v>
      </c>
      <c r="F415" s="5" t="s">
        <v>19</v>
      </c>
      <c r="G415" s="5" t="s">
        <v>28</v>
      </c>
      <c r="H415" s="5">
        <v>55</v>
      </c>
      <c r="I415" s="6">
        <v>43345</v>
      </c>
      <c r="J415" s="7">
        <v>221465</v>
      </c>
      <c r="K415" s="8">
        <v>0.34</v>
      </c>
      <c r="L415" s="5" t="s">
        <v>29</v>
      </c>
      <c r="M415" s="5" t="s">
        <v>134</v>
      </c>
      <c r="N415" s="6">
        <v>43810</v>
      </c>
    </row>
    <row r="416" spans="1:14" x14ac:dyDescent="0.35">
      <c r="A416" s="5" t="s">
        <v>892</v>
      </c>
      <c r="B416" s="5" t="s">
        <v>893</v>
      </c>
      <c r="C416" s="5" t="s">
        <v>108</v>
      </c>
      <c r="D416" s="5" t="s">
        <v>69</v>
      </c>
      <c r="E416" s="5" t="s">
        <v>18</v>
      </c>
      <c r="F416" s="5" t="s">
        <v>19</v>
      </c>
      <c r="G416" s="5" t="s">
        <v>28</v>
      </c>
      <c r="H416" s="5">
        <v>50</v>
      </c>
      <c r="I416" s="6">
        <v>41404</v>
      </c>
      <c r="J416" s="7">
        <v>79388</v>
      </c>
      <c r="K416" s="8">
        <v>0</v>
      </c>
      <c r="L416" s="5" t="s">
        <v>21</v>
      </c>
      <c r="M416" s="5" t="s">
        <v>60</v>
      </c>
      <c r="N416" s="6">
        <v>43681</v>
      </c>
    </row>
    <row r="417" spans="1:14" x14ac:dyDescent="0.35">
      <c r="A417" s="5" t="s">
        <v>894</v>
      </c>
      <c r="B417" s="5" t="s">
        <v>895</v>
      </c>
      <c r="C417" s="5" t="s">
        <v>372</v>
      </c>
      <c r="D417" s="5" t="s">
        <v>17</v>
      </c>
      <c r="E417" s="5" t="s">
        <v>26</v>
      </c>
      <c r="F417" s="5" t="s">
        <v>19</v>
      </c>
      <c r="G417" s="5" t="s">
        <v>36</v>
      </c>
      <c r="H417" s="5">
        <v>28</v>
      </c>
      <c r="I417" s="6">
        <v>43122</v>
      </c>
      <c r="J417" s="7">
        <v>68176</v>
      </c>
      <c r="K417" s="8">
        <v>0</v>
      </c>
      <c r="L417" s="5" t="s">
        <v>21</v>
      </c>
      <c r="M417" s="5" t="s">
        <v>22</v>
      </c>
      <c r="N417" s="6">
        <v>43681</v>
      </c>
    </row>
    <row r="418" spans="1:14" x14ac:dyDescent="0.35">
      <c r="A418" s="5" t="s">
        <v>888</v>
      </c>
      <c r="B418" s="5" t="s">
        <v>896</v>
      </c>
      <c r="C418" s="5" t="s">
        <v>16</v>
      </c>
      <c r="D418" s="5" t="s">
        <v>34</v>
      </c>
      <c r="E418" s="5" t="s">
        <v>18</v>
      </c>
      <c r="F418" s="5" t="s">
        <v>19</v>
      </c>
      <c r="G418" s="5" t="s">
        <v>85</v>
      </c>
      <c r="H418" s="5">
        <v>39</v>
      </c>
      <c r="I418" s="6">
        <v>43756</v>
      </c>
      <c r="J418" s="7">
        <v>122829</v>
      </c>
      <c r="K418" s="8">
        <v>0.11</v>
      </c>
      <c r="L418" s="5" t="s">
        <v>21</v>
      </c>
      <c r="M418" s="5" t="s">
        <v>37</v>
      </c>
      <c r="N418" s="6">
        <v>43681</v>
      </c>
    </row>
    <row r="419" spans="1:14" x14ac:dyDescent="0.35">
      <c r="A419" s="5" t="s">
        <v>897</v>
      </c>
      <c r="B419" s="5" t="s">
        <v>898</v>
      </c>
      <c r="C419" s="5" t="s">
        <v>16</v>
      </c>
      <c r="D419" s="5" t="s">
        <v>80</v>
      </c>
      <c r="E419" s="5" t="s">
        <v>35</v>
      </c>
      <c r="F419" s="5" t="s">
        <v>19</v>
      </c>
      <c r="G419" s="5" t="s">
        <v>28</v>
      </c>
      <c r="H419" s="5">
        <v>31</v>
      </c>
      <c r="I419" s="6">
        <v>43695</v>
      </c>
      <c r="J419" s="7">
        <v>126353</v>
      </c>
      <c r="K419" s="8">
        <v>0.12</v>
      </c>
      <c r="L419" s="5" t="s">
        <v>29</v>
      </c>
      <c r="M419" s="5" t="s">
        <v>74</v>
      </c>
      <c r="N419" s="6">
        <v>43681</v>
      </c>
    </row>
    <row r="420" spans="1:14" x14ac:dyDescent="0.35">
      <c r="A420" s="5" t="s">
        <v>899</v>
      </c>
      <c r="B420" s="5" t="s">
        <v>900</v>
      </c>
      <c r="C420" s="5" t="s">
        <v>33</v>
      </c>
      <c r="D420" s="5" t="s">
        <v>59</v>
      </c>
      <c r="E420" s="5" t="s">
        <v>35</v>
      </c>
      <c r="F420" s="5" t="s">
        <v>19</v>
      </c>
      <c r="G420" s="5" t="s">
        <v>28</v>
      </c>
      <c r="H420" s="5">
        <v>55</v>
      </c>
      <c r="I420" s="6">
        <v>40468</v>
      </c>
      <c r="J420" s="7">
        <v>188727</v>
      </c>
      <c r="K420" s="8">
        <v>0.23</v>
      </c>
      <c r="L420" s="5" t="s">
        <v>29</v>
      </c>
      <c r="M420" s="5" t="s">
        <v>134</v>
      </c>
      <c r="N420" s="6">
        <v>43681</v>
      </c>
    </row>
    <row r="421" spans="1:14" x14ac:dyDescent="0.35">
      <c r="A421" s="5" t="s">
        <v>592</v>
      </c>
      <c r="B421" s="5" t="s">
        <v>901</v>
      </c>
      <c r="C421" s="5" t="s">
        <v>43</v>
      </c>
      <c r="D421" s="5" t="s">
        <v>48</v>
      </c>
      <c r="E421" s="5" t="s">
        <v>18</v>
      </c>
      <c r="F421" s="5" t="s">
        <v>27</v>
      </c>
      <c r="G421" s="5" t="s">
        <v>28</v>
      </c>
      <c r="H421" s="5">
        <v>52</v>
      </c>
      <c r="I421" s="6">
        <v>34383</v>
      </c>
      <c r="J421" s="7">
        <v>99624</v>
      </c>
      <c r="K421" s="8">
        <v>0</v>
      </c>
      <c r="L421" s="5" t="s">
        <v>21</v>
      </c>
      <c r="M421" s="5" t="s">
        <v>22</v>
      </c>
      <c r="N421" s="6">
        <v>43681</v>
      </c>
    </row>
    <row r="422" spans="1:14" x14ac:dyDescent="0.35">
      <c r="A422" s="5" t="s">
        <v>902</v>
      </c>
      <c r="B422" s="5" t="s">
        <v>903</v>
      </c>
      <c r="C422" s="5" t="s">
        <v>52</v>
      </c>
      <c r="D422" s="5" t="s">
        <v>48</v>
      </c>
      <c r="E422" s="5" t="s">
        <v>35</v>
      </c>
      <c r="F422" s="5" t="s">
        <v>19</v>
      </c>
      <c r="G422" s="5" t="s">
        <v>28</v>
      </c>
      <c r="H422" s="5">
        <v>55</v>
      </c>
      <c r="I422" s="6">
        <v>41202</v>
      </c>
      <c r="J422" s="7">
        <v>108686</v>
      </c>
      <c r="K422" s="8">
        <v>0.06</v>
      </c>
      <c r="L422" s="5" t="s">
        <v>21</v>
      </c>
      <c r="M422" s="5" t="s">
        <v>88</v>
      </c>
      <c r="N422" s="6">
        <v>43681</v>
      </c>
    </row>
    <row r="423" spans="1:14" x14ac:dyDescent="0.35">
      <c r="A423" s="5" t="s">
        <v>904</v>
      </c>
      <c r="B423" s="5" t="s">
        <v>905</v>
      </c>
      <c r="C423" s="5" t="s">
        <v>55</v>
      </c>
      <c r="D423" s="5" t="s">
        <v>59</v>
      </c>
      <c r="E423" s="5" t="s">
        <v>49</v>
      </c>
      <c r="F423" s="5" t="s">
        <v>19</v>
      </c>
      <c r="G423" s="5" t="s">
        <v>85</v>
      </c>
      <c r="H423" s="5">
        <v>56</v>
      </c>
      <c r="I423" s="6">
        <v>34802</v>
      </c>
      <c r="J423" s="7">
        <v>50857</v>
      </c>
      <c r="K423" s="8">
        <v>0</v>
      </c>
      <c r="L423" s="5" t="s">
        <v>93</v>
      </c>
      <c r="M423" s="5" t="s">
        <v>94</v>
      </c>
      <c r="N423" s="6">
        <v>43681</v>
      </c>
    </row>
    <row r="424" spans="1:14" x14ac:dyDescent="0.35">
      <c r="A424" s="5" t="s">
        <v>906</v>
      </c>
      <c r="B424" s="5" t="s">
        <v>907</v>
      </c>
      <c r="C424" s="5" t="s">
        <v>181</v>
      </c>
      <c r="D424" s="5" t="s">
        <v>69</v>
      </c>
      <c r="E424" s="5" t="s">
        <v>26</v>
      </c>
      <c r="F424" s="5" t="s">
        <v>27</v>
      </c>
      <c r="G424" s="5" t="s">
        <v>36</v>
      </c>
      <c r="H424" s="5">
        <v>47</v>
      </c>
      <c r="I424" s="6">
        <v>36893</v>
      </c>
      <c r="J424" s="7">
        <v>120628</v>
      </c>
      <c r="K424" s="8">
        <v>0</v>
      </c>
      <c r="L424" s="5" t="s">
        <v>21</v>
      </c>
      <c r="M424" s="5" t="s">
        <v>37</v>
      </c>
      <c r="N424" s="6">
        <v>43681</v>
      </c>
    </row>
    <row r="425" spans="1:14" x14ac:dyDescent="0.35">
      <c r="A425" s="5" t="s">
        <v>908</v>
      </c>
      <c r="B425" s="5" t="s">
        <v>909</v>
      </c>
      <c r="C425" s="5" t="s">
        <v>33</v>
      </c>
      <c r="D425" s="5" t="s">
        <v>48</v>
      </c>
      <c r="E425" s="5" t="s">
        <v>35</v>
      </c>
      <c r="F425" s="5" t="s">
        <v>19</v>
      </c>
      <c r="G425" s="5" t="s">
        <v>36</v>
      </c>
      <c r="H425" s="5">
        <v>63</v>
      </c>
      <c r="I425" s="6">
        <v>43996</v>
      </c>
      <c r="J425" s="7">
        <v>181216</v>
      </c>
      <c r="K425" s="8">
        <v>0.27</v>
      </c>
      <c r="L425" s="5" t="s">
        <v>21</v>
      </c>
      <c r="M425" s="5" t="s">
        <v>88</v>
      </c>
      <c r="N425" s="6">
        <v>43681</v>
      </c>
    </row>
    <row r="426" spans="1:14" x14ac:dyDescent="0.35">
      <c r="A426" s="5" t="s">
        <v>910</v>
      </c>
      <c r="B426" s="5" t="s">
        <v>911</v>
      </c>
      <c r="C426" s="5" t="s">
        <v>55</v>
      </c>
      <c r="D426" s="5" t="s">
        <v>34</v>
      </c>
      <c r="E426" s="5" t="s">
        <v>49</v>
      </c>
      <c r="F426" s="5" t="s">
        <v>19</v>
      </c>
      <c r="G426" s="5" t="s">
        <v>36</v>
      </c>
      <c r="H426" s="5">
        <v>63</v>
      </c>
      <c r="I426" s="6">
        <v>40984</v>
      </c>
      <c r="J426" s="7">
        <v>46081</v>
      </c>
      <c r="K426" s="8">
        <v>0</v>
      </c>
      <c r="L426" s="5" t="s">
        <v>21</v>
      </c>
      <c r="M426" s="5" t="s">
        <v>37</v>
      </c>
      <c r="N426" s="6">
        <v>43681</v>
      </c>
    </row>
    <row r="427" spans="1:14" x14ac:dyDescent="0.35">
      <c r="A427" s="5" t="s">
        <v>912</v>
      </c>
      <c r="B427" s="5" t="s">
        <v>913</v>
      </c>
      <c r="C427" s="5" t="s">
        <v>16</v>
      </c>
      <c r="D427" s="5" t="s">
        <v>59</v>
      </c>
      <c r="E427" s="5" t="s">
        <v>49</v>
      </c>
      <c r="F427" s="5" t="s">
        <v>19</v>
      </c>
      <c r="G427" s="5" t="s">
        <v>36</v>
      </c>
      <c r="H427" s="5">
        <v>55</v>
      </c>
      <c r="I427" s="6">
        <v>38135</v>
      </c>
      <c r="J427" s="7">
        <v>159885</v>
      </c>
      <c r="K427" s="8">
        <v>0.12</v>
      </c>
      <c r="L427" s="5" t="s">
        <v>21</v>
      </c>
      <c r="M427" s="5" t="s">
        <v>88</v>
      </c>
      <c r="N427" s="6">
        <v>43681</v>
      </c>
    </row>
    <row r="428" spans="1:14" x14ac:dyDescent="0.35">
      <c r="A428" s="5" t="s">
        <v>914</v>
      </c>
      <c r="B428" s="5" t="s">
        <v>915</v>
      </c>
      <c r="C428" s="5" t="s">
        <v>33</v>
      </c>
      <c r="D428" s="5" t="s">
        <v>48</v>
      </c>
      <c r="E428" s="5" t="s">
        <v>26</v>
      </c>
      <c r="F428" s="5" t="s">
        <v>19</v>
      </c>
      <c r="G428" s="5" t="s">
        <v>36</v>
      </c>
      <c r="H428" s="5">
        <v>55</v>
      </c>
      <c r="I428" s="6">
        <v>35001</v>
      </c>
      <c r="J428" s="7">
        <v>153271</v>
      </c>
      <c r="K428" s="8">
        <v>0.15</v>
      </c>
      <c r="L428" s="5" t="s">
        <v>21</v>
      </c>
      <c r="M428" s="5" t="s">
        <v>60</v>
      </c>
      <c r="N428" s="6">
        <v>43681</v>
      </c>
    </row>
    <row r="429" spans="1:14" x14ac:dyDescent="0.35">
      <c r="A429" s="5" t="s">
        <v>916</v>
      </c>
      <c r="B429" s="5" t="s">
        <v>917</v>
      </c>
      <c r="C429" s="5" t="s">
        <v>52</v>
      </c>
      <c r="D429" s="5" t="s">
        <v>65</v>
      </c>
      <c r="E429" s="5" t="s">
        <v>26</v>
      </c>
      <c r="F429" s="5" t="s">
        <v>27</v>
      </c>
      <c r="G429" s="5" t="s">
        <v>28</v>
      </c>
      <c r="H429" s="5">
        <v>42</v>
      </c>
      <c r="I429" s="6">
        <v>40159</v>
      </c>
      <c r="J429" s="7">
        <v>114242</v>
      </c>
      <c r="K429" s="8">
        <v>0.08</v>
      </c>
      <c r="L429" s="5" t="s">
        <v>21</v>
      </c>
      <c r="M429" s="5" t="s">
        <v>44</v>
      </c>
      <c r="N429" s="6">
        <v>43681</v>
      </c>
    </row>
    <row r="430" spans="1:14" x14ac:dyDescent="0.35">
      <c r="A430" s="5" t="s">
        <v>918</v>
      </c>
      <c r="B430" s="5" t="s">
        <v>919</v>
      </c>
      <c r="C430" s="5" t="s">
        <v>119</v>
      </c>
      <c r="D430" s="5" t="s">
        <v>17</v>
      </c>
      <c r="E430" s="5" t="s">
        <v>35</v>
      </c>
      <c r="F430" s="5" t="s">
        <v>19</v>
      </c>
      <c r="G430" s="5" t="s">
        <v>28</v>
      </c>
      <c r="H430" s="5">
        <v>39</v>
      </c>
      <c r="I430" s="6">
        <v>44153</v>
      </c>
      <c r="J430" s="7">
        <v>48415</v>
      </c>
      <c r="K430" s="8">
        <v>0</v>
      </c>
      <c r="L430" s="5" t="s">
        <v>29</v>
      </c>
      <c r="M430" s="5" t="s">
        <v>74</v>
      </c>
      <c r="N430" s="6">
        <v>43681</v>
      </c>
    </row>
    <row r="431" spans="1:14" x14ac:dyDescent="0.35">
      <c r="A431" s="5" t="s">
        <v>920</v>
      </c>
      <c r="B431" s="5" t="s">
        <v>921</v>
      </c>
      <c r="C431" s="5" t="s">
        <v>277</v>
      </c>
      <c r="D431" s="5" t="s">
        <v>69</v>
      </c>
      <c r="E431" s="5" t="s">
        <v>26</v>
      </c>
      <c r="F431" s="5" t="s">
        <v>27</v>
      </c>
      <c r="G431" s="5" t="s">
        <v>85</v>
      </c>
      <c r="H431" s="5">
        <v>35</v>
      </c>
      <c r="I431" s="6">
        <v>42878</v>
      </c>
      <c r="J431" s="7">
        <v>65566</v>
      </c>
      <c r="K431" s="8">
        <v>0</v>
      </c>
      <c r="L431" s="5" t="s">
        <v>21</v>
      </c>
      <c r="M431" s="5" t="s">
        <v>22</v>
      </c>
      <c r="N431" s="6">
        <v>43681</v>
      </c>
    </row>
    <row r="432" spans="1:14" x14ac:dyDescent="0.35">
      <c r="A432" s="5" t="s">
        <v>922</v>
      </c>
      <c r="B432" s="5" t="s">
        <v>923</v>
      </c>
      <c r="C432" s="5" t="s">
        <v>16</v>
      </c>
      <c r="D432" s="5" t="s">
        <v>80</v>
      </c>
      <c r="E432" s="5" t="s">
        <v>18</v>
      </c>
      <c r="F432" s="5" t="s">
        <v>27</v>
      </c>
      <c r="G432" s="5" t="s">
        <v>28</v>
      </c>
      <c r="H432" s="5">
        <v>45</v>
      </c>
      <c r="I432" s="6">
        <v>37014</v>
      </c>
      <c r="J432" s="7">
        <v>147752</v>
      </c>
      <c r="K432" s="8">
        <v>0.12</v>
      </c>
      <c r="L432" s="5" t="s">
        <v>29</v>
      </c>
      <c r="M432" s="5" t="s">
        <v>74</v>
      </c>
      <c r="N432" s="6">
        <v>40903</v>
      </c>
    </row>
    <row r="433" spans="1:14" x14ac:dyDescent="0.35">
      <c r="A433" s="5" t="s">
        <v>924</v>
      </c>
      <c r="B433" s="5" t="s">
        <v>925</v>
      </c>
      <c r="C433" s="5" t="s">
        <v>16</v>
      </c>
      <c r="D433" s="5" t="s">
        <v>80</v>
      </c>
      <c r="E433" s="5" t="s">
        <v>26</v>
      </c>
      <c r="F433" s="5" t="s">
        <v>19</v>
      </c>
      <c r="G433" s="5" t="s">
        <v>28</v>
      </c>
      <c r="H433" s="5">
        <v>25</v>
      </c>
      <c r="I433" s="6">
        <v>44453</v>
      </c>
      <c r="J433" s="7">
        <v>136810</v>
      </c>
      <c r="K433" s="8">
        <v>0.14000000000000001</v>
      </c>
      <c r="L433" s="5" t="s">
        <v>29</v>
      </c>
      <c r="M433" s="5" t="s">
        <v>30</v>
      </c>
      <c r="N433" s="6">
        <v>40903</v>
      </c>
    </row>
    <row r="434" spans="1:14" x14ac:dyDescent="0.35">
      <c r="A434" s="5" t="s">
        <v>926</v>
      </c>
      <c r="B434" s="5" t="s">
        <v>927</v>
      </c>
      <c r="C434" s="5" t="s">
        <v>55</v>
      </c>
      <c r="D434" s="5" t="s">
        <v>48</v>
      </c>
      <c r="E434" s="5" t="s">
        <v>49</v>
      </c>
      <c r="F434" s="5" t="s">
        <v>27</v>
      </c>
      <c r="G434" s="5" t="s">
        <v>36</v>
      </c>
      <c r="H434" s="5">
        <v>47</v>
      </c>
      <c r="I434" s="6">
        <v>41333</v>
      </c>
      <c r="J434" s="7">
        <v>54635</v>
      </c>
      <c r="K434" s="8">
        <v>0</v>
      </c>
      <c r="L434" s="5" t="s">
        <v>21</v>
      </c>
      <c r="M434" s="5" t="s">
        <v>37</v>
      </c>
      <c r="N434" s="6">
        <v>40903</v>
      </c>
    </row>
    <row r="435" spans="1:14" x14ac:dyDescent="0.35">
      <c r="A435" s="5" t="s">
        <v>928</v>
      </c>
      <c r="B435" s="5" t="s">
        <v>929</v>
      </c>
      <c r="C435" s="5" t="s">
        <v>207</v>
      </c>
      <c r="D435" s="5" t="s">
        <v>17</v>
      </c>
      <c r="E435" s="5" t="s">
        <v>49</v>
      </c>
      <c r="F435" s="5" t="s">
        <v>19</v>
      </c>
      <c r="G435" s="5" t="s">
        <v>36</v>
      </c>
      <c r="H435" s="5">
        <v>42</v>
      </c>
      <c r="I435" s="6">
        <v>43866</v>
      </c>
      <c r="J435" s="7">
        <v>96636</v>
      </c>
      <c r="K435" s="8">
        <v>0</v>
      </c>
      <c r="L435" s="5" t="s">
        <v>21</v>
      </c>
      <c r="M435" s="5" t="s">
        <v>88</v>
      </c>
      <c r="N435" s="6">
        <v>40903</v>
      </c>
    </row>
    <row r="436" spans="1:14" x14ac:dyDescent="0.35">
      <c r="A436" s="5" t="s">
        <v>930</v>
      </c>
      <c r="B436" s="5" t="s">
        <v>931</v>
      </c>
      <c r="C436" s="5" t="s">
        <v>299</v>
      </c>
      <c r="D436" s="5" t="s">
        <v>17</v>
      </c>
      <c r="E436" s="5" t="s">
        <v>26</v>
      </c>
      <c r="F436" s="5" t="s">
        <v>19</v>
      </c>
      <c r="G436" s="5" t="s">
        <v>20</v>
      </c>
      <c r="H436" s="5">
        <v>35</v>
      </c>
      <c r="I436" s="6">
        <v>41941</v>
      </c>
      <c r="J436" s="7">
        <v>91592</v>
      </c>
      <c r="K436" s="8">
        <v>0</v>
      </c>
      <c r="L436" s="5" t="s">
        <v>21</v>
      </c>
      <c r="M436" s="5" t="s">
        <v>37</v>
      </c>
      <c r="N436" s="6">
        <v>40903</v>
      </c>
    </row>
    <row r="437" spans="1:14" x14ac:dyDescent="0.35">
      <c r="A437" s="5" t="s">
        <v>932</v>
      </c>
      <c r="B437" s="5" t="s">
        <v>933</v>
      </c>
      <c r="C437" s="5" t="s">
        <v>184</v>
      </c>
      <c r="D437" s="5" t="s">
        <v>65</v>
      </c>
      <c r="E437" s="5" t="s">
        <v>18</v>
      </c>
      <c r="F437" s="5" t="s">
        <v>19</v>
      </c>
      <c r="G437" s="5" t="s">
        <v>28</v>
      </c>
      <c r="H437" s="5">
        <v>45</v>
      </c>
      <c r="I437" s="6">
        <v>36755</v>
      </c>
      <c r="J437" s="7">
        <v>55563</v>
      </c>
      <c r="K437" s="8">
        <v>0</v>
      </c>
      <c r="L437" s="5" t="s">
        <v>29</v>
      </c>
      <c r="M437" s="5" t="s">
        <v>134</v>
      </c>
      <c r="N437" s="6">
        <v>40903</v>
      </c>
    </row>
    <row r="438" spans="1:14" x14ac:dyDescent="0.35">
      <c r="A438" s="5" t="s">
        <v>934</v>
      </c>
      <c r="B438" s="5" t="s">
        <v>935</v>
      </c>
      <c r="C438" s="5" t="s">
        <v>33</v>
      </c>
      <c r="D438" s="5" t="s">
        <v>17</v>
      </c>
      <c r="E438" s="5" t="s">
        <v>18</v>
      </c>
      <c r="F438" s="5" t="s">
        <v>19</v>
      </c>
      <c r="G438" s="5" t="s">
        <v>28</v>
      </c>
      <c r="H438" s="5">
        <v>52</v>
      </c>
      <c r="I438" s="6">
        <v>35109</v>
      </c>
      <c r="J438" s="7">
        <v>159724</v>
      </c>
      <c r="K438" s="8">
        <v>0.23</v>
      </c>
      <c r="L438" s="5" t="s">
        <v>29</v>
      </c>
      <c r="M438" s="5" t="s">
        <v>114</v>
      </c>
      <c r="N438" s="6">
        <v>40903</v>
      </c>
    </row>
    <row r="439" spans="1:14" x14ac:dyDescent="0.35">
      <c r="A439" s="5" t="s">
        <v>936</v>
      </c>
      <c r="B439" s="5" t="s">
        <v>937</v>
      </c>
      <c r="C439" s="5" t="s">
        <v>79</v>
      </c>
      <c r="D439" s="5" t="s">
        <v>80</v>
      </c>
      <c r="E439" s="5" t="s">
        <v>49</v>
      </c>
      <c r="F439" s="5" t="s">
        <v>27</v>
      </c>
      <c r="G439" s="5" t="s">
        <v>28</v>
      </c>
      <c r="H439" s="5">
        <v>57</v>
      </c>
      <c r="I439" s="6">
        <v>42951</v>
      </c>
      <c r="J439" s="7">
        <v>183190</v>
      </c>
      <c r="K439" s="8">
        <v>0.36</v>
      </c>
      <c r="L439" s="5" t="s">
        <v>21</v>
      </c>
      <c r="M439" s="5" t="s">
        <v>37</v>
      </c>
      <c r="N439" s="6">
        <v>40903</v>
      </c>
    </row>
    <row r="440" spans="1:14" x14ac:dyDescent="0.35">
      <c r="A440" s="5" t="s">
        <v>938</v>
      </c>
      <c r="B440" s="5" t="s">
        <v>939</v>
      </c>
      <c r="C440" s="5" t="s">
        <v>55</v>
      </c>
      <c r="D440" s="5" t="s">
        <v>59</v>
      </c>
      <c r="E440" s="5" t="s">
        <v>35</v>
      </c>
      <c r="F440" s="5" t="s">
        <v>19</v>
      </c>
      <c r="G440" s="5" t="s">
        <v>36</v>
      </c>
      <c r="H440" s="5">
        <v>56</v>
      </c>
      <c r="I440" s="6">
        <v>43824</v>
      </c>
      <c r="J440" s="7">
        <v>54829</v>
      </c>
      <c r="K440" s="8">
        <v>0</v>
      </c>
      <c r="L440" s="5" t="s">
        <v>21</v>
      </c>
      <c r="M440" s="5" t="s">
        <v>44</v>
      </c>
      <c r="N440" s="6">
        <v>40903</v>
      </c>
    </row>
    <row r="441" spans="1:14" x14ac:dyDescent="0.35">
      <c r="A441" s="5" t="s">
        <v>940</v>
      </c>
      <c r="B441" s="5" t="s">
        <v>941</v>
      </c>
      <c r="C441" s="5" t="s">
        <v>108</v>
      </c>
      <c r="D441" s="5" t="s">
        <v>69</v>
      </c>
      <c r="E441" s="5" t="s">
        <v>49</v>
      </c>
      <c r="F441" s="5" t="s">
        <v>27</v>
      </c>
      <c r="G441" s="5" t="s">
        <v>85</v>
      </c>
      <c r="H441" s="5">
        <v>46</v>
      </c>
      <c r="I441" s="6">
        <v>38464</v>
      </c>
      <c r="J441" s="7">
        <v>96639</v>
      </c>
      <c r="K441" s="8">
        <v>0</v>
      </c>
      <c r="L441" s="5" t="s">
        <v>93</v>
      </c>
      <c r="M441" s="5" t="s">
        <v>99</v>
      </c>
      <c r="N441" s="6">
        <v>40903</v>
      </c>
    </row>
    <row r="442" spans="1:14" x14ac:dyDescent="0.35">
      <c r="A442" s="5" t="s">
        <v>942</v>
      </c>
      <c r="B442" s="5" t="s">
        <v>943</v>
      </c>
      <c r="C442" s="5" t="s">
        <v>52</v>
      </c>
      <c r="D442" s="5" t="s">
        <v>80</v>
      </c>
      <c r="E442" s="5" t="s">
        <v>35</v>
      </c>
      <c r="F442" s="5" t="s">
        <v>19</v>
      </c>
      <c r="G442" s="5" t="s">
        <v>28</v>
      </c>
      <c r="H442" s="5">
        <v>43</v>
      </c>
      <c r="I442" s="6">
        <v>38879</v>
      </c>
      <c r="J442" s="7">
        <v>117278</v>
      </c>
      <c r="K442" s="8">
        <v>0.09</v>
      </c>
      <c r="L442" s="5" t="s">
        <v>21</v>
      </c>
      <c r="M442" s="5" t="s">
        <v>56</v>
      </c>
      <c r="N442" s="6">
        <v>40903</v>
      </c>
    </row>
    <row r="443" spans="1:14" x14ac:dyDescent="0.35">
      <c r="A443" s="5" t="s">
        <v>944</v>
      </c>
      <c r="B443" s="5" t="s">
        <v>945</v>
      </c>
      <c r="C443" s="5" t="s">
        <v>40</v>
      </c>
      <c r="D443" s="5" t="s">
        <v>17</v>
      </c>
      <c r="E443" s="5" t="s">
        <v>35</v>
      </c>
      <c r="F443" s="5" t="s">
        <v>27</v>
      </c>
      <c r="G443" s="5" t="s">
        <v>28</v>
      </c>
      <c r="H443" s="5">
        <v>53</v>
      </c>
      <c r="I443" s="6">
        <v>39487</v>
      </c>
      <c r="J443" s="7">
        <v>84193</v>
      </c>
      <c r="K443" s="8">
        <v>0.09</v>
      </c>
      <c r="L443" s="5" t="s">
        <v>29</v>
      </c>
      <c r="M443" s="5" t="s">
        <v>74</v>
      </c>
      <c r="N443" s="6">
        <v>40903</v>
      </c>
    </row>
    <row r="444" spans="1:14" x14ac:dyDescent="0.35">
      <c r="A444" s="5" t="s">
        <v>946</v>
      </c>
      <c r="B444" s="5" t="s">
        <v>947</v>
      </c>
      <c r="C444" s="5" t="s">
        <v>485</v>
      </c>
      <c r="D444" s="5" t="s">
        <v>17</v>
      </c>
      <c r="E444" s="5" t="s">
        <v>26</v>
      </c>
      <c r="F444" s="5" t="s">
        <v>19</v>
      </c>
      <c r="G444" s="5" t="s">
        <v>36</v>
      </c>
      <c r="H444" s="5">
        <v>47</v>
      </c>
      <c r="I444" s="6">
        <v>43309</v>
      </c>
      <c r="J444" s="7">
        <v>87806</v>
      </c>
      <c r="K444" s="8">
        <v>0</v>
      </c>
      <c r="L444" s="5" t="s">
        <v>21</v>
      </c>
      <c r="M444" s="5" t="s">
        <v>22</v>
      </c>
      <c r="N444" s="6">
        <v>40903</v>
      </c>
    </row>
    <row r="445" spans="1:14" x14ac:dyDescent="0.35">
      <c r="A445" s="5" t="s">
        <v>948</v>
      </c>
      <c r="B445" s="5" t="s">
        <v>949</v>
      </c>
      <c r="C445" s="5" t="s">
        <v>223</v>
      </c>
      <c r="D445" s="5" t="s">
        <v>69</v>
      </c>
      <c r="E445" s="5" t="s">
        <v>18</v>
      </c>
      <c r="F445" s="5" t="s">
        <v>27</v>
      </c>
      <c r="G445" s="5" t="s">
        <v>36</v>
      </c>
      <c r="H445" s="5">
        <v>62</v>
      </c>
      <c r="I445" s="6">
        <v>40820</v>
      </c>
      <c r="J445" s="7">
        <v>63959</v>
      </c>
      <c r="K445" s="8">
        <v>0</v>
      </c>
      <c r="L445" s="5" t="s">
        <v>21</v>
      </c>
      <c r="M445" s="5" t="s">
        <v>22</v>
      </c>
      <c r="N445" s="6">
        <v>40903</v>
      </c>
    </row>
    <row r="446" spans="1:14" x14ac:dyDescent="0.35">
      <c r="A446" s="5" t="s">
        <v>950</v>
      </c>
      <c r="B446" s="5" t="s">
        <v>951</v>
      </c>
      <c r="C446" s="5" t="s">
        <v>79</v>
      </c>
      <c r="D446" s="5" t="s">
        <v>17</v>
      </c>
      <c r="E446" s="5" t="s">
        <v>18</v>
      </c>
      <c r="F446" s="5" t="s">
        <v>27</v>
      </c>
      <c r="G446" s="5" t="s">
        <v>28</v>
      </c>
      <c r="H446" s="5">
        <v>35</v>
      </c>
      <c r="I446" s="6">
        <v>42166</v>
      </c>
      <c r="J446" s="7">
        <v>234723</v>
      </c>
      <c r="K446" s="8">
        <v>0.36</v>
      </c>
      <c r="L446" s="5" t="s">
        <v>29</v>
      </c>
      <c r="M446" s="5" t="s">
        <v>74</v>
      </c>
      <c r="N446" s="6">
        <v>40903</v>
      </c>
    </row>
    <row r="447" spans="1:14" x14ac:dyDescent="0.35">
      <c r="A447" s="5" t="s">
        <v>952</v>
      </c>
      <c r="B447" s="5" t="s">
        <v>953</v>
      </c>
      <c r="C447" s="5" t="s">
        <v>55</v>
      </c>
      <c r="D447" s="5" t="s">
        <v>59</v>
      </c>
      <c r="E447" s="5" t="s">
        <v>49</v>
      </c>
      <c r="F447" s="5" t="s">
        <v>19</v>
      </c>
      <c r="G447" s="5" t="s">
        <v>28</v>
      </c>
      <c r="H447" s="5">
        <v>27</v>
      </c>
      <c r="I447" s="6">
        <v>43701</v>
      </c>
      <c r="J447" s="7">
        <v>50809</v>
      </c>
      <c r="K447" s="8">
        <v>0</v>
      </c>
      <c r="L447" s="5" t="s">
        <v>29</v>
      </c>
      <c r="M447" s="5" t="s">
        <v>30</v>
      </c>
      <c r="N447" s="6">
        <v>40903</v>
      </c>
    </row>
    <row r="448" spans="1:14" x14ac:dyDescent="0.35">
      <c r="A448" s="5" t="s">
        <v>954</v>
      </c>
      <c r="B448" s="5" t="s">
        <v>955</v>
      </c>
      <c r="C448" s="5" t="s">
        <v>43</v>
      </c>
      <c r="D448" s="5" t="s">
        <v>34</v>
      </c>
      <c r="E448" s="5" t="s">
        <v>26</v>
      </c>
      <c r="F448" s="5" t="s">
        <v>27</v>
      </c>
      <c r="G448" s="5" t="s">
        <v>36</v>
      </c>
      <c r="H448" s="5">
        <v>55</v>
      </c>
      <c r="I448" s="6">
        <v>37456</v>
      </c>
      <c r="J448" s="7">
        <v>77396</v>
      </c>
      <c r="K448" s="8">
        <v>0</v>
      </c>
      <c r="L448" s="5" t="s">
        <v>21</v>
      </c>
      <c r="M448" s="5" t="s">
        <v>56</v>
      </c>
      <c r="N448" s="6">
        <v>40903</v>
      </c>
    </row>
    <row r="449" spans="1:14" x14ac:dyDescent="0.35">
      <c r="A449" s="5" t="s">
        <v>956</v>
      </c>
      <c r="B449" s="5" t="s">
        <v>957</v>
      </c>
      <c r="C449" s="5" t="s">
        <v>43</v>
      </c>
      <c r="D449" s="5" t="s">
        <v>34</v>
      </c>
      <c r="E449" s="5" t="s">
        <v>35</v>
      </c>
      <c r="F449" s="5" t="s">
        <v>19</v>
      </c>
      <c r="G449" s="5" t="s">
        <v>28</v>
      </c>
      <c r="H449" s="5">
        <v>63</v>
      </c>
      <c r="I449" s="6">
        <v>36525</v>
      </c>
      <c r="J449" s="7">
        <v>89523</v>
      </c>
      <c r="K449" s="8">
        <v>0</v>
      </c>
      <c r="L449" s="5" t="s">
        <v>21</v>
      </c>
      <c r="M449" s="5" t="s">
        <v>44</v>
      </c>
      <c r="N449" s="6">
        <v>40903</v>
      </c>
    </row>
    <row r="450" spans="1:14" x14ac:dyDescent="0.35">
      <c r="A450" s="5" t="s">
        <v>958</v>
      </c>
      <c r="B450" s="5" t="s">
        <v>959</v>
      </c>
      <c r="C450" s="5" t="s">
        <v>207</v>
      </c>
      <c r="D450" s="5" t="s">
        <v>17</v>
      </c>
      <c r="E450" s="5" t="s">
        <v>49</v>
      </c>
      <c r="F450" s="5" t="s">
        <v>19</v>
      </c>
      <c r="G450" s="5" t="s">
        <v>28</v>
      </c>
      <c r="H450" s="5">
        <v>53</v>
      </c>
      <c r="I450" s="6">
        <v>40744</v>
      </c>
      <c r="J450" s="7">
        <v>86173</v>
      </c>
      <c r="K450" s="8">
        <v>0</v>
      </c>
      <c r="L450" s="5" t="s">
        <v>29</v>
      </c>
      <c r="M450" s="5" t="s">
        <v>30</v>
      </c>
      <c r="N450" s="6">
        <v>40903</v>
      </c>
    </row>
    <row r="451" spans="1:14" x14ac:dyDescent="0.35">
      <c r="A451" s="5" t="s">
        <v>960</v>
      </c>
      <c r="B451" s="5" t="s">
        <v>961</v>
      </c>
      <c r="C451" s="5" t="s">
        <v>79</v>
      </c>
      <c r="D451" s="5" t="s">
        <v>48</v>
      </c>
      <c r="E451" s="5" t="s">
        <v>26</v>
      </c>
      <c r="F451" s="5" t="s">
        <v>19</v>
      </c>
      <c r="G451" s="5" t="s">
        <v>20</v>
      </c>
      <c r="H451" s="5">
        <v>54</v>
      </c>
      <c r="I451" s="6">
        <v>36757</v>
      </c>
      <c r="J451" s="7">
        <v>222224</v>
      </c>
      <c r="K451" s="8">
        <v>0.38</v>
      </c>
      <c r="L451" s="5" t="s">
        <v>21</v>
      </c>
      <c r="M451" s="5" t="s">
        <v>88</v>
      </c>
      <c r="N451" s="6">
        <v>40903</v>
      </c>
    </row>
    <row r="452" spans="1:14" x14ac:dyDescent="0.35">
      <c r="A452" s="5" t="s">
        <v>962</v>
      </c>
      <c r="B452" s="5" t="s">
        <v>963</v>
      </c>
      <c r="C452" s="5" t="s">
        <v>16</v>
      </c>
      <c r="D452" s="5" t="s">
        <v>34</v>
      </c>
      <c r="E452" s="5" t="s">
        <v>18</v>
      </c>
      <c r="F452" s="5" t="s">
        <v>27</v>
      </c>
      <c r="G452" s="5" t="s">
        <v>28</v>
      </c>
      <c r="H452" s="5">
        <v>43</v>
      </c>
      <c r="I452" s="6">
        <v>44303</v>
      </c>
      <c r="J452" s="7">
        <v>146140</v>
      </c>
      <c r="K452" s="8">
        <v>0.15</v>
      </c>
      <c r="L452" s="5" t="s">
        <v>21</v>
      </c>
      <c r="M452" s="5" t="s">
        <v>22</v>
      </c>
      <c r="N452" s="6">
        <v>40903</v>
      </c>
    </row>
    <row r="453" spans="1:14" x14ac:dyDescent="0.35">
      <c r="A453" s="5" t="s">
        <v>964</v>
      </c>
      <c r="B453" s="5" t="s">
        <v>965</v>
      </c>
      <c r="C453" s="5" t="s">
        <v>113</v>
      </c>
      <c r="D453" s="5" t="s">
        <v>69</v>
      </c>
      <c r="E453" s="5" t="s">
        <v>35</v>
      </c>
      <c r="F453" s="5" t="s">
        <v>19</v>
      </c>
      <c r="G453" s="5" t="s">
        <v>36</v>
      </c>
      <c r="H453" s="5">
        <v>64</v>
      </c>
      <c r="I453" s="6">
        <v>34505</v>
      </c>
      <c r="J453" s="7">
        <v>109456</v>
      </c>
      <c r="K453" s="8">
        <v>0.1</v>
      </c>
      <c r="L453" s="5" t="s">
        <v>21</v>
      </c>
      <c r="M453" s="5" t="s">
        <v>37</v>
      </c>
      <c r="N453" s="6">
        <v>40903</v>
      </c>
    </row>
    <row r="454" spans="1:14" x14ac:dyDescent="0.35">
      <c r="A454" s="5" t="s">
        <v>966</v>
      </c>
      <c r="B454" s="5" t="s">
        <v>967</v>
      </c>
      <c r="C454" s="5" t="s">
        <v>33</v>
      </c>
      <c r="D454" s="5" t="s">
        <v>34</v>
      </c>
      <c r="E454" s="5" t="s">
        <v>18</v>
      </c>
      <c r="F454" s="5" t="s">
        <v>19</v>
      </c>
      <c r="G454" s="5" t="s">
        <v>85</v>
      </c>
      <c r="H454" s="5">
        <v>65</v>
      </c>
      <c r="I454" s="6">
        <v>39728</v>
      </c>
      <c r="J454" s="7">
        <v>170221</v>
      </c>
      <c r="K454" s="8">
        <v>0.15</v>
      </c>
      <c r="L454" s="5" t="s">
        <v>93</v>
      </c>
      <c r="M454" s="5" t="s">
        <v>94</v>
      </c>
      <c r="N454" s="6">
        <v>40903</v>
      </c>
    </row>
    <row r="455" spans="1:14" x14ac:dyDescent="0.35">
      <c r="A455" s="5" t="s">
        <v>721</v>
      </c>
      <c r="B455" s="5" t="s">
        <v>968</v>
      </c>
      <c r="C455" s="5" t="s">
        <v>40</v>
      </c>
      <c r="D455" s="5" t="s">
        <v>17</v>
      </c>
      <c r="E455" s="5" t="s">
        <v>18</v>
      </c>
      <c r="F455" s="5" t="s">
        <v>19</v>
      </c>
      <c r="G455" s="5" t="s">
        <v>36</v>
      </c>
      <c r="H455" s="5">
        <v>42</v>
      </c>
      <c r="I455" s="6">
        <v>38777</v>
      </c>
      <c r="J455" s="7">
        <v>97433</v>
      </c>
      <c r="K455" s="8">
        <v>0.05</v>
      </c>
      <c r="L455" s="5" t="s">
        <v>21</v>
      </c>
      <c r="M455" s="5" t="s">
        <v>22</v>
      </c>
      <c r="N455" s="6">
        <v>40903</v>
      </c>
    </row>
    <row r="456" spans="1:14" x14ac:dyDescent="0.35">
      <c r="A456" s="5" t="s">
        <v>969</v>
      </c>
      <c r="B456" s="5" t="s">
        <v>970</v>
      </c>
      <c r="C456" s="5" t="s">
        <v>47</v>
      </c>
      <c r="D456" s="5" t="s">
        <v>48</v>
      </c>
      <c r="E456" s="5" t="s">
        <v>26</v>
      </c>
      <c r="F456" s="5" t="s">
        <v>27</v>
      </c>
      <c r="G456" s="5" t="s">
        <v>28</v>
      </c>
      <c r="H456" s="5">
        <v>35</v>
      </c>
      <c r="I456" s="6">
        <v>41516</v>
      </c>
      <c r="J456" s="7">
        <v>59646</v>
      </c>
      <c r="K456" s="8">
        <v>0</v>
      </c>
      <c r="L456" s="5" t="s">
        <v>29</v>
      </c>
      <c r="M456" s="5" t="s">
        <v>74</v>
      </c>
      <c r="N456" s="6">
        <v>40903</v>
      </c>
    </row>
    <row r="457" spans="1:14" x14ac:dyDescent="0.35">
      <c r="A457" s="5" t="s">
        <v>971</v>
      </c>
      <c r="B457" s="5" t="s">
        <v>972</v>
      </c>
      <c r="C457" s="5" t="s">
        <v>33</v>
      </c>
      <c r="D457" s="5" t="s">
        <v>69</v>
      </c>
      <c r="E457" s="5" t="s">
        <v>35</v>
      </c>
      <c r="F457" s="5" t="s">
        <v>27</v>
      </c>
      <c r="G457" s="5" t="s">
        <v>28</v>
      </c>
      <c r="H457" s="5">
        <v>64</v>
      </c>
      <c r="I457" s="6">
        <v>34940</v>
      </c>
      <c r="J457" s="7">
        <v>158787</v>
      </c>
      <c r="K457" s="8">
        <v>0.18</v>
      </c>
      <c r="L457" s="5" t="s">
        <v>29</v>
      </c>
      <c r="M457" s="5" t="s">
        <v>134</v>
      </c>
      <c r="N457" s="6">
        <v>40903</v>
      </c>
    </row>
    <row r="458" spans="1:14" x14ac:dyDescent="0.35">
      <c r="A458" s="5" t="s">
        <v>973</v>
      </c>
      <c r="B458" s="5" t="s">
        <v>974</v>
      </c>
      <c r="C458" s="5" t="s">
        <v>68</v>
      </c>
      <c r="D458" s="5" t="s">
        <v>69</v>
      </c>
      <c r="E458" s="5" t="s">
        <v>18</v>
      </c>
      <c r="F458" s="5" t="s">
        <v>27</v>
      </c>
      <c r="G458" s="5" t="s">
        <v>28</v>
      </c>
      <c r="H458" s="5">
        <v>55</v>
      </c>
      <c r="I458" s="6">
        <v>43219</v>
      </c>
      <c r="J458" s="7">
        <v>83378</v>
      </c>
      <c r="K458" s="8">
        <v>0</v>
      </c>
      <c r="L458" s="5" t="s">
        <v>29</v>
      </c>
      <c r="M458" s="5" t="s">
        <v>114</v>
      </c>
      <c r="N458" s="6">
        <v>40903</v>
      </c>
    </row>
    <row r="459" spans="1:14" x14ac:dyDescent="0.35">
      <c r="A459" s="5" t="s">
        <v>975</v>
      </c>
      <c r="B459" s="5" t="s">
        <v>976</v>
      </c>
      <c r="C459" s="5" t="s">
        <v>43</v>
      </c>
      <c r="D459" s="5" t="s">
        <v>80</v>
      </c>
      <c r="E459" s="5" t="s">
        <v>49</v>
      </c>
      <c r="F459" s="5" t="s">
        <v>19</v>
      </c>
      <c r="G459" s="5" t="s">
        <v>85</v>
      </c>
      <c r="H459" s="5">
        <v>32</v>
      </c>
      <c r="I459" s="6">
        <v>41590</v>
      </c>
      <c r="J459" s="7">
        <v>88895</v>
      </c>
      <c r="K459" s="8">
        <v>0</v>
      </c>
      <c r="L459" s="5" t="s">
        <v>21</v>
      </c>
      <c r="M459" s="5" t="s">
        <v>37</v>
      </c>
      <c r="N459" s="6">
        <v>40903</v>
      </c>
    </row>
    <row r="460" spans="1:14" x14ac:dyDescent="0.35">
      <c r="A460" s="5" t="s">
        <v>977</v>
      </c>
      <c r="B460" s="5" t="s">
        <v>978</v>
      </c>
      <c r="C460" s="5" t="s">
        <v>33</v>
      </c>
      <c r="D460" s="5" t="s">
        <v>80</v>
      </c>
      <c r="E460" s="5" t="s">
        <v>49</v>
      </c>
      <c r="F460" s="5" t="s">
        <v>27</v>
      </c>
      <c r="G460" s="5" t="s">
        <v>28</v>
      </c>
      <c r="H460" s="5">
        <v>45</v>
      </c>
      <c r="I460" s="6">
        <v>38332</v>
      </c>
      <c r="J460" s="7">
        <v>168846</v>
      </c>
      <c r="K460" s="8">
        <v>0.24</v>
      </c>
      <c r="L460" s="5" t="s">
        <v>29</v>
      </c>
      <c r="M460" s="5" t="s">
        <v>30</v>
      </c>
      <c r="N460" s="6">
        <v>40903</v>
      </c>
    </row>
    <row r="461" spans="1:14" x14ac:dyDescent="0.35">
      <c r="A461" s="5" t="s">
        <v>979</v>
      </c>
      <c r="B461" s="5" t="s">
        <v>980</v>
      </c>
      <c r="C461" s="5" t="s">
        <v>184</v>
      </c>
      <c r="D461" s="5" t="s">
        <v>65</v>
      </c>
      <c r="E461" s="5" t="s">
        <v>18</v>
      </c>
      <c r="F461" s="5" t="s">
        <v>27</v>
      </c>
      <c r="G461" s="5" t="s">
        <v>28</v>
      </c>
      <c r="H461" s="5">
        <v>35</v>
      </c>
      <c r="I461" s="6">
        <v>40596</v>
      </c>
      <c r="J461" s="7">
        <v>43336</v>
      </c>
      <c r="K461" s="8">
        <v>0</v>
      </c>
      <c r="L461" s="5" t="s">
        <v>21</v>
      </c>
      <c r="M461" s="5" t="s">
        <v>60</v>
      </c>
      <c r="N461" s="6">
        <v>44024</v>
      </c>
    </row>
    <row r="462" spans="1:14" x14ac:dyDescent="0.35">
      <c r="A462" s="5" t="s">
        <v>981</v>
      </c>
      <c r="B462" s="5" t="s">
        <v>982</v>
      </c>
      <c r="C462" s="5" t="s">
        <v>16</v>
      </c>
      <c r="D462" s="5" t="s">
        <v>65</v>
      </c>
      <c r="E462" s="5" t="s">
        <v>49</v>
      </c>
      <c r="F462" s="5" t="s">
        <v>27</v>
      </c>
      <c r="G462" s="5" t="s">
        <v>85</v>
      </c>
      <c r="H462" s="5">
        <v>38</v>
      </c>
      <c r="I462" s="6">
        <v>40083</v>
      </c>
      <c r="J462" s="7">
        <v>127801</v>
      </c>
      <c r="K462" s="8">
        <v>0.15</v>
      </c>
      <c r="L462" s="5" t="s">
        <v>21</v>
      </c>
      <c r="M462" s="5" t="s">
        <v>44</v>
      </c>
      <c r="N462" s="6">
        <v>44024</v>
      </c>
    </row>
    <row r="463" spans="1:14" x14ac:dyDescent="0.35">
      <c r="A463" s="5" t="s">
        <v>983</v>
      </c>
      <c r="B463" s="5" t="s">
        <v>984</v>
      </c>
      <c r="C463" s="5" t="s">
        <v>485</v>
      </c>
      <c r="D463" s="5" t="s">
        <v>17</v>
      </c>
      <c r="E463" s="5" t="s">
        <v>49</v>
      </c>
      <c r="F463" s="5" t="s">
        <v>27</v>
      </c>
      <c r="G463" s="5" t="s">
        <v>20</v>
      </c>
      <c r="H463" s="5">
        <v>54</v>
      </c>
      <c r="I463" s="6">
        <v>36617</v>
      </c>
      <c r="J463" s="7">
        <v>76352</v>
      </c>
      <c r="K463" s="8">
        <v>0</v>
      </c>
      <c r="L463" s="5" t="s">
        <v>21</v>
      </c>
      <c r="M463" s="5" t="s">
        <v>60</v>
      </c>
      <c r="N463" s="6">
        <v>44024</v>
      </c>
    </row>
    <row r="464" spans="1:14" x14ac:dyDescent="0.35">
      <c r="A464" s="5" t="s">
        <v>985</v>
      </c>
      <c r="B464" s="5" t="s">
        <v>986</v>
      </c>
      <c r="C464" s="5" t="s">
        <v>79</v>
      </c>
      <c r="D464" s="5" t="s">
        <v>34</v>
      </c>
      <c r="E464" s="5" t="s">
        <v>49</v>
      </c>
      <c r="F464" s="5" t="s">
        <v>27</v>
      </c>
      <c r="G464" s="5" t="s">
        <v>36</v>
      </c>
      <c r="H464" s="5">
        <v>28</v>
      </c>
      <c r="I464" s="6">
        <v>43638</v>
      </c>
      <c r="J464" s="7">
        <v>250767</v>
      </c>
      <c r="K464" s="8">
        <v>0.38</v>
      </c>
      <c r="L464" s="5" t="s">
        <v>21</v>
      </c>
      <c r="M464" s="5" t="s">
        <v>22</v>
      </c>
      <c r="N464" s="6">
        <v>44024</v>
      </c>
    </row>
    <row r="465" spans="1:14" x14ac:dyDescent="0.35">
      <c r="A465" s="5" t="s">
        <v>987</v>
      </c>
      <c r="B465" s="5" t="s">
        <v>988</v>
      </c>
      <c r="C465" s="5" t="s">
        <v>79</v>
      </c>
      <c r="D465" s="5" t="s">
        <v>80</v>
      </c>
      <c r="E465" s="5" t="s">
        <v>49</v>
      </c>
      <c r="F465" s="5" t="s">
        <v>27</v>
      </c>
      <c r="G465" s="5" t="s">
        <v>36</v>
      </c>
      <c r="H465" s="5">
        <v>26</v>
      </c>
      <c r="I465" s="6">
        <v>44101</v>
      </c>
      <c r="J465" s="7">
        <v>223055</v>
      </c>
      <c r="K465" s="8">
        <v>0.3</v>
      </c>
      <c r="L465" s="5" t="s">
        <v>21</v>
      </c>
      <c r="M465" s="5" t="s">
        <v>88</v>
      </c>
      <c r="N465" s="6">
        <v>44024</v>
      </c>
    </row>
    <row r="466" spans="1:14" x14ac:dyDescent="0.35">
      <c r="A466" s="5" t="s">
        <v>989</v>
      </c>
      <c r="B466" s="5" t="s">
        <v>990</v>
      </c>
      <c r="C466" s="5" t="s">
        <v>33</v>
      </c>
      <c r="D466" s="5" t="s">
        <v>69</v>
      </c>
      <c r="E466" s="5" t="s">
        <v>49</v>
      </c>
      <c r="F466" s="5" t="s">
        <v>27</v>
      </c>
      <c r="G466" s="5" t="s">
        <v>85</v>
      </c>
      <c r="H466" s="5">
        <v>45</v>
      </c>
      <c r="I466" s="6">
        <v>39185</v>
      </c>
      <c r="J466" s="7">
        <v>189680</v>
      </c>
      <c r="K466" s="8">
        <v>0.23</v>
      </c>
      <c r="L466" s="5" t="s">
        <v>93</v>
      </c>
      <c r="M466" s="5" t="s">
        <v>218</v>
      </c>
      <c r="N466" s="6">
        <v>44024</v>
      </c>
    </row>
    <row r="467" spans="1:14" x14ac:dyDescent="0.35">
      <c r="A467" s="5" t="s">
        <v>991</v>
      </c>
      <c r="B467" s="5" t="s">
        <v>992</v>
      </c>
      <c r="C467" s="5" t="s">
        <v>223</v>
      </c>
      <c r="D467" s="5" t="s">
        <v>69</v>
      </c>
      <c r="E467" s="5" t="s">
        <v>26</v>
      </c>
      <c r="F467" s="5" t="s">
        <v>27</v>
      </c>
      <c r="G467" s="5" t="s">
        <v>36</v>
      </c>
      <c r="H467" s="5">
        <v>57</v>
      </c>
      <c r="I467" s="6">
        <v>43299</v>
      </c>
      <c r="J467" s="7">
        <v>71167</v>
      </c>
      <c r="K467" s="8">
        <v>0</v>
      </c>
      <c r="L467" s="5" t="s">
        <v>21</v>
      </c>
      <c r="M467" s="5" t="s">
        <v>88</v>
      </c>
      <c r="N467" s="6">
        <v>44024</v>
      </c>
    </row>
    <row r="468" spans="1:14" x14ac:dyDescent="0.35">
      <c r="A468" s="5" t="s">
        <v>993</v>
      </c>
      <c r="B468" s="5" t="s">
        <v>994</v>
      </c>
      <c r="C468" s="5" t="s">
        <v>25</v>
      </c>
      <c r="D468" s="5" t="s">
        <v>17</v>
      </c>
      <c r="E468" s="5" t="s">
        <v>35</v>
      </c>
      <c r="F468" s="5" t="s">
        <v>19</v>
      </c>
      <c r="G468" s="5" t="s">
        <v>36</v>
      </c>
      <c r="H468" s="5">
        <v>59</v>
      </c>
      <c r="I468" s="6">
        <v>40272</v>
      </c>
      <c r="J468" s="7">
        <v>76027</v>
      </c>
      <c r="K468" s="8">
        <v>0</v>
      </c>
      <c r="L468" s="5" t="s">
        <v>21</v>
      </c>
      <c r="M468" s="5" t="s">
        <v>22</v>
      </c>
      <c r="N468" s="6">
        <v>44024</v>
      </c>
    </row>
    <row r="469" spans="1:14" x14ac:dyDescent="0.35">
      <c r="A469" s="5" t="s">
        <v>995</v>
      </c>
      <c r="B469" s="5" t="s">
        <v>996</v>
      </c>
      <c r="C469" s="5" t="s">
        <v>33</v>
      </c>
      <c r="D469" s="5" t="s">
        <v>69</v>
      </c>
      <c r="E469" s="5" t="s">
        <v>49</v>
      </c>
      <c r="F469" s="5" t="s">
        <v>27</v>
      </c>
      <c r="G469" s="5" t="s">
        <v>85</v>
      </c>
      <c r="H469" s="5">
        <v>48</v>
      </c>
      <c r="I469" s="6">
        <v>43809</v>
      </c>
      <c r="J469" s="7">
        <v>183113</v>
      </c>
      <c r="K469" s="8">
        <v>0.24</v>
      </c>
      <c r="L469" s="5" t="s">
        <v>93</v>
      </c>
      <c r="M469" s="5" t="s">
        <v>99</v>
      </c>
      <c r="N469" s="6">
        <v>44024</v>
      </c>
    </row>
    <row r="470" spans="1:14" x14ac:dyDescent="0.35">
      <c r="A470" s="5" t="s">
        <v>997</v>
      </c>
      <c r="B470" s="5" t="s">
        <v>998</v>
      </c>
      <c r="C470" s="5" t="s">
        <v>124</v>
      </c>
      <c r="D470" s="5" t="s">
        <v>59</v>
      </c>
      <c r="E470" s="5" t="s">
        <v>26</v>
      </c>
      <c r="F470" s="5" t="s">
        <v>27</v>
      </c>
      <c r="G470" s="5" t="s">
        <v>20</v>
      </c>
      <c r="H470" s="5">
        <v>30</v>
      </c>
      <c r="I470" s="6">
        <v>44124</v>
      </c>
      <c r="J470" s="7">
        <v>67753</v>
      </c>
      <c r="K470" s="8">
        <v>0</v>
      </c>
      <c r="L470" s="5" t="s">
        <v>21</v>
      </c>
      <c r="M470" s="5" t="s">
        <v>44</v>
      </c>
      <c r="N470" s="6">
        <v>44024</v>
      </c>
    </row>
    <row r="471" spans="1:14" x14ac:dyDescent="0.35">
      <c r="A471" s="5" t="s">
        <v>999</v>
      </c>
      <c r="B471" s="5" t="s">
        <v>1000</v>
      </c>
      <c r="C471" s="5" t="s">
        <v>40</v>
      </c>
      <c r="D471" s="5" t="s">
        <v>17</v>
      </c>
      <c r="E471" s="5" t="s">
        <v>49</v>
      </c>
      <c r="F471" s="5" t="s">
        <v>27</v>
      </c>
      <c r="G471" s="5" t="s">
        <v>20</v>
      </c>
      <c r="H471" s="5">
        <v>31</v>
      </c>
      <c r="I471" s="6">
        <v>42656</v>
      </c>
      <c r="J471" s="7">
        <v>63744</v>
      </c>
      <c r="K471" s="8">
        <v>0.08</v>
      </c>
      <c r="L471" s="5" t="s">
        <v>21</v>
      </c>
      <c r="M471" s="5" t="s">
        <v>60</v>
      </c>
      <c r="N471" s="6">
        <v>44024</v>
      </c>
    </row>
    <row r="472" spans="1:14" x14ac:dyDescent="0.35">
      <c r="A472" s="5" t="s">
        <v>341</v>
      </c>
      <c r="B472" s="5" t="s">
        <v>1001</v>
      </c>
      <c r="C472" s="5" t="s">
        <v>108</v>
      </c>
      <c r="D472" s="5" t="s">
        <v>69</v>
      </c>
      <c r="E472" s="5" t="s">
        <v>26</v>
      </c>
      <c r="F472" s="5" t="s">
        <v>19</v>
      </c>
      <c r="G472" s="5" t="s">
        <v>28</v>
      </c>
      <c r="H472" s="5">
        <v>50</v>
      </c>
      <c r="I472" s="6">
        <v>37446</v>
      </c>
      <c r="J472" s="7">
        <v>92209</v>
      </c>
      <c r="K472" s="8">
        <v>0</v>
      </c>
      <c r="L472" s="5" t="s">
        <v>29</v>
      </c>
      <c r="M472" s="5" t="s">
        <v>74</v>
      </c>
      <c r="N472" s="6">
        <v>44024</v>
      </c>
    </row>
    <row r="473" spans="1:14" x14ac:dyDescent="0.35">
      <c r="A473" s="5" t="s">
        <v>1002</v>
      </c>
      <c r="B473" s="5" t="s">
        <v>1003</v>
      </c>
      <c r="C473" s="5" t="s">
        <v>16</v>
      </c>
      <c r="D473" s="5" t="s">
        <v>48</v>
      </c>
      <c r="E473" s="5" t="s">
        <v>49</v>
      </c>
      <c r="F473" s="5" t="s">
        <v>27</v>
      </c>
      <c r="G473" s="5" t="s">
        <v>20</v>
      </c>
      <c r="H473" s="5">
        <v>51</v>
      </c>
      <c r="I473" s="6">
        <v>36770</v>
      </c>
      <c r="J473" s="7">
        <v>157487</v>
      </c>
      <c r="K473" s="8">
        <v>0.12</v>
      </c>
      <c r="L473" s="5" t="s">
        <v>21</v>
      </c>
      <c r="M473" s="5" t="s">
        <v>44</v>
      </c>
      <c r="N473" s="6">
        <v>44024</v>
      </c>
    </row>
    <row r="474" spans="1:14" x14ac:dyDescent="0.35">
      <c r="A474" s="5" t="s">
        <v>1004</v>
      </c>
      <c r="B474" s="5" t="s">
        <v>1005</v>
      </c>
      <c r="C474" s="5" t="s">
        <v>43</v>
      </c>
      <c r="D474" s="5" t="s">
        <v>80</v>
      </c>
      <c r="E474" s="5" t="s">
        <v>18</v>
      </c>
      <c r="F474" s="5" t="s">
        <v>27</v>
      </c>
      <c r="G474" s="5" t="s">
        <v>85</v>
      </c>
      <c r="H474" s="5">
        <v>42</v>
      </c>
      <c r="I474" s="6">
        <v>42101</v>
      </c>
      <c r="J474" s="7">
        <v>99697</v>
      </c>
      <c r="K474" s="8">
        <v>0</v>
      </c>
      <c r="L474" s="5" t="s">
        <v>93</v>
      </c>
      <c r="M474" s="5" t="s">
        <v>99</v>
      </c>
      <c r="N474" s="6">
        <v>44024</v>
      </c>
    </row>
    <row r="475" spans="1:14" x14ac:dyDescent="0.35">
      <c r="A475" s="5" t="s">
        <v>1006</v>
      </c>
      <c r="B475" s="5" t="s">
        <v>1007</v>
      </c>
      <c r="C475" s="5" t="s">
        <v>485</v>
      </c>
      <c r="D475" s="5" t="s">
        <v>17</v>
      </c>
      <c r="E475" s="5" t="s">
        <v>18</v>
      </c>
      <c r="F475" s="5" t="s">
        <v>27</v>
      </c>
      <c r="G475" s="5" t="s">
        <v>28</v>
      </c>
      <c r="H475" s="5">
        <v>45</v>
      </c>
      <c r="I475" s="6">
        <v>40235</v>
      </c>
      <c r="J475" s="7">
        <v>90770</v>
      </c>
      <c r="K475" s="8">
        <v>0</v>
      </c>
      <c r="L475" s="5" t="s">
        <v>21</v>
      </c>
      <c r="M475" s="5" t="s">
        <v>88</v>
      </c>
      <c r="N475" s="6">
        <v>44024</v>
      </c>
    </row>
    <row r="476" spans="1:14" x14ac:dyDescent="0.35">
      <c r="A476" s="5" t="s">
        <v>1008</v>
      </c>
      <c r="B476" s="5" t="s">
        <v>1009</v>
      </c>
      <c r="C476" s="5" t="s">
        <v>55</v>
      </c>
      <c r="D476" s="5" t="s">
        <v>48</v>
      </c>
      <c r="E476" s="5" t="s">
        <v>35</v>
      </c>
      <c r="F476" s="5" t="s">
        <v>19</v>
      </c>
      <c r="G476" s="5" t="s">
        <v>28</v>
      </c>
      <c r="H476" s="5">
        <v>64</v>
      </c>
      <c r="I476" s="6">
        <v>38380</v>
      </c>
      <c r="J476" s="7">
        <v>55369</v>
      </c>
      <c r="K476" s="8">
        <v>0</v>
      </c>
      <c r="L476" s="5" t="s">
        <v>21</v>
      </c>
      <c r="M476" s="5" t="s">
        <v>44</v>
      </c>
      <c r="N476" s="6">
        <v>44024</v>
      </c>
    </row>
    <row r="477" spans="1:14" x14ac:dyDescent="0.35">
      <c r="A477" s="5" t="s">
        <v>1010</v>
      </c>
      <c r="B477" s="5" t="s">
        <v>1011</v>
      </c>
      <c r="C477" s="5" t="s">
        <v>175</v>
      </c>
      <c r="D477" s="5" t="s">
        <v>69</v>
      </c>
      <c r="E477" s="5" t="s">
        <v>35</v>
      </c>
      <c r="F477" s="5" t="s">
        <v>19</v>
      </c>
      <c r="G477" s="5" t="s">
        <v>85</v>
      </c>
      <c r="H477" s="5">
        <v>59</v>
      </c>
      <c r="I477" s="6">
        <v>41898</v>
      </c>
      <c r="J477" s="7">
        <v>69578</v>
      </c>
      <c r="K477" s="8">
        <v>0</v>
      </c>
      <c r="L477" s="5" t="s">
        <v>93</v>
      </c>
      <c r="M477" s="5" t="s">
        <v>99</v>
      </c>
      <c r="N477" s="6">
        <v>44024</v>
      </c>
    </row>
    <row r="478" spans="1:14" x14ac:dyDescent="0.35">
      <c r="A478" s="5" t="s">
        <v>1012</v>
      </c>
      <c r="B478" s="5" t="s">
        <v>1013</v>
      </c>
      <c r="C478" s="5" t="s">
        <v>33</v>
      </c>
      <c r="D478" s="5" t="s">
        <v>59</v>
      </c>
      <c r="E478" s="5" t="s">
        <v>35</v>
      </c>
      <c r="F478" s="5" t="s">
        <v>27</v>
      </c>
      <c r="G478" s="5" t="s">
        <v>36</v>
      </c>
      <c r="H478" s="5">
        <v>41</v>
      </c>
      <c r="I478" s="6">
        <v>41429</v>
      </c>
      <c r="J478" s="7">
        <v>167526</v>
      </c>
      <c r="K478" s="8">
        <v>0.26</v>
      </c>
      <c r="L478" s="5" t="s">
        <v>21</v>
      </c>
      <c r="M478" s="5" t="s">
        <v>56</v>
      </c>
      <c r="N478" s="6">
        <v>44024</v>
      </c>
    </row>
    <row r="479" spans="1:14" x14ac:dyDescent="0.35">
      <c r="A479" s="5" t="s">
        <v>1014</v>
      </c>
      <c r="B479" s="5" t="s">
        <v>1015</v>
      </c>
      <c r="C479" s="5" t="s">
        <v>175</v>
      </c>
      <c r="D479" s="5" t="s">
        <v>69</v>
      </c>
      <c r="E479" s="5" t="s">
        <v>35</v>
      </c>
      <c r="F479" s="5" t="s">
        <v>19</v>
      </c>
      <c r="G479" s="5" t="s">
        <v>85</v>
      </c>
      <c r="H479" s="5">
        <v>42</v>
      </c>
      <c r="I479" s="6">
        <v>44232</v>
      </c>
      <c r="J479" s="7">
        <v>65507</v>
      </c>
      <c r="K479" s="8">
        <v>0</v>
      </c>
      <c r="L479" s="5" t="s">
        <v>93</v>
      </c>
      <c r="M479" s="5" t="s">
        <v>94</v>
      </c>
      <c r="N479" s="6">
        <v>44024</v>
      </c>
    </row>
    <row r="480" spans="1:14" x14ac:dyDescent="0.35">
      <c r="A480" s="5" t="s">
        <v>1016</v>
      </c>
      <c r="B480" s="5" t="s">
        <v>1017</v>
      </c>
      <c r="C480" s="5" t="s">
        <v>52</v>
      </c>
      <c r="D480" s="5" t="s">
        <v>34</v>
      </c>
      <c r="E480" s="5" t="s">
        <v>18</v>
      </c>
      <c r="F480" s="5" t="s">
        <v>27</v>
      </c>
      <c r="G480" s="5" t="s">
        <v>85</v>
      </c>
      <c r="H480" s="5">
        <v>54</v>
      </c>
      <c r="I480" s="6">
        <v>35913</v>
      </c>
      <c r="J480" s="7">
        <v>108268</v>
      </c>
      <c r="K480" s="8">
        <v>0.09</v>
      </c>
      <c r="L480" s="5" t="s">
        <v>93</v>
      </c>
      <c r="M480" s="5" t="s">
        <v>218</v>
      </c>
      <c r="N480" s="6">
        <v>38122</v>
      </c>
    </row>
    <row r="481" spans="1:14" x14ac:dyDescent="0.35">
      <c r="A481" s="5" t="s">
        <v>1018</v>
      </c>
      <c r="B481" s="5" t="s">
        <v>1019</v>
      </c>
      <c r="C481" s="5" t="s">
        <v>25</v>
      </c>
      <c r="D481" s="5" t="s">
        <v>17</v>
      </c>
      <c r="E481" s="5" t="s">
        <v>18</v>
      </c>
      <c r="F481" s="5" t="s">
        <v>27</v>
      </c>
      <c r="G481" s="5" t="s">
        <v>28</v>
      </c>
      <c r="H481" s="5">
        <v>37</v>
      </c>
      <c r="I481" s="6">
        <v>42405</v>
      </c>
      <c r="J481" s="7">
        <v>80055</v>
      </c>
      <c r="K481" s="8">
        <v>0</v>
      </c>
      <c r="L481" s="5" t="s">
        <v>29</v>
      </c>
      <c r="M481" s="5" t="s">
        <v>114</v>
      </c>
      <c r="N481" s="6">
        <v>38122</v>
      </c>
    </row>
    <row r="482" spans="1:14" x14ac:dyDescent="0.35">
      <c r="A482" s="5" t="s">
        <v>1020</v>
      </c>
      <c r="B482" s="5" t="s">
        <v>1021</v>
      </c>
      <c r="C482" s="5" t="s">
        <v>43</v>
      </c>
      <c r="D482" s="5" t="s">
        <v>48</v>
      </c>
      <c r="E482" s="5" t="s">
        <v>18</v>
      </c>
      <c r="F482" s="5" t="s">
        <v>27</v>
      </c>
      <c r="G482" s="5" t="s">
        <v>85</v>
      </c>
      <c r="H482" s="5">
        <v>58</v>
      </c>
      <c r="I482" s="6">
        <v>39930</v>
      </c>
      <c r="J482" s="7">
        <v>76802</v>
      </c>
      <c r="K482" s="8">
        <v>0</v>
      </c>
      <c r="L482" s="5" t="s">
        <v>93</v>
      </c>
      <c r="M482" s="5" t="s">
        <v>94</v>
      </c>
      <c r="N482" s="6">
        <v>38122</v>
      </c>
    </row>
    <row r="483" spans="1:14" x14ac:dyDescent="0.35">
      <c r="A483" s="5" t="s">
        <v>1022</v>
      </c>
      <c r="B483" s="5" t="s">
        <v>1023</v>
      </c>
      <c r="C483" s="5" t="s">
        <v>79</v>
      </c>
      <c r="D483" s="5" t="s">
        <v>48</v>
      </c>
      <c r="E483" s="5" t="s">
        <v>35</v>
      </c>
      <c r="F483" s="5" t="s">
        <v>27</v>
      </c>
      <c r="G483" s="5" t="s">
        <v>28</v>
      </c>
      <c r="H483" s="5">
        <v>47</v>
      </c>
      <c r="I483" s="6">
        <v>42696</v>
      </c>
      <c r="J483" s="7">
        <v>253249</v>
      </c>
      <c r="K483" s="8">
        <v>0.31</v>
      </c>
      <c r="L483" s="5" t="s">
        <v>21</v>
      </c>
      <c r="M483" s="5" t="s">
        <v>60</v>
      </c>
      <c r="N483" s="6">
        <v>38122</v>
      </c>
    </row>
    <row r="484" spans="1:14" x14ac:dyDescent="0.35">
      <c r="A484" s="5" t="s">
        <v>154</v>
      </c>
      <c r="B484" s="5" t="s">
        <v>1024</v>
      </c>
      <c r="C484" s="5" t="s">
        <v>143</v>
      </c>
      <c r="D484" s="5" t="s">
        <v>65</v>
      </c>
      <c r="E484" s="5" t="s">
        <v>18</v>
      </c>
      <c r="F484" s="5" t="s">
        <v>19</v>
      </c>
      <c r="G484" s="5" t="s">
        <v>28</v>
      </c>
      <c r="H484" s="5">
        <v>60</v>
      </c>
      <c r="I484" s="6">
        <v>38667</v>
      </c>
      <c r="J484" s="7">
        <v>78388</v>
      </c>
      <c r="K484" s="8">
        <v>0</v>
      </c>
      <c r="L484" s="5" t="s">
        <v>29</v>
      </c>
      <c r="M484" s="5" t="s">
        <v>30</v>
      </c>
      <c r="N484" s="6">
        <v>38122</v>
      </c>
    </row>
    <row r="485" spans="1:14" x14ac:dyDescent="0.35">
      <c r="A485" s="5" t="s">
        <v>540</v>
      </c>
      <c r="B485" s="5" t="s">
        <v>1025</v>
      </c>
      <c r="C485" s="5" t="s">
        <v>79</v>
      </c>
      <c r="D485" s="5" t="s">
        <v>17</v>
      </c>
      <c r="E485" s="5" t="s">
        <v>49</v>
      </c>
      <c r="F485" s="5" t="s">
        <v>27</v>
      </c>
      <c r="G485" s="5" t="s">
        <v>36</v>
      </c>
      <c r="H485" s="5">
        <v>38</v>
      </c>
      <c r="I485" s="6">
        <v>42543</v>
      </c>
      <c r="J485" s="7">
        <v>249870</v>
      </c>
      <c r="K485" s="8">
        <v>0.34</v>
      </c>
      <c r="L485" s="5" t="s">
        <v>21</v>
      </c>
      <c r="M485" s="5" t="s">
        <v>37</v>
      </c>
      <c r="N485" s="6">
        <v>38122</v>
      </c>
    </row>
    <row r="486" spans="1:14" x14ac:dyDescent="0.35">
      <c r="A486" s="5" t="s">
        <v>742</v>
      </c>
      <c r="B486" s="5" t="s">
        <v>1026</v>
      </c>
      <c r="C486" s="5" t="s">
        <v>16</v>
      </c>
      <c r="D486" s="5" t="s">
        <v>80</v>
      </c>
      <c r="E486" s="5" t="s">
        <v>26</v>
      </c>
      <c r="F486" s="5" t="s">
        <v>27</v>
      </c>
      <c r="G486" s="5" t="s">
        <v>28</v>
      </c>
      <c r="H486" s="5">
        <v>63</v>
      </c>
      <c r="I486" s="6">
        <v>42064</v>
      </c>
      <c r="J486" s="7">
        <v>148321</v>
      </c>
      <c r="K486" s="8">
        <v>0.15</v>
      </c>
      <c r="L486" s="5" t="s">
        <v>29</v>
      </c>
      <c r="M486" s="5" t="s">
        <v>114</v>
      </c>
      <c r="N486" s="6">
        <v>38122</v>
      </c>
    </row>
    <row r="487" spans="1:14" x14ac:dyDescent="0.35">
      <c r="A487" s="5" t="s">
        <v>1027</v>
      </c>
      <c r="B487" s="5" t="s">
        <v>1028</v>
      </c>
      <c r="C487" s="5" t="s">
        <v>462</v>
      </c>
      <c r="D487" s="5" t="s">
        <v>17</v>
      </c>
      <c r="E487" s="5" t="s">
        <v>49</v>
      </c>
      <c r="F487" s="5" t="s">
        <v>19</v>
      </c>
      <c r="G487" s="5" t="s">
        <v>28</v>
      </c>
      <c r="H487" s="5">
        <v>60</v>
      </c>
      <c r="I487" s="6">
        <v>38027</v>
      </c>
      <c r="J487" s="7">
        <v>90258</v>
      </c>
      <c r="K487" s="8">
        <v>0</v>
      </c>
      <c r="L487" s="5" t="s">
        <v>29</v>
      </c>
      <c r="M487" s="5" t="s">
        <v>30</v>
      </c>
      <c r="N487" s="6">
        <v>38122</v>
      </c>
    </row>
    <row r="488" spans="1:14" x14ac:dyDescent="0.35">
      <c r="A488" s="5" t="s">
        <v>1029</v>
      </c>
      <c r="B488" s="5" t="s">
        <v>1030</v>
      </c>
      <c r="C488" s="5" t="s">
        <v>299</v>
      </c>
      <c r="D488" s="5" t="s">
        <v>17</v>
      </c>
      <c r="E488" s="5" t="s">
        <v>26</v>
      </c>
      <c r="F488" s="5" t="s">
        <v>19</v>
      </c>
      <c r="G488" s="5" t="s">
        <v>20</v>
      </c>
      <c r="H488" s="5">
        <v>42</v>
      </c>
      <c r="I488" s="6">
        <v>40593</v>
      </c>
      <c r="J488" s="7">
        <v>72486</v>
      </c>
      <c r="K488" s="8">
        <v>0</v>
      </c>
      <c r="L488" s="5" t="s">
        <v>21</v>
      </c>
      <c r="M488" s="5" t="s">
        <v>22</v>
      </c>
      <c r="N488" s="6">
        <v>38122</v>
      </c>
    </row>
    <row r="489" spans="1:14" x14ac:dyDescent="0.35">
      <c r="A489" s="5" t="s">
        <v>1031</v>
      </c>
      <c r="B489" s="5" t="s">
        <v>1032</v>
      </c>
      <c r="C489" s="5" t="s">
        <v>43</v>
      </c>
      <c r="D489" s="5" t="s">
        <v>34</v>
      </c>
      <c r="E489" s="5" t="s">
        <v>49</v>
      </c>
      <c r="F489" s="5" t="s">
        <v>27</v>
      </c>
      <c r="G489" s="5" t="s">
        <v>85</v>
      </c>
      <c r="H489" s="5">
        <v>34</v>
      </c>
      <c r="I489" s="6">
        <v>41886</v>
      </c>
      <c r="J489" s="7">
        <v>95499</v>
      </c>
      <c r="K489" s="8">
        <v>0</v>
      </c>
      <c r="L489" s="5" t="s">
        <v>93</v>
      </c>
      <c r="M489" s="5" t="s">
        <v>218</v>
      </c>
      <c r="N489" s="6">
        <v>42958</v>
      </c>
    </row>
    <row r="490" spans="1:14" x14ac:dyDescent="0.35">
      <c r="A490" s="5" t="s">
        <v>1033</v>
      </c>
      <c r="B490" s="5" t="s">
        <v>1034</v>
      </c>
      <c r="C490" s="5" t="s">
        <v>43</v>
      </c>
      <c r="D490" s="5" t="s">
        <v>59</v>
      </c>
      <c r="E490" s="5" t="s">
        <v>18</v>
      </c>
      <c r="F490" s="5" t="s">
        <v>19</v>
      </c>
      <c r="G490" s="5" t="s">
        <v>85</v>
      </c>
      <c r="H490" s="5">
        <v>53</v>
      </c>
      <c r="I490" s="6">
        <v>38344</v>
      </c>
      <c r="J490" s="7">
        <v>90212</v>
      </c>
      <c r="K490" s="8">
        <v>0</v>
      </c>
      <c r="L490" s="5" t="s">
        <v>93</v>
      </c>
      <c r="M490" s="5" t="s">
        <v>218</v>
      </c>
      <c r="N490" s="6">
        <v>42958</v>
      </c>
    </row>
    <row r="491" spans="1:14" x14ac:dyDescent="0.35">
      <c r="A491" s="5" t="s">
        <v>1035</v>
      </c>
      <c r="B491" s="5" t="s">
        <v>1036</v>
      </c>
      <c r="C491" s="5" t="s">
        <v>79</v>
      </c>
      <c r="D491" s="5" t="s">
        <v>80</v>
      </c>
      <c r="E491" s="5" t="s">
        <v>18</v>
      </c>
      <c r="F491" s="5" t="s">
        <v>27</v>
      </c>
      <c r="G491" s="5" t="s">
        <v>28</v>
      </c>
      <c r="H491" s="5">
        <v>39</v>
      </c>
      <c r="I491" s="6">
        <v>43804</v>
      </c>
      <c r="J491" s="7">
        <v>254057</v>
      </c>
      <c r="K491" s="8">
        <v>0.39</v>
      </c>
      <c r="L491" s="5" t="s">
        <v>29</v>
      </c>
      <c r="M491" s="5" t="s">
        <v>74</v>
      </c>
      <c r="N491" s="6">
        <v>42958</v>
      </c>
    </row>
    <row r="492" spans="1:14" x14ac:dyDescent="0.35">
      <c r="A492" s="5" t="s">
        <v>1037</v>
      </c>
      <c r="B492" s="5" t="s">
        <v>1038</v>
      </c>
      <c r="C492" s="5" t="s">
        <v>184</v>
      </c>
      <c r="D492" s="5" t="s">
        <v>65</v>
      </c>
      <c r="E492" s="5" t="s">
        <v>26</v>
      </c>
      <c r="F492" s="5" t="s">
        <v>19</v>
      </c>
      <c r="G492" s="5" t="s">
        <v>85</v>
      </c>
      <c r="H492" s="5">
        <v>58</v>
      </c>
      <c r="I492" s="6">
        <v>40463</v>
      </c>
      <c r="J492" s="7">
        <v>43001</v>
      </c>
      <c r="K492" s="8">
        <v>0</v>
      </c>
      <c r="L492" s="5" t="s">
        <v>21</v>
      </c>
      <c r="M492" s="5" t="s">
        <v>60</v>
      </c>
      <c r="N492" s="6">
        <v>42958</v>
      </c>
    </row>
    <row r="493" spans="1:14" x14ac:dyDescent="0.35">
      <c r="A493" s="5" t="s">
        <v>199</v>
      </c>
      <c r="B493" s="5" t="s">
        <v>1039</v>
      </c>
      <c r="C493" s="5" t="s">
        <v>40</v>
      </c>
      <c r="D493" s="5" t="s">
        <v>17</v>
      </c>
      <c r="E493" s="5" t="s">
        <v>26</v>
      </c>
      <c r="F493" s="5" t="s">
        <v>27</v>
      </c>
      <c r="G493" s="5" t="s">
        <v>85</v>
      </c>
      <c r="H493" s="5">
        <v>60</v>
      </c>
      <c r="I493" s="6">
        <v>36010</v>
      </c>
      <c r="J493" s="7">
        <v>85120</v>
      </c>
      <c r="K493" s="8">
        <v>0.09</v>
      </c>
      <c r="L493" s="5" t="s">
        <v>21</v>
      </c>
      <c r="M493" s="5" t="s">
        <v>22</v>
      </c>
      <c r="N493" s="6">
        <v>42958</v>
      </c>
    </row>
    <row r="494" spans="1:14" x14ac:dyDescent="0.35">
      <c r="A494" s="5" t="s">
        <v>1040</v>
      </c>
      <c r="B494" s="5" t="s">
        <v>1041</v>
      </c>
      <c r="C494" s="5" t="s">
        <v>184</v>
      </c>
      <c r="D494" s="5" t="s">
        <v>65</v>
      </c>
      <c r="E494" s="5" t="s">
        <v>26</v>
      </c>
      <c r="F494" s="5" t="s">
        <v>27</v>
      </c>
      <c r="G494" s="5" t="s">
        <v>85</v>
      </c>
      <c r="H494" s="5">
        <v>34</v>
      </c>
      <c r="I494" s="6">
        <v>42219</v>
      </c>
      <c r="J494" s="7">
        <v>52200</v>
      </c>
      <c r="K494" s="8">
        <v>0</v>
      </c>
      <c r="L494" s="5" t="s">
        <v>21</v>
      </c>
      <c r="M494" s="5" t="s">
        <v>88</v>
      </c>
      <c r="N494" s="6">
        <v>42958</v>
      </c>
    </row>
    <row r="495" spans="1:14" x14ac:dyDescent="0.35">
      <c r="A495" s="5" t="s">
        <v>1042</v>
      </c>
      <c r="B495" s="5" t="s">
        <v>1043</v>
      </c>
      <c r="C495" s="5" t="s">
        <v>16</v>
      </c>
      <c r="D495" s="5" t="s">
        <v>65</v>
      </c>
      <c r="E495" s="5" t="s">
        <v>49</v>
      </c>
      <c r="F495" s="5" t="s">
        <v>19</v>
      </c>
      <c r="G495" s="5" t="s">
        <v>36</v>
      </c>
      <c r="H495" s="5">
        <v>60</v>
      </c>
      <c r="I495" s="6">
        <v>39739</v>
      </c>
      <c r="J495" s="7">
        <v>150855</v>
      </c>
      <c r="K495" s="8">
        <v>0.11</v>
      </c>
      <c r="L495" s="5" t="s">
        <v>21</v>
      </c>
      <c r="M495" s="5" t="s">
        <v>44</v>
      </c>
      <c r="N495" s="6">
        <v>42958</v>
      </c>
    </row>
    <row r="496" spans="1:14" x14ac:dyDescent="0.35">
      <c r="A496" s="5" t="s">
        <v>1044</v>
      </c>
      <c r="B496" s="5" t="s">
        <v>1045</v>
      </c>
      <c r="C496" s="5" t="s">
        <v>131</v>
      </c>
      <c r="D496" s="5" t="s">
        <v>17</v>
      </c>
      <c r="E496" s="5" t="s">
        <v>26</v>
      </c>
      <c r="F496" s="5" t="s">
        <v>19</v>
      </c>
      <c r="G496" s="5" t="s">
        <v>85</v>
      </c>
      <c r="H496" s="5">
        <v>53</v>
      </c>
      <c r="I496" s="6">
        <v>38188</v>
      </c>
      <c r="J496" s="7">
        <v>65702</v>
      </c>
      <c r="K496" s="8">
        <v>0</v>
      </c>
      <c r="L496" s="5" t="s">
        <v>21</v>
      </c>
      <c r="M496" s="5" t="s">
        <v>88</v>
      </c>
      <c r="N496" s="6">
        <v>42958</v>
      </c>
    </row>
    <row r="497" spans="1:14" x14ac:dyDescent="0.35">
      <c r="A497" s="5" t="s">
        <v>1046</v>
      </c>
      <c r="B497" s="5" t="s">
        <v>1047</v>
      </c>
      <c r="C497" s="5" t="s">
        <v>33</v>
      </c>
      <c r="D497" s="5" t="s">
        <v>34</v>
      </c>
      <c r="E497" s="5" t="s">
        <v>49</v>
      </c>
      <c r="F497" s="5" t="s">
        <v>27</v>
      </c>
      <c r="G497" s="5" t="s">
        <v>28</v>
      </c>
      <c r="H497" s="5">
        <v>58</v>
      </c>
      <c r="I497" s="6">
        <v>39367</v>
      </c>
      <c r="J497" s="7">
        <v>162038</v>
      </c>
      <c r="K497" s="8">
        <v>0.24</v>
      </c>
      <c r="L497" s="5" t="s">
        <v>29</v>
      </c>
      <c r="M497" s="5" t="s">
        <v>30</v>
      </c>
      <c r="N497" s="6">
        <v>42958</v>
      </c>
    </row>
    <row r="498" spans="1:14" x14ac:dyDescent="0.35">
      <c r="A498" s="5" t="s">
        <v>1048</v>
      </c>
      <c r="B498" s="5" t="s">
        <v>1049</v>
      </c>
      <c r="C498" s="5" t="s">
        <v>16</v>
      </c>
      <c r="D498" s="5" t="s">
        <v>80</v>
      </c>
      <c r="E498" s="5" t="s">
        <v>18</v>
      </c>
      <c r="F498" s="5" t="s">
        <v>19</v>
      </c>
      <c r="G498" s="5" t="s">
        <v>28</v>
      </c>
      <c r="H498" s="5">
        <v>25</v>
      </c>
      <c r="I498" s="6">
        <v>43930</v>
      </c>
      <c r="J498" s="7">
        <v>157057</v>
      </c>
      <c r="K498" s="8">
        <v>0.1</v>
      </c>
      <c r="L498" s="5" t="s">
        <v>21</v>
      </c>
      <c r="M498" s="5" t="s">
        <v>88</v>
      </c>
      <c r="N498" s="6">
        <v>42958</v>
      </c>
    </row>
    <row r="499" spans="1:14" x14ac:dyDescent="0.35">
      <c r="A499" s="5" t="s">
        <v>1050</v>
      </c>
      <c r="B499" s="5" t="s">
        <v>1051</v>
      </c>
      <c r="C499" s="5" t="s">
        <v>52</v>
      </c>
      <c r="D499" s="5" t="s">
        <v>17</v>
      </c>
      <c r="E499" s="5" t="s">
        <v>18</v>
      </c>
      <c r="F499" s="5" t="s">
        <v>27</v>
      </c>
      <c r="G499" s="5" t="s">
        <v>36</v>
      </c>
      <c r="H499" s="5">
        <v>46</v>
      </c>
      <c r="I499" s="6">
        <v>44419</v>
      </c>
      <c r="J499" s="7">
        <v>127559</v>
      </c>
      <c r="K499" s="8">
        <v>0.1</v>
      </c>
      <c r="L499" s="5" t="s">
        <v>21</v>
      </c>
      <c r="M499" s="5" t="s">
        <v>60</v>
      </c>
      <c r="N499" s="6">
        <v>42958</v>
      </c>
    </row>
    <row r="500" spans="1:14" x14ac:dyDescent="0.35">
      <c r="A500" s="5" t="s">
        <v>1052</v>
      </c>
      <c r="B500" s="5" t="s">
        <v>1053</v>
      </c>
      <c r="C500" s="5" t="s">
        <v>175</v>
      </c>
      <c r="D500" s="5" t="s">
        <v>69</v>
      </c>
      <c r="E500" s="5" t="s">
        <v>49</v>
      </c>
      <c r="F500" s="5" t="s">
        <v>19</v>
      </c>
      <c r="G500" s="5" t="s">
        <v>36</v>
      </c>
      <c r="H500" s="5">
        <v>39</v>
      </c>
      <c r="I500" s="6">
        <v>43536</v>
      </c>
      <c r="J500" s="7">
        <v>62644</v>
      </c>
      <c r="K500" s="8">
        <v>0</v>
      </c>
      <c r="L500" s="5" t="s">
        <v>21</v>
      </c>
      <c r="M500" s="5" t="s">
        <v>22</v>
      </c>
      <c r="N500" s="6">
        <v>42958</v>
      </c>
    </row>
    <row r="501" spans="1:14" x14ac:dyDescent="0.35">
      <c r="A501" s="5" t="s">
        <v>1054</v>
      </c>
      <c r="B501" s="5" t="s">
        <v>1055</v>
      </c>
      <c r="C501" s="5" t="s">
        <v>248</v>
      </c>
      <c r="D501" s="5" t="s">
        <v>17</v>
      </c>
      <c r="E501" s="5" t="s">
        <v>26</v>
      </c>
      <c r="F501" s="5" t="s">
        <v>27</v>
      </c>
      <c r="G501" s="5" t="s">
        <v>28</v>
      </c>
      <c r="H501" s="5">
        <v>50</v>
      </c>
      <c r="I501" s="6">
        <v>36956</v>
      </c>
      <c r="J501" s="7">
        <v>73907</v>
      </c>
      <c r="K501" s="8">
        <v>0</v>
      </c>
      <c r="L501" s="5" t="s">
        <v>29</v>
      </c>
      <c r="M501" s="5" t="s">
        <v>74</v>
      </c>
      <c r="N501" s="6">
        <v>42958</v>
      </c>
    </row>
    <row r="502" spans="1:14" x14ac:dyDescent="0.35">
      <c r="A502" s="5" t="s">
        <v>1056</v>
      </c>
      <c r="B502" s="5" t="s">
        <v>1057</v>
      </c>
      <c r="C502" s="5" t="s">
        <v>43</v>
      </c>
      <c r="D502" s="5" t="s">
        <v>59</v>
      </c>
      <c r="E502" s="5" t="s">
        <v>26</v>
      </c>
      <c r="F502" s="5" t="s">
        <v>19</v>
      </c>
      <c r="G502" s="5" t="s">
        <v>36</v>
      </c>
      <c r="H502" s="5">
        <v>56</v>
      </c>
      <c r="I502" s="6">
        <v>43169</v>
      </c>
      <c r="J502" s="7">
        <v>90040</v>
      </c>
      <c r="K502" s="8">
        <v>0</v>
      </c>
      <c r="L502" s="5" t="s">
        <v>21</v>
      </c>
      <c r="M502" s="5" t="s">
        <v>37</v>
      </c>
      <c r="N502" s="6">
        <v>42958</v>
      </c>
    </row>
    <row r="503" spans="1:14" x14ac:dyDescent="0.35">
      <c r="A503" s="5" t="s">
        <v>1058</v>
      </c>
      <c r="B503" s="5" t="s">
        <v>1059</v>
      </c>
      <c r="C503" s="5" t="s">
        <v>277</v>
      </c>
      <c r="D503" s="5" t="s">
        <v>69</v>
      </c>
      <c r="E503" s="5" t="s">
        <v>26</v>
      </c>
      <c r="F503" s="5" t="s">
        <v>19</v>
      </c>
      <c r="G503" s="5" t="s">
        <v>85</v>
      </c>
      <c r="H503" s="5">
        <v>30</v>
      </c>
      <c r="I503" s="6">
        <v>42516</v>
      </c>
      <c r="J503" s="7">
        <v>91134</v>
      </c>
      <c r="K503" s="8">
        <v>0</v>
      </c>
      <c r="L503" s="5" t="s">
        <v>93</v>
      </c>
      <c r="M503" s="5" t="s">
        <v>218</v>
      </c>
      <c r="N503" s="6">
        <v>42958</v>
      </c>
    </row>
    <row r="504" spans="1:14" x14ac:dyDescent="0.35">
      <c r="A504" s="5" t="s">
        <v>1060</v>
      </c>
      <c r="B504" s="5" t="s">
        <v>1061</v>
      </c>
      <c r="C504" s="5" t="s">
        <v>79</v>
      </c>
      <c r="D504" s="5" t="s">
        <v>65</v>
      </c>
      <c r="E504" s="5" t="s">
        <v>35</v>
      </c>
      <c r="F504" s="5" t="s">
        <v>19</v>
      </c>
      <c r="G504" s="5" t="s">
        <v>28</v>
      </c>
      <c r="H504" s="5">
        <v>45</v>
      </c>
      <c r="I504" s="6">
        <v>44461</v>
      </c>
      <c r="J504" s="7">
        <v>201396</v>
      </c>
      <c r="K504" s="8">
        <v>0.32</v>
      </c>
      <c r="L504" s="5" t="s">
        <v>21</v>
      </c>
      <c r="M504" s="5" t="s">
        <v>56</v>
      </c>
      <c r="N504" s="6">
        <v>42958</v>
      </c>
    </row>
    <row r="505" spans="1:14" x14ac:dyDescent="0.35">
      <c r="A505" s="5" t="s">
        <v>1062</v>
      </c>
      <c r="B505" s="5" t="s">
        <v>1063</v>
      </c>
      <c r="C505" s="5" t="s">
        <v>55</v>
      </c>
      <c r="D505" s="5" t="s">
        <v>59</v>
      </c>
      <c r="E505" s="5" t="s">
        <v>49</v>
      </c>
      <c r="F505" s="5" t="s">
        <v>19</v>
      </c>
      <c r="G505" s="5" t="s">
        <v>28</v>
      </c>
      <c r="H505" s="5">
        <v>55</v>
      </c>
      <c r="I505" s="6">
        <v>40899</v>
      </c>
      <c r="J505" s="7">
        <v>54733</v>
      </c>
      <c r="K505" s="8">
        <v>0</v>
      </c>
      <c r="L505" s="5" t="s">
        <v>29</v>
      </c>
      <c r="M505" s="5" t="s">
        <v>30</v>
      </c>
      <c r="N505" s="6">
        <v>42958</v>
      </c>
    </row>
    <row r="506" spans="1:14" x14ac:dyDescent="0.35">
      <c r="A506" s="5" t="s">
        <v>1064</v>
      </c>
      <c r="B506" s="5" t="s">
        <v>1065</v>
      </c>
      <c r="C506" s="5" t="s">
        <v>299</v>
      </c>
      <c r="D506" s="5" t="s">
        <v>17</v>
      </c>
      <c r="E506" s="5" t="s">
        <v>49</v>
      </c>
      <c r="F506" s="5" t="s">
        <v>27</v>
      </c>
      <c r="G506" s="5" t="s">
        <v>20</v>
      </c>
      <c r="H506" s="5">
        <v>28</v>
      </c>
      <c r="I506" s="6">
        <v>43633</v>
      </c>
      <c r="J506" s="7">
        <v>65341</v>
      </c>
      <c r="K506" s="8">
        <v>0</v>
      </c>
      <c r="L506" s="5" t="s">
        <v>21</v>
      </c>
      <c r="M506" s="5" t="s">
        <v>56</v>
      </c>
      <c r="N506" s="6">
        <v>44662</v>
      </c>
    </row>
    <row r="507" spans="1:14" x14ac:dyDescent="0.35">
      <c r="A507" s="5" t="s">
        <v>1066</v>
      </c>
      <c r="B507" s="5" t="s">
        <v>1067</v>
      </c>
      <c r="C507" s="5" t="s">
        <v>16</v>
      </c>
      <c r="D507" s="5" t="s">
        <v>34</v>
      </c>
      <c r="E507" s="5" t="s">
        <v>49</v>
      </c>
      <c r="F507" s="5" t="s">
        <v>19</v>
      </c>
      <c r="G507" s="5" t="s">
        <v>20</v>
      </c>
      <c r="H507" s="5">
        <v>59</v>
      </c>
      <c r="I507" s="6">
        <v>43400</v>
      </c>
      <c r="J507" s="7">
        <v>139208</v>
      </c>
      <c r="K507" s="8">
        <v>0.11</v>
      </c>
      <c r="L507" s="5" t="s">
        <v>21</v>
      </c>
      <c r="M507" s="5" t="s">
        <v>60</v>
      </c>
      <c r="N507" s="6">
        <v>44662</v>
      </c>
    </row>
    <row r="508" spans="1:14" x14ac:dyDescent="0.35">
      <c r="A508" s="5" t="s">
        <v>1068</v>
      </c>
      <c r="B508" s="5" t="s">
        <v>1069</v>
      </c>
      <c r="C508" s="5" t="s">
        <v>43</v>
      </c>
      <c r="D508" s="5" t="s">
        <v>48</v>
      </c>
      <c r="E508" s="5" t="s">
        <v>35</v>
      </c>
      <c r="F508" s="5" t="s">
        <v>27</v>
      </c>
      <c r="G508" s="5" t="s">
        <v>28</v>
      </c>
      <c r="H508" s="5">
        <v>63</v>
      </c>
      <c r="I508" s="6">
        <v>43171</v>
      </c>
      <c r="J508" s="7">
        <v>73200</v>
      </c>
      <c r="K508" s="8">
        <v>0</v>
      </c>
      <c r="L508" s="5" t="s">
        <v>29</v>
      </c>
      <c r="M508" s="5" t="s">
        <v>74</v>
      </c>
      <c r="N508" s="6">
        <v>44662</v>
      </c>
    </row>
    <row r="509" spans="1:14" x14ac:dyDescent="0.35">
      <c r="A509" s="5" t="s">
        <v>1070</v>
      </c>
      <c r="B509" s="5" t="s">
        <v>1071</v>
      </c>
      <c r="C509" s="5" t="s">
        <v>52</v>
      </c>
      <c r="D509" s="5" t="s">
        <v>59</v>
      </c>
      <c r="E509" s="5" t="s">
        <v>35</v>
      </c>
      <c r="F509" s="5" t="s">
        <v>19</v>
      </c>
      <c r="G509" s="5" t="s">
        <v>85</v>
      </c>
      <c r="H509" s="5">
        <v>46</v>
      </c>
      <c r="I509" s="6">
        <v>40292</v>
      </c>
      <c r="J509" s="7">
        <v>102636</v>
      </c>
      <c r="K509" s="8">
        <v>0.06</v>
      </c>
      <c r="L509" s="5" t="s">
        <v>21</v>
      </c>
      <c r="M509" s="5" t="s">
        <v>22</v>
      </c>
      <c r="N509" s="6">
        <v>44662</v>
      </c>
    </row>
    <row r="510" spans="1:14" x14ac:dyDescent="0.35">
      <c r="A510" s="5" t="s">
        <v>1072</v>
      </c>
      <c r="B510" s="5" t="s">
        <v>1073</v>
      </c>
      <c r="C510" s="5" t="s">
        <v>294</v>
      </c>
      <c r="D510" s="5" t="s">
        <v>48</v>
      </c>
      <c r="E510" s="5" t="s">
        <v>35</v>
      </c>
      <c r="F510" s="5" t="s">
        <v>19</v>
      </c>
      <c r="G510" s="5" t="s">
        <v>85</v>
      </c>
      <c r="H510" s="5">
        <v>26</v>
      </c>
      <c r="I510" s="6">
        <v>44236</v>
      </c>
      <c r="J510" s="7">
        <v>87427</v>
      </c>
      <c r="K510" s="8">
        <v>0</v>
      </c>
      <c r="L510" s="5" t="s">
        <v>93</v>
      </c>
      <c r="M510" s="5" t="s">
        <v>218</v>
      </c>
      <c r="N510" s="6">
        <v>44662</v>
      </c>
    </row>
    <row r="511" spans="1:14" x14ac:dyDescent="0.35">
      <c r="A511" s="5" t="s">
        <v>1074</v>
      </c>
      <c r="B511" s="5" t="s">
        <v>1075</v>
      </c>
      <c r="C511" s="5" t="s">
        <v>119</v>
      </c>
      <c r="D511" s="5" t="s">
        <v>17</v>
      </c>
      <c r="E511" s="5" t="s">
        <v>18</v>
      </c>
      <c r="F511" s="5" t="s">
        <v>27</v>
      </c>
      <c r="G511" s="5" t="s">
        <v>36</v>
      </c>
      <c r="H511" s="5">
        <v>45</v>
      </c>
      <c r="I511" s="6">
        <v>43248</v>
      </c>
      <c r="J511" s="7">
        <v>49219</v>
      </c>
      <c r="K511" s="8">
        <v>0</v>
      </c>
      <c r="L511" s="5" t="s">
        <v>21</v>
      </c>
      <c r="M511" s="5" t="s">
        <v>88</v>
      </c>
      <c r="N511" s="6">
        <v>44662</v>
      </c>
    </row>
    <row r="512" spans="1:14" x14ac:dyDescent="0.35">
      <c r="A512" s="5" t="s">
        <v>1076</v>
      </c>
      <c r="B512" s="5" t="s">
        <v>624</v>
      </c>
      <c r="C512" s="5" t="s">
        <v>52</v>
      </c>
      <c r="D512" s="5" t="s">
        <v>34</v>
      </c>
      <c r="E512" s="5" t="s">
        <v>26</v>
      </c>
      <c r="F512" s="5" t="s">
        <v>27</v>
      </c>
      <c r="G512" s="5" t="s">
        <v>28</v>
      </c>
      <c r="H512" s="5">
        <v>50</v>
      </c>
      <c r="I512" s="6">
        <v>43239</v>
      </c>
      <c r="J512" s="7">
        <v>106437</v>
      </c>
      <c r="K512" s="8">
        <v>7.0000000000000007E-2</v>
      </c>
      <c r="L512" s="5" t="s">
        <v>29</v>
      </c>
      <c r="M512" s="5" t="s">
        <v>30</v>
      </c>
      <c r="N512" s="6">
        <v>44662</v>
      </c>
    </row>
    <row r="513" spans="1:14" x14ac:dyDescent="0.35">
      <c r="A513" s="5" t="s">
        <v>1077</v>
      </c>
      <c r="B513" s="5" t="s">
        <v>1078</v>
      </c>
      <c r="C513" s="5" t="s">
        <v>124</v>
      </c>
      <c r="D513" s="5" t="s">
        <v>34</v>
      </c>
      <c r="E513" s="5" t="s">
        <v>26</v>
      </c>
      <c r="F513" s="5" t="s">
        <v>27</v>
      </c>
      <c r="G513" s="5" t="s">
        <v>85</v>
      </c>
      <c r="H513" s="5">
        <v>46</v>
      </c>
      <c r="I513" s="6">
        <v>42129</v>
      </c>
      <c r="J513" s="7">
        <v>64364</v>
      </c>
      <c r="K513" s="8">
        <v>0</v>
      </c>
      <c r="L513" s="5" t="s">
        <v>93</v>
      </c>
      <c r="M513" s="5" t="s">
        <v>218</v>
      </c>
      <c r="N513" s="6">
        <v>44662</v>
      </c>
    </row>
    <row r="514" spans="1:14" x14ac:dyDescent="0.35">
      <c r="A514" s="5" t="s">
        <v>1079</v>
      </c>
      <c r="B514" s="5" t="s">
        <v>1080</v>
      </c>
      <c r="C514" s="5" t="s">
        <v>33</v>
      </c>
      <c r="D514" s="5" t="s">
        <v>65</v>
      </c>
      <c r="E514" s="5" t="s">
        <v>26</v>
      </c>
      <c r="F514" s="5" t="s">
        <v>27</v>
      </c>
      <c r="G514" s="5" t="s">
        <v>36</v>
      </c>
      <c r="H514" s="5">
        <v>50</v>
      </c>
      <c r="I514" s="6">
        <v>44486</v>
      </c>
      <c r="J514" s="7">
        <v>172180</v>
      </c>
      <c r="K514" s="8">
        <v>0.3</v>
      </c>
      <c r="L514" s="5" t="s">
        <v>21</v>
      </c>
      <c r="M514" s="5" t="s">
        <v>88</v>
      </c>
      <c r="N514" s="6">
        <v>44662</v>
      </c>
    </row>
    <row r="515" spans="1:14" x14ac:dyDescent="0.35">
      <c r="A515" s="5" t="s">
        <v>1081</v>
      </c>
      <c r="B515" s="5" t="s">
        <v>1082</v>
      </c>
      <c r="C515" s="5" t="s">
        <v>43</v>
      </c>
      <c r="D515" s="5" t="s">
        <v>48</v>
      </c>
      <c r="E515" s="5" t="s">
        <v>26</v>
      </c>
      <c r="F515" s="5" t="s">
        <v>19</v>
      </c>
      <c r="G515" s="5" t="s">
        <v>85</v>
      </c>
      <c r="H515" s="5">
        <v>33</v>
      </c>
      <c r="I515" s="6">
        <v>41043</v>
      </c>
      <c r="J515" s="7">
        <v>88343</v>
      </c>
      <c r="K515" s="8">
        <v>0</v>
      </c>
      <c r="L515" s="5" t="s">
        <v>93</v>
      </c>
      <c r="M515" s="5" t="s">
        <v>99</v>
      </c>
      <c r="N515" s="6">
        <v>44662</v>
      </c>
    </row>
    <row r="516" spans="1:14" x14ac:dyDescent="0.35">
      <c r="A516" s="5" t="s">
        <v>1083</v>
      </c>
      <c r="B516" s="5" t="s">
        <v>1084</v>
      </c>
      <c r="C516" s="5" t="s">
        <v>372</v>
      </c>
      <c r="D516" s="5" t="s">
        <v>17</v>
      </c>
      <c r="E516" s="5" t="s">
        <v>35</v>
      </c>
      <c r="F516" s="5" t="s">
        <v>27</v>
      </c>
      <c r="G516" s="5" t="s">
        <v>85</v>
      </c>
      <c r="H516" s="5">
        <v>57</v>
      </c>
      <c r="I516" s="6">
        <v>41830</v>
      </c>
      <c r="J516" s="7">
        <v>66649</v>
      </c>
      <c r="K516" s="8">
        <v>0</v>
      </c>
      <c r="L516" s="5" t="s">
        <v>93</v>
      </c>
      <c r="M516" s="5" t="s">
        <v>99</v>
      </c>
      <c r="N516" s="6">
        <v>44662</v>
      </c>
    </row>
    <row r="517" spans="1:14" x14ac:dyDescent="0.35">
      <c r="A517" s="5" t="s">
        <v>158</v>
      </c>
      <c r="B517" s="5" t="s">
        <v>1085</v>
      </c>
      <c r="C517" s="5" t="s">
        <v>52</v>
      </c>
      <c r="D517" s="5" t="s">
        <v>34</v>
      </c>
      <c r="E517" s="5" t="s">
        <v>49</v>
      </c>
      <c r="F517" s="5" t="s">
        <v>19</v>
      </c>
      <c r="G517" s="5" t="s">
        <v>36</v>
      </c>
      <c r="H517" s="5">
        <v>48</v>
      </c>
      <c r="I517" s="6">
        <v>36272</v>
      </c>
      <c r="J517" s="7">
        <v>102847</v>
      </c>
      <c r="K517" s="8">
        <v>0.05</v>
      </c>
      <c r="L517" s="5" t="s">
        <v>21</v>
      </c>
      <c r="M517" s="5" t="s">
        <v>37</v>
      </c>
      <c r="N517" s="6">
        <v>44662</v>
      </c>
    </row>
    <row r="518" spans="1:14" x14ac:dyDescent="0.35">
      <c r="A518" s="5" t="s">
        <v>1086</v>
      </c>
      <c r="B518" s="5" t="s">
        <v>1087</v>
      </c>
      <c r="C518" s="5" t="s">
        <v>16</v>
      </c>
      <c r="D518" s="5" t="s">
        <v>34</v>
      </c>
      <c r="E518" s="5" t="s">
        <v>26</v>
      </c>
      <c r="F518" s="5" t="s">
        <v>27</v>
      </c>
      <c r="G518" s="5" t="s">
        <v>85</v>
      </c>
      <c r="H518" s="5">
        <v>46</v>
      </c>
      <c r="I518" s="6">
        <v>40378</v>
      </c>
      <c r="J518" s="7">
        <v>134881</v>
      </c>
      <c r="K518" s="8">
        <v>0.15</v>
      </c>
      <c r="L518" s="5" t="s">
        <v>93</v>
      </c>
      <c r="M518" s="5" t="s">
        <v>94</v>
      </c>
      <c r="N518" s="6">
        <v>44662</v>
      </c>
    </row>
    <row r="519" spans="1:14" x14ac:dyDescent="0.35">
      <c r="A519" s="5" t="s">
        <v>1088</v>
      </c>
      <c r="B519" s="5" t="s">
        <v>1089</v>
      </c>
      <c r="C519" s="5" t="s">
        <v>124</v>
      </c>
      <c r="D519" s="5" t="s">
        <v>80</v>
      </c>
      <c r="E519" s="5" t="s">
        <v>26</v>
      </c>
      <c r="F519" s="5" t="s">
        <v>27</v>
      </c>
      <c r="G519" s="5" t="s">
        <v>28</v>
      </c>
      <c r="H519" s="5">
        <v>52</v>
      </c>
      <c r="I519" s="6">
        <v>36303</v>
      </c>
      <c r="J519" s="7">
        <v>68807</v>
      </c>
      <c r="K519" s="8">
        <v>0</v>
      </c>
      <c r="L519" s="5" t="s">
        <v>29</v>
      </c>
      <c r="M519" s="5" t="s">
        <v>134</v>
      </c>
      <c r="N519" s="6">
        <v>42338</v>
      </c>
    </row>
    <row r="520" spans="1:14" x14ac:dyDescent="0.35">
      <c r="A520" s="5" t="s">
        <v>1090</v>
      </c>
      <c r="B520" s="5" t="s">
        <v>1091</v>
      </c>
      <c r="C520" s="5" t="s">
        <v>79</v>
      </c>
      <c r="D520" s="5" t="s">
        <v>17</v>
      </c>
      <c r="E520" s="5" t="s">
        <v>26</v>
      </c>
      <c r="F520" s="5" t="s">
        <v>27</v>
      </c>
      <c r="G520" s="5" t="s">
        <v>36</v>
      </c>
      <c r="H520" s="5">
        <v>56</v>
      </c>
      <c r="I520" s="6">
        <v>38866</v>
      </c>
      <c r="J520" s="7">
        <v>228822</v>
      </c>
      <c r="K520" s="8">
        <v>0.36</v>
      </c>
      <c r="L520" s="5" t="s">
        <v>21</v>
      </c>
      <c r="M520" s="5" t="s">
        <v>56</v>
      </c>
      <c r="N520" s="6">
        <v>42338</v>
      </c>
    </row>
    <row r="521" spans="1:14" x14ac:dyDescent="0.35">
      <c r="A521" s="5" t="s">
        <v>1092</v>
      </c>
      <c r="B521" s="5" t="s">
        <v>1093</v>
      </c>
      <c r="C521" s="5" t="s">
        <v>55</v>
      </c>
      <c r="D521" s="5" t="s">
        <v>80</v>
      </c>
      <c r="E521" s="5" t="s">
        <v>26</v>
      </c>
      <c r="F521" s="5" t="s">
        <v>27</v>
      </c>
      <c r="G521" s="5" t="s">
        <v>36</v>
      </c>
      <c r="H521" s="5">
        <v>28</v>
      </c>
      <c r="I521" s="6">
        <v>44395</v>
      </c>
      <c r="J521" s="7">
        <v>43391</v>
      </c>
      <c r="K521" s="8">
        <v>0</v>
      </c>
      <c r="L521" s="5" t="s">
        <v>21</v>
      </c>
      <c r="M521" s="5" t="s">
        <v>88</v>
      </c>
      <c r="N521" s="6">
        <v>42338</v>
      </c>
    </row>
    <row r="522" spans="1:14" x14ac:dyDescent="0.35">
      <c r="A522" s="5" t="s">
        <v>1094</v>
      </c>
      <c r="B522" s="5" t="s">
        <v>1095</v>
      </c>
      <c r="C522" s="5" t="s">
        <v>108</v>
      </c>
      <c r="D522" s="5" t="s">
        <v>69</v>
      </c>
      <c r="E522" s="5" t="s">
        <v>35</v>
      </c>
      <c r="F522" s="5" t="s">
        <v>27</v>
      </c>
      <c r="G522" s="5" t="s">
        <v>28</v>
      </c>
      <c r="H522" s="5">
        <v>29</v>
      </c>
      <c r="I522" s="6">
        <v>44515</v>
      </c>
      <c r="J522" s="7">
        <v>91782</v>
      </c>
      <c r="K522" s="8">
        <v>0</v>
      </c>
      <c r="L522" s="5" t="s">
        <v>29</v>
      </c>
      <c r="M522" s="5" t="s">
        <v>30</v>
      </c>
      <c r="N522" s="6">
        <v>42338</v>
      </c>
    </row>
    <row r="523" spans="1:14" x14ac:dyDescent="0.35">
      <c r="A523" s="5" t="s">
        <v>1096</v>
      </c>
      <c r="B523" s="5" t="s">
        <v>1097</v>
      </c>
      <c r="C523" s="5" t="s">
        <v>79</v>
      </c>
      <c r="D523" s="5" t="s">
        <v>80</v>
      </c>
      <c r="E523" s="5" t="s">
        <v>49</v>
      </c>
      <c r="F523" s="5" t="s">
        <v>19</v>
      </c>
      <c r="G523" s="5" t="s">
        <v>28</v>
      </c>
      <c r="H523" s="5">
        <v>45</v>
      </c>
      <c r="I523" s="6">
        <v>42428</v>
      </c>
      <c r="J523" s="7">
        <v>211637</v>
      </c>
      <c r="K523" s="8">
        <v>0.31</v>
      </c>
      <c r="L523" s="5" t="s">
        <v>21</v>
      </c>
      <c r="M523" s="5" t="s">
        <v>37</v>
      </c>
      <c r="N523" s="6">
        <v>42338</v>
      </c>
    </row>
    <row r="524" spans="1:14" x14ac:dyDescent="0.35">
      <c r="A524" s="5" t="s">
        <v>210</v>
      </c>
      <c r="B524" s="5" t="s">
        <v>1098</v>
      </c>
      <c r="C524" s="5" t="s">
        <v>40</v>
      </c>
      <c r="D524" s="5" t="s">
        <v>17</v>
      </c>
      <c r="E524" s="5" t="s">
        <v>26</v>
      </c>
      <c r="F524" s="5" t="s">
        <v>27</v>
      </c>
      <c r="G524" s="5" t="s">
        <v>36</v>
      </c>
      <c r="H524" s="5">
        <v>28</v>
      </c>
      <c r="I524" s="6">
        <v>44051</v>
      </c>
      <c r="J524" s="7">
        <v>73255</v>
      </c>
      <c r="K524" s="8">
        <v>0.09</v>
      </c>
      <c r="L524" s="5" t="s">
        <v>21</v>
      </c>
      <c r="M524" s="5" t="s">
        <v>44</v>
      </c>
      <c r="N524" s="6">
        <v>42338</v>
      </c>
    </row>
    <row r="525" spans="1:14" x14ac:dyDescent="0.35">
      <c r="A525" s="5" t="s">
        <v>1099</v>
      </c>
      <c r="B525" s="5" t="s">
        <v>1100</v>
      </c>
      <c r="C525" s="5" t="s">
        <v>52</v>
      </c>
      <c r="D525" s="5" t="s">
        <v>48</v>
      </c>
      <c r="E525" s="5" t="s">
        <v>49</v>
      </c>
      <c r="F525" s="5" t="s">
        <v>27</v>
      </c>
      <c r="G525" s="5" t="s">
        <v>36</v>
      </c>
      <c r="H525" s="5">
        <v>28</v>
      </c>
      <c r="I525" s="6">
        <v>44204</v>
      </c>
      <c r="J525" s="7">
        <v>108826</v>
      </c>
      <c r="K525" s="8">
        <v>0.1</v>
      </c>
      <c r="L525" s="5" t="s">
        <v>21</v>
      </c>
      <c r="M525" s="5" t="s">
        <v>56</v>
      </c>
      <c r="N525" s="6">
        <v>42338</v>
      </c>
    </row>
  </sheetData>
  <conditionalFormatting sqref="F1:F1048576">
    <cfRule type="cellIs" dxfId="38" priority="7" operator="equal">
      <formula>"Female"</formula>
    </cfRule>
  </conditionalFormatting>
  <conditionalFormatting sqref="H2:H1048576">
    <cfRule type="cellIs" dxfId="37" priority="4" operator="greaterThan">
      <formula>45</formula>
    </cfRule>
  </conditionalFormatting>
  <conditionalFormatting sqref="J1:J1048576">
    <cfRule type="dataBar" priority="5">
      <dataBar>
        <cfvo type="min"/>
        <cfvo type="max"/>
        <color rgb="FF638EC6"/>
      </dataBar>
      <extLst>
        <ext xmlns:x14="http://schemas.microsoft.com/office/spreadsheetml/2009/9/main" uri="{B025F937-C7B1-47D3-B67F-A62EFF666E3E}">
          <x14:id>{93A39862-7C94-4E9A-BE55-D1EB405CF549}</x14:id>
        </ext>
      </extLst>
    </cfRule>
  </conditionalFormatting>
  <conditionalFormatting sqref="K1:K1048576">
    <cfRule type="top10" dxfId="36" priority="6" percent="1" rank="20"/>
    <cfRule type="top10" dxfId="35" priority="2" percent="1" rank="10"/>
  </conditionalFormatting>
  <conditionalFormatting sqref="H2:H1048576">
    <cfRule type="cellIs" dxfId="34" priority="3" operator="greaterThan">
      <formula>45</formula>
    </cfRule>
  </conditionalFormatting>
  <conditionalFormatting sqref="H2:H1048576">
    <cfRule type="cellIs" dxfId="33" priority="1" operator="greaterThan">
      <formula>45</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93A39862-7C94-4E9A-BE55-D1EB405CF549}">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4A001-B3E0-4F7B-8FBF-4D2C62D1703E}">
  <sheetPr codeName="Sheet2"/>
  <dimension ref="B4:S554"/>
  <sheetViews>
    <sheetView topLeftCell="I1" workbookViewId="0">
      <selection activeCell="M7" sqref="M7"/>
    </sheetView>
  </sheetViews>
  <sheetFormatPr defaultRowHeight="14.5" x14ac:dyDescent="0.35"/>
  <cols>
    <col min="2" max="2" width="8.36328125" bestFit="1" customWidth="1"/>
    <col min="3" max="3" width="24.6328125" bestFit="1" customWidth="1"/>
    <col min="4" max="4" width="16.08984375" bestFit="1" customWidth="1"/>
    <col min="5" max="5" width="15.90625" customWidth="1"/>
    <col min="6" max="6" width="12" bestFit="1" customWidth="1"/>
    <col min="8" max="8" width="15.1796875" customWidth="1"/>
    <col min="9" max="9" width="12.36328125" bestFit="1" customWidth="1"/>
    <col min="10" max="10" width="19.36328125" customWidth="1"/>
    <col min="11" max="11" width="25.54296875" customWidth="1"/>
    <col min="12" max="12" width="11.54296875" bestFit="1" customWidth="1"/>
    <col min="14" max="15" width="24.6328125" bestFit="1" customWidth="1"/>
    <col min="16" max="17" width="18.453125" bestFit="1" customWidth="1"/>
    <col min="18" max="18" width="14.54296875" bestFit="1" customWidth="1"/>
    <col min="19" max="19" width="18.81640625" bestFit="1" customWidth="1"/>
    <col min="20" max="20" width="14.54296875" bestFit="1" customWidth="1"/>
    <col min="21" max="21" width="22.54296875" bestFit="1" customWidth="1"/>
    <col min="22" max="22" width="14.54296875" bestFit="1" customWidth="1"/>
    <col min="23" max="23" width="22.54296875" bestFit="1" customWidth="1"/>
    <col min="24" max="24" width="14.54296875" bestFit="1" customWidth="1"/>
    <col min="25" max="25" width="22.54296875" bestFit="1" customWidth="1"/>
    <col min="26" max="26" width="14.54296875" bestFit="1" customWidth="1"/>
    <col min="27" max="27" width="22.54296875" bestFit="1" customWidth="1"/>
    <col min="28" max="28" width="14.54296875" bestFit="1" customWidth="1"/>
    <col min="29" max="29" width="22.54296875" bestFit="1" customWidth="1"/>
    <col min="30" max="30" width="14.54296875" bestFit="1" customWidth="1"/>
    <col min="31" max="31" width="22.54296875" bestFit="1" customWidth="1"/>
    <col min="32" max="32" width="14.54296875" bestFit="1" customWidth="1"/>
    <col min="33" max="33" width="22.54296875" bestFit="1" customWidth="1"/>
    <col min="34" max="34" width="14.54296875" bestFit="1" customWidth="1"/>
    <col min="35" max="35" width="22.54296875" bestFit="1" customWidth="1"/>
    <col min="36" max="36" width="14.54296875" bestFit="1" customWidth="1"/>
    <col min="37" max="37" width="22.54296875" bestFit="1" customWidth="1"/>
    <col min="38" max="38" width="14.54296875" bestFit="1" customWidth="1"/>
    <col min="39" max="39" width="22.54296875" bestFit="1" customWidth="1"/>
    <col min="40" max="40" width="14.54296875" bestFit="1" customWidth="1"/>
    <col min="41" max="41" width="22.54296875" bestFit="1" customWidth="1"/>
    <col min="42" max="42" width="14.54296875" bestFit="1" customWidth="1"/>
    <col min="43" max="43" width="22.54296875" bestFit="1" customWidth="1"/>
    <col min="44" max="44" width="14.54296875" bestFit="1" customWidth="1"/>
    <col min="45" max="45" width="22.54296875" bestFit="1" customWidth="1"/>
    <col min="46" max="46" width="14.54296875" bestFit="1" customWidth="1"/>
    <col min="47" max="47" width="22.54296875" bestFit="1" customWidth="1"/>
    <col min="48" max="48" width="14.54296875" bestFit="1" customWidth="1"/>
    <col min="49" max="49" width="22.54296875" bestFit="1" customWidth="1"/>
    <col min="50" max="50" width="14.54296875" bestFit="1" customWidth="1"/>
    <col min="51" max="51" width="22.54296875" bestFit="1" customWidth="1"/>
    <col min="52" max="52" width="14.54296875" bestFit="1" customWidth="1"/>
    <col min="53" max="53" width="22.54296875" bestFit="1" customWidth="1"/>
    <col min="54" max="54" width="14.54296875" bestFit="1" customWidth="1"/>
    <col min="55" max="55" width="22.54296875" bestFit="1" customWidth="1"/>
    <col min="56" max="56" width="14.54296875" bestFit="1" customWidth="1"/>
    <col min="57" max="57" width="22.54296875" bestFit="1" customWidth="1"/>
    <col min="58" max="58" width="14.54296875" bestFit="1" customWidth="1"/>
    <col min="59" max="59" width="22.54296875" bestFit="1" customWidth="1"/>
    <col min="60" max="60" width="14.54296875" bestFit="1" customWidth="1"/>
    <col min="61" max="61" width="22.54296875" bestFit="1" customWidth="1"/>
    <col min="62" max="62" width="14.54296875" bestFit="1" customWidth="1"/>
    <col min="63" max="63" width="22.54296875" bestFit="1" customWidth="1"/>
    <col min="64" max="64" width="14.54296875" bestFit="1" customWidth="1"/>
    <col min="65" max="65" width="22.54296875" bestFit="1" customWidth="1"/>
    <col min="66" max="66" width="14.54296875" bestFit="1" customWidth="1"/>
    <col min="67" max="67" width="22.54296875" bestFit="1" customWidth="1"/>
    <col min="68" max="68" width="14.54296875" bestFit="1" customWidth="1"/>
    <col min="69" max="69" width="22.54296875" bestFit="1" customWidth="1"/>
    <col min="70" max="70" width="14.54296875" bestFit="1" customWidth="1"/>
    <col min="71" max="71" width="22.54296875" bestFit="1" customWidth="1"/>
    <col min="72" max="72" width="14.54296875" bestFit="1" customWidth="1"/>
    <col min="73" max="73" width="22.54296875" bestFit="1" customWidth="1"/>
    <col min="74" max="74" width="14.54296875" bestFit="1" customWidth="1"/>
    <col min="75" max="75" width="27.36328125" bestFit="1" customWidth="1"/>
    <col min="76" max="76" width="19.36328125" bestFit="1" customWidth="1"/>
    <col min="77" max="77" width="3.81640625" bestFit="1" customWidth="1"/>
    <col min="78" max="78" width="6.54296875" bestFit="1" customWidth="1"/>
    <col min="79" max="79" width="3.81640625" bestFit="1" customWidth="1"/>
    <col min="80" max="80" width="1.81640625" bestFit="1" customWidth="1"/>
    <col min="81" max="81" width="6.54296875" bestFit="1" customWidth="1"/>
    <col min="82" max="82" width="7.54296875" bestFit="1" customWidth="1"/>
    <col min="83" max="83" width="4.6328125" bestFit="1" customWidth="1"/>
    <col min="84" max="85" width="3.81640625" bestFit="1" customWidth="1"/>
    <col min="86" max="86" width="6.54296875" bestFit="1" customWidth="1"/>
    <col min="87" max="87" width="3.6328125" bestFit="1" customWidth="1"/>
    <col min="88" max="92" width="3.81640625" bestFit="1" customWidth="1"/>
    <col min="93" max="93" width="6.54296875" bestFit="1" customWidth="1"/>
    <col min="94" max="94" width="7.54296875" bestFit="1" customWidth="1"/>
    <col min="95" max="95" width="4.6328125" bestFit="1" customWidth="1"/>
    <col min="96" max="97" width="3.81640625" bestFit="1" customWidth="1"/>
    <col min="98" max="98" width="6.54296875" bestFit="1" customWidth="1"/>
    <col min="99" max="99" width="3.6328125" bestFit="1" customWidth="1"/>
    <col min="100" max="105" width="3.81640625" bestFit="1" customWidth="1"/>
    <col min="106" max="106" width="6.54296875" bestFit="1" customWidth="1"/>
    <col min="107" max="107" width="7.54296875" bestFit="1" customWidth="1"/>
    <col min="108" max="108" width="4.6328125" bestFit="1" customWidth="1"/>
    <col min="109" max="109" width="3.81640625" bestFit="1" customWidth="1"/>
    <col min="110" max="110" width="6.54296875" bestFit="1" customWidth="1"/>
    <col min="111" max="111" width="3.81640625" bestFit="1" customWidth="1"/>
    <col min="112" max="112" width="6.54296875" bestFit="1" customWidth="1"/>
    <col min="113" max="113" width="3.6328125" bestFit="1" customWidth="1"/>
    <col min="114" max="117" width="3.81640625" bestFit="1" customWidth="1"/>
    <col min="118" max="118" width="6.54296875" bestFit="1" customWidth="1"/>
    <col min="119" max="119" width="7.54296875" bestFit="1" customWidth="1"/>
    <col min="120" max="120" width="4.6328125" bestFit="1" customWidth="1"/>
    <col min="121" max="122" width="3.81640625" bestFit="1" customWidth="1"/>
    <col min="123" max="123" width="6.54296875" bestFit="1" customWidth="1"/>
    <col min="124" max="124" width="3.6328125" bestFit="1" customWidth="1"/>
    <col min="125" max="125" width="6.54296875" bestFit="1" customWidth="1"/>
    <col min="126" max="126" width="7.54296875" bestFit="1" customWidth="1"/>
    <col min="127" max="127" width="4.6328125" bestFit="1" customWidth="1"/>
    <col min="128" max="128" width="1.81640625" bestFit="1" customWidth="1"/>
    <col min="129" max="130" width="3.81640625" bestFit="1" customWidth="1"/>
    <col min="131" max="131" width="6.54296875" bestFit="1" customWidth="1"/>
    <col min="132" max="132" width="3.6328125" bestFit="1" customWidth="1"/>
    <col min="133" max="133" width="6.54296875" bestFit="1" customWidth="1"/>
    <col min="134" max="134" width="7.54296875" bestFit="1" customWidth="1"/>
    <col min="135" max="135" width="4.6328125" bestFit="1" customWidth="1"/>
    <col min="136" max="136" width="6.54296875" bestFit="1" customWidth="1"/>
    <col min="137" max="138" width="3.81640625" bestFit="1" customWidth="1"/>
    <col min="139" max="139" width="1.81640625" bestFit="1" customWidth="1"/>
    <col min="140" max="141" width="3.81640625" bestFit="1" customWidth="1"/>
    <col min="142" max="142" width="6.54296875" bestFit="1" customWidth="1"/>
    <col min="143" max="143" width="7.54296875" bestFit="1" customWidth="1"/>
    <col min="144" max="144" width="4.6328125" bestFit="1" customWidth="1"/>
    <col min="145" max="145" width="3.81640625" bestFit="1" customWidth="1"/>
    <col min="146" max="146" width="1.81640625" bestFit="1" customWidth="1"/>
    <col min="147" max="147" width="3.81640625" bestFit="1" customWidth="1"/>
    <col min="148" max="148" width="6.54296875" bestFit="1" customWidth="1"/>
    <col min="149" max="149" width="7.54296875" bestFit="1" customWidth="1"/>
    <col min="150" max="150" width="4.6328125" bestFit="1" customWidth="1"/>
    <col min="151" max="151" width="3.81640625" bestFit="1" customWidth="1"/>
    <col min="152" max="152" width="6.54296875" bestFit="1" customWidth="1"/>
    <col min="153" max="155" width="3.81640625" bestFit="1" customWidth="1"/>
    <col min="156" max="156" width="1.81640625" bestFit="1" customWidth="1"/>
    <col min="157" max="157" width="3.81640625" bestFit="1" customWidth="1"/>
    <col min="158" max="158" width="6.54296875" bestFit="1" customWidth="1"/>
    <col min="159" max="159" width="3.6328125" bestFit="1" customWidth="1"/>
    <col min="160" max="160" width="6.54296875" bestFit="1" customWidth="1"/>
    <col min="161" max="161" width="7.54296875" bestFit="1" customWidth="1"/>
    <col min="162" max="162" width="4.6328125" bestFit="1" customWidth="1"/>
    <col min="163" max="163" width="3.81640625" bestFit="1" customWidth="1"/>
    <col min="164" max="164" width="6.54296875" bestFit="1" customWidth="1"/>
    <col min="165" max="166" width="3.81640625" bestFit="1" customWidth="1"/>
    <col min="167" max="167" width="1.81640625" bestFit="1" customWidth="1"/>
    <col min="168" max="169" width="3.81640625" bestFit="1" customWidth="1"/>
    <col min="170" max="170" width="6.54296875" bestFit="1" customWidth="1"/>
    <col min="171" max="171" width="7.54296875" bestFit="1" customWidth="1"/>
    <col min="172" max="172" width="4.6328125" bestFit="1" customWidth="1"/>
    <col min="173" max="173" width="3.81640625" bestFit="1" customWidth="1"/>
    <col min="174" max="174" width="6.54296875" bestFit="1" customWidth="1"/>
    <col min="175" max="175" width="3.81640625" bestFit="1" customWidth="1"/>
    <col min="176" max="176" width="1.81640625" bestFit="1" customWidth="1"/>
    <col min="177" max="177" width="3.81640625" bestFit="1" customWidth="1"/>
    <col min="178" max="178" width="6.54296875" bestFit="1" customWidth="1"/>
    <col min="179" max="179" width="3.6328125" bestFit="1" customWidth="1"/>
    <col min="180" max="180" width="3.81640625" bestFit="1" customWidth="1"/>
    <col min="181" max="181" width="6.54296875" bestFit="1" customWidth="1"/>
    <col min="182" max="182" width="7.54296875" bestFit="1" customWidth="1"/>
    <col min="183" max="183" width="4.6328125" bestFit="1" customWidth="1"/>
    <col min="184" max="184" width="3.81640625" bestFit="1" customWidth="1"/>
    <col min="185" max="185" width="6.54296875" bestFit="1" customWidth="1"/>
    <col min="186" max="187" width="3.81640625" bestFit="1" customWidth="1"/>
    <col min="188" max="188" width="1.81640625" bestFit="1" customWidth="1"/>
    <col min="189" max="189" width="6.54296875" bestFit="1" customWidth="1"/>
    <col min="190" max="190" width="7.54296875" bestFit="1" customWidth="1"/>
    <col min="191" max="191" width="4.6328125" bestFit="1" customWidth="1"/>
    <col min="192" max="192" width="6.54296875" bestFit="1" customWidth="1"/>
    <col min="193" max="194" width="3.81640625" bestFit="1" customWidth="1"/>
    <col min="195" max="195" width="1.81640625" bestFit="1" customWidth="1"/>
    <col min="196" max="196" width="3.81640625" bestFit="1" customWidth="1"/>
    <col min="197" max="197" width="6.54296875" bestFit="1" customWidth="1"/>
    <col min="198" max="198" width="7.54296875" bestFit="1" customWidth="1"/>
    <col min="199" max="199" width="4.6328125" bestFit="1" customWidth="1"/>
    <col min="200" max="200" width="1.81640625" bestFit="1" customWidth="1"/>
    <col min="201" max="201" width="6.54296875" bestFit="1" customWidth="1"/>
    <col min="202" max="202" width="7.54296875" bestFit="1" customWidth="1"/>
    <col min="203" max="203" width="4.6328125" bestFit="1" customWidth="1"/>
    <col min="204" max="204" width="1.81640625" bestFit="1" customWidth="1"/>
    <col min="205" max="205" width="6.54296875" bestFit="1" customWidth="1"/>
    <col min="206" max="206" width="7.54296875" bestFit="1" customWidth="1"/>
    <col min="207" max="207" width="4.6328125" bestFit="1" customWidth="1"/>
    <col min="208" max="208" width="6.54296875" bestFit="1" customWidth="1"/>
    <col min="209" max="209" width="7.54296875" bestFit="1" customWidth="1"/>
    <col min="210" max="210" width="4.6328125" bestFit="1" customWidth="1"/>
    <col min="211" max="211" width="6.54296875" bestFit="1" customWidth="1"/>
    <col min="212" max="212" width="7.54296875" bestFit="1" customWidth="1"/>
    <col min="213" max="213" width="4.6328125" bestFit="1" customWidth="1"/>
    <col min="214" max="214" width="6.54296875" bestFit="1" customWidth="1"/>
    <col min="215" max="215" width="7.54296875" bestFit="1" customWidth="1"/>
    <col min="216" max="216" width="4.6328125" bestFit="1" customWidth="1"/>
    <col min="217" max="217" width="6.54296875" bestFit="1" customWidth="1"/>
    <col min="218" max="218" width="7.54296875" bestFit="1" customWidth="1"/>
    <col min="219" max="219" width="4.6328125" bestFit="1" customWidth="1"/>
    <col min="220" max="220" width="6.54296875" bestFit="1" customWidth="1"/>
    <col min="221" max="221" width="7.54296875" bestFit="1" customWidth="1"/>
    <col min="222" max="222" width="4.6328125" bestFit="1" customWidth="1"/>
    <col min="223" max="223" width="6.54296875" bestFit="1" customWidth="1"/>
    <col min="224" max="224" width="7.54296875" bestFit="1" customWidth="1"/>
    <col min="225" max="225" width="4.6328125" bestFit="1" customWidth="1"/>
    <col min="226" max="226" width="6.54296875" bestFit="1" customWidth="1"/>
    <col min="227" max="227" width="7.54296875" bestFit="1" customWidth="1"/>
    <col min="228" max="228" width="4.6328125" bestFit="1" customWidth="1"/>
    <col min="229" max="229" width="3.81640625" bestFit="1" customWidth="1"/>
    <col min="230" max="230" width="6.54296875" bestFit="1" customWidth="1"/>
    <col min="231" max="231" width="7.54296875" bestFit="1" customWidth="1"/>
    <col min="232" max="232" width="8.54296875" bestFit="1" customWidth="1"/>
    <col min="233" max="233" width="11.453125" bestFit="1" customWidth="1"/>
    <col min="234" max="234" width="8.54296875" bestFit="1" customWidth="1"/>
    <col min="235" max="235" width="10.7265625" bestFit="1" customWidth="1"/>
  </cols>
  <sheetData>
    <row r="4" spans="2:19" x14ac:dyDescent="0.35">
      <c r="B4" s="12" t="s">
        <v>1101</v>
      </c>
      <c r="C4" s="13" t="s">
        <v>1102</v>
      </c>
      <c r="D4" s="13" t="s">
        <v>1103</v>
      </c>
      <c r="E4" s="13" t="s">
        <v>1104</v>
      </c>
      <c r="F4" s="13" t="s">
        <v>1105</v>
      </c>
      <c r="G4" s="13" t="s">
        <v>1106</v>
      </c>
      <c r="H4" s="13" t="s">
        <v>1107</v>
      </c>
      <c r="I4" s="13" t="s">
        <v>1108</v>
      </c>
      <c r="J4" s="13" t="s">
        <v>1109</v>
      </c>
      <c r="K4" s="13" t="s">
        <v>1110</v>
      </c>
      <c r="L4" s="13" t="s">
        <v>1111</v>
      </c>
      <c r="M4" s="13" t="s">
        <v>1112</v>
      </c>
    </row>
    <row r="5" spans="2:19" x14ac:dyDescent="0.35">
      <c r="B5" s="11">
        <v>25</v>
      </c>
      <c r="C5" s="11" t="s">
        <v>1113</v>
      </c>
      <c r="D5" s="11">
        <v>29</v>
      </c>
      <c r="E5" s="11">
        <v>4</v>
      </c>
      <c r="F5" s="11">
        <v>2.5</v>
      </c>
      <c r="G5" s="11" t="s">
        <v>1114</v>
      </c>
      <c r="H5" s="11" t="s">
        <v>1115</v>
      </c>
      <c r="I5" s="11">
        <v>36</v>
      </c>
      <c r="J5" s="11" t="s">
        <v>1116</v>
      </c>
      <c r="K5" s="11">
        <v>6</v>
      </c>
      <c r="L5" s="11" t="s">
        <v>1117</v>
      </c>
      <c r="M5" s="11">
        <v>2014</v>
      </c>
    </row>
    <row r="6" spans="2:19" x14ac:dyDescent="0.35">
      <c r="B6" s="11">
        <v>26</v>
      </c>
      <c r="C6" s="11" t="s">
        <v>1113</v>
      </c>
      <c r="D6" s="11">
        <v>30</v>
      </c>
      <c r="E6" s="11">
        <v>4</v>
      </c>
      <c r="F6" s="11">
        <v>2.5</v>
      </c>
      <c r="G6" s="11" t="s">
        <v>1114</v>
      </c>
      <c r="H6" s="11" t="s">
        <v>1115</v>
      </c>
      <c r="I6" s="11">
        <v>37</v>
      </c>
      <c r="J6" s="11" t="s">
        <v>1116</v>
      </c>
      <c r="K6" s="11">
        <v>6</v>
      </c>
      <c r="L6" s="11" t="s">
        <v>1118</v>
      </c>
      <c r="M6" s="11">
        <v>2014</v>
      </c>
      <c r="O6" s="9" t="s">
        <v>1444</v>
      </c>
      <c r="P6" s="9" t="s">
        <v>1446</v>
      </c>
      <c r="R6" s="9" t="s">
        <v>1444</v>
      </c>
      <c r="S6" s="9" t="s">
        <v>1447</v>
      </c>
    </row>
    <row r="7" spans="2:19" x14ac:dyDescent="0.35">
      <c r="B7" s="11">
        <v>25</v>
      </c>
      <c r="C7" s="11" t="s">
        <v>1119</v>
      </c>
      <c r="D7" s="11">
        <v>27</v>
      </c>
      <c r="E7" s="11">
        <v>4</v>
      </c>
      <c r="F7" s="11">
        <v>2.5</v>
      </c>
      <c r="G7" s="11" t="s">
        <v>1114</v>
      </c>
      <c r="H7" s="11" t="s">
        <v>1115</v>
      </c>
      <c r="I7" s="11">
        <v>31</v>
      </c>
      <c r="J7" s="11" t="s">
        <v>1116</v>
      </c>
      <c r="K7" s="11" t="s">
        <v>1120</v>
      </c>
      <c r="L7" s="11" t="s">
        <v>1118</v>
      </c>
      <c r="M7" s="11">
        <v>2014</v>
      </c>
      <c r="O7" s="2" t="s">
        <v>1160</v>
      </c>
      <c r="P7">
        <v>193.60000000000014</v>
      </c>
      <c r="R7" s="2" t="s">
        <v>1217</v>
      </c>
      <c r="S7">
        <v>322</v>
      </c>
    </row>
    <row r="8" spans="2:19" x14ac:dyDescent="0.35">
      <c r="B8" s="11">
        <v>26</v>
      </c>
      <c r="C8" s="11" t="s">
        <v>1119</v>
      </c>
      <c r="D8" s="11">
        <v>29</v>
      </c>
      <c r="E8" s="11">
        <v>4</v>
      </c>
      <c r="F8" s="11">
        <v>2</v>
      </c>
      <c r="G8" s="11" t="s">
        <v>1114</v>
      </c>
      <c r="H8" s="11" t="s">
        <v>1115</v>
      </c>
      <c r="I8" s="11">
        <v>34</v>
      </c>
      <c r="J8" s="11" t="s">
        <v>1116</v>
      </c>
      <c r="K8" s="11" t="s">
        <v>1120</v>
      </c>
      <c r="L8" s="11" t="s">
        <v>1117</v>
      </c>
      <c r="M8" s="11">
        <v>2014</v>
      </c>
      <c r="O8" s="2" t="s">
        <v>1133</v>
      </c>
      <c r="P8">
        <v>52.79999999999999</v>
      </c>
      <c r="R8" s="2" t="s">
        <v>1145</v>
      </c>
      <c r="S8">
        <v>57</v>
      </c>
    </row>
    <row r="9" spans="2:19" x14ac:dyDescent="0.35">
      <c r="B9" s="11">
        <v>26</v>
      </c>
      <c r="C9" s="11" t="s">
        <v>1119</v>
      </c>
      <c r="D9" s="11">
        <v>28</v>
      </c>
      <c r="E9" s="11">
        <v>4</v>
      </c>
      <c r="F9" s="11">
        <v>2</v>
      </c>
      <c r="G9" s="11" t="s">
        <v>1114</v>
      </c>
      <c r="H9" s="11" t="s">
        <v>1115</v>
      </c>
      <c r="I9" s="11">
        <v>32</v>
      </c>
      <c r="J9" s="11" t="s">
        <v>1116</v>
      </c>
      <c r="K9" s="11" t="s">
        <v>1120</v>
      </c>
      <c r="L9" s="11" t="s">
        <v>1118</v>
      </c>
      <c r="M9" s="11">
        <v>2014</v>
      </c>
      <c r="O9" s="2" t="s">
        <v>1113</v>
      </c>
      <c r="P9">
        <v>147.80000000000004</v>
      </c>
      <c r="R9" s="2" t="s">
        <v>1135</v>
      </c>
      <c r="S9">
        <v>867</v>
      </c>
    </row>
    <row r="10" spans="2:19" x14ac:dyDescent="0.35">
      <c r="B10" s="11">
        <v>24</v>
      </c>
      <c r="C10" s="11" t="s">
        <v>1119</v>
      </c>
      <c r="D10" s="11">
        <v>26</v>
      </c>
      <c r="E10" s="11">
        <v>4</v>
      </c>
      <c r="F10" s="11">
        <v>2.5</v>
      </c>
      <c r="G10" s="11" t="s">
        <v>1121</v>
      </c>
      <c r="H10" s="11" t="s">
        <v>1115</v>
      </c>
      <c r="I10" s="11">
        <v>29</v>
      </c>
      <c r="J10" s="11" t="s">
        <v>1116</v>
      </c>
      <c r="K10" s="11" t="s">
        <v>1122</v>
      </c>
      <c r="L10" s="11" t="s">
        <v>1118</v>
      </c>
      <c r="M10" s="11">
        <v>2014</v>
      </c>
      <c r="O10" s="2" t="s">
        <v>1350</v>
      </c>
      <c r="P10">
        <v>5</v>
      </c>
      <c r="R10" s="2" t="s">
        <v>1207</v>
      </c>
      <c r="S10">
        <v>37</v>
      </c>
    </row>
    <row r="11" spans="2:19" x14ac:dyDescent="0.35">
      <c r="B11" s="11">
        <v>25</v>
      </c>
      <c r="C11" s="11" t="s">
        <v>1119</v>
      </c>
      <c r="D11" s="11">
        <v>27</v>
      </c>
      <c r="E11" s="11">
        <v>4</v>
      </c>
      <c r="F11" s="11">
        <v>2</v>
      </c>
      <c r="G11" s="11" t="s">
        <v>1121</v>
      </c>
      <c r="H11" s="11" t="s">
        <v>1115</v>
      </c>
      <c r="I11" s="11">
        <v>30</v>
      </c>
      <c r="J11" s="11" t="s">
        <v>1116</v>
      </c>
      <c r="K11" s="11" t="s">
        <v>1122</v>
      </c>
      <c r="L11" s="11" t="s">
        <v>1118</v>
      </c>
      <c r="M11" s="11">
        <v>2014</v>
      </c>
      <c r="O11" s="2" t="s">
        <v>1144</v>
      </c>
      <c r="P11">
        <v>45.3</v>
      </c>
      <c r="R11" s="2" t="s">
        <v>1232</v>
      </c>
      <c r="S11">
        <v>1956</v>
      </c>
    </row>
    <row r="12" spans="2:19" x14ac:dyDescent="0.35">
      <c r="B12" s="11">
        <v>19</v>
      </c>
      <c r="C12" s="11" t="s">
        <v>1123</v>
      </c>
      <c r="D12" s="11">
        <v>22</v>
      </c>
      <c r="E12" s="11">
        <v>6</v>
      </c>
      <c r="F12" s="11">
        <v>3.7</v>
      </c>
      <c r="G12" s="11" t="s">
        <v>1124</v>
      </c>
      <c r="H12" s="11" t="s">
        <v>1115</v>
      </c>
      <c r="I12" s="11">
        <v>29</v>
      </c>
      <c r="J12" s="11" t="s">
        <v>1125</v>
      </c>
      <c r="K12" s="11" t="s">
        <v>1126</v>
      </c>
      <c r="L12" s="11" t="s">
        <v>1117</v>
      </c>
      <c r="M12" s="11">
        <v>2014</v>
      </c>
      <c r="O12" s="2" t="s">
        <v>1227</v>
      </c>
      <c r="P12">
        <v>27.299999999999997</v>
      </c>
      <c r="R12" s="2" t="s">
        <v>1314</v>
      </c>
      <c r="S12">
        <v>112</v>
      </c>
    </row>
    <row r="13" spans="2:19" x14ac:dyDescent="0.35">
      <c r="B13" s="11">
        <v>19</v>
      </c>
      <c r="C13" s="11" t="s">
        <v>1123</v>
      </c>
      <c r="D13" s="11">
        <v>23</v>
      </c>
      <c r="E13" s="11">
        <v>6</v>
      </c>
      <c r="F13" s="11">
        <v>3.7</v>
      </c>
      <c r="G13" s="11" t="s">
        <v>1124</v>
      </c>
      <c r="H13" s="11" t="s">
        <v>1115</v>
      </c>
      <c r="I13" s="11">
        <v>30</v>
      </c>
      <c r="J13" s="11" t="s">
        <v>1125</v>
      </c>
      <c r="K13" s="11" t="s">
        <v>1126</v>
      </c>
      <c r="L13" s="11" t="s">
        <v>1118</v>
      </c>
      <c r="M13" s="11">
        <v>2014</v>
      </c>
      <c r="O13" s="2" t="s">
        <v>1316</v>
      </c>
      <c r="P13">
        <v>21.8</v>
      </c>
      <c r="R13" s="2" t="s">
        <v>1181</v>
      </c>
      <c r="S13">
        <v>136</v>
      </c>
    </row>
    <row r="14" spans="2:19" x14ac:dyDescent="0.35">
      <c r="B14" s="11">
        <v>15</v>
      </c>
      <c r="C14" s="11" t="s">
        <v>1123</v>
      </c>
      <c r="D14" s="11">
        <v>18</v>
      </c>
      <c r="E14" s="11">
        <v>8</v>
      </c>
      <c r="F14" s="11">
        <v>5.8</v>
      </c>
      <c r="G14" s="11" t="s">
        <v>1124</v>
      </c>
      <c r="H14" s="11" t="s">
        <v>1115</v>
      </c>
      <c r="I14" s="11">
        <v>24</v>
      </c>
      <c r="J14" s="11" t="s">
        <v>1125</v>
      </c>
      <c r="K14" s="11" t="s">
        <v>1126</v>
      </c>
      <c r="L14" s="11" t="s">
        <v>1117</v>
      </c>
      <c r="M14" s="11">
        <v>2014</v>
      </c>
      <c r="O14" s="2" t="s">
        <v>1119</v>
      </c>
      <c r="P14">
        <v>372.00000000000023</v>
      </c>
      <c r="R14" s="2" t="s">
        <v>1175</v>
      </c>
      <c r="S14">
        <v>597</v>
      </c>
    </row>
    <row r="15" spans="2:19" x14ac:dyDescent="0.35">
      <c r="B15" s="11">
        <v>18</v>
      </c>
      <c r="C15" s="11" t="s">
        <v>1123</v>
      </c>
      <c r="D15" s="11">
        <v>20</v>
      </c>
      <c r="E15" s="11">
        <v>8</v>
      </c>
      <c r="F15" s="11">
        <v>5</v>
      </c>
      <c r="G15" s="11" t="s">
        <v>1124</v>
      </c>
      <c r="H15" s="11" t="s">
        <v>1115</v>
      </c>
      <c r="I15" s="11">
        <v>25</v>
      </c>
      <c r="J15" s="11" t="s">
        <v>1125</v>
      </c>
      <c r="K15" s="11" t="s">
        <v>1126</v>
      </c>
      <c r="L15" s="11" t="s">
        <v>1118</v>
      </c>
      <c r="M15" s="11">
        <v>2014</v>
      </c>
      <c r="O15" s="2" t="s">
        <v>1172</v>
      </c>
      <c r="P15">
        <v>21.900000000000002</v>
      </c>
      <c r="R15" s="2" t="s">
        <v>1252</v>
      </c>
      <c r="S15">
        <v>28</v>
      </c>
    </row>
    <row r="16" spans="2:19" x14ac:dyDescent="0.35">
      <c r="B16" s="11">
        <v>22</v>
      </c>
      <c r="C16" s="11" t="s">
        <v>1119</v>
      </c>
      <c r="D16" s="11">
        <v>24</v>
      </c>
      <c r="E16" s="11">
        <v>4</v>
      </c>
      <c r="F16" s="11">
        <v>2.5</v>
      </c>
      <c r="G16" s="11" t="s">
        <v>1127</v>
      </c>
      <c r="H16" s="11" t="s">
        <v>1115</v>
      </c>
      <c r="I16" s="11">
        <v>28</v>
      </c>
      <c r="J16" s="11" t="s">
        <v>1128</v>
      </c>
      <c r="K16" s="11" t="s">
        <v>1129</v>
      </c>
      <c r="L16" s="11" t="s">
        <v>1117</v>
      </c>
      <c r="M16" s="11">
        <v>2014</v>
      </c>
      <c r="O16" s="2" t="s">
        <v>1174</v>
      </c>
      <c r="P16">
        <v>36.1</v>
      </c>
      <c r="R16" s="2" t="s">
        <v>1125</v>
      </c>
      <c r="S16">
        <v>162</v>
      </c>
    </row>
    <row r="17" spans="2:19" x14ac:dyDescent="0.35">
      <c r="B17" s="11">
        <v>24</v>
      </c>
      <c r="C17" s="11" t="s">
        <v>1119</v>
      </c>
      <c r="D17" s="11">
        <v>27</v>
      </c>
      <c r="E17" s="11">
        <v>4</v>
      </c>
      <c r="F17" s="11">
        <v>2.5</v>
      </c>
      <c r="G17" s="11" t="s">
        <v>1127</v>
      </c>
      <c r="H17" s="11" t="s">
        <v>1115</v>
      </c>
      <c r="I17" s="11">
        <v>31</v>
      </c>
      <c r="J17" s="11" t="s">
        <v>1128</v>
      </c>
      <c r="K17" s="11" t="s">
        <v>1129</v>
      </c>
      <c r="L17" s="11" t="s">
        <v>1118</v>
      </c>
      <c r="M17" s="11">
        <v>2014</v>
      </c>
      <c r="O17" s="2" t="s">
        <v>1156</v>
      </c>
      <c r="P17">
        <v>157.19999999999999</v>
      </c>
      <c r="R17" s="2" t="s">
        <v>1267</v>
      </c>
      <c r="S17">
        <v>688</v>
      </c>
    </row>
    <row r="18" spans="2:19" x14ac:dyDescent="0.35">
      <c r="B18" s="11">
        <v>23</v>
      </c>
      <c r="C18" s="11" t="s">
        <v>1119</v>
      </c>
      <c r="D18" s="11">
        <v>25</v>
      </c>
      <c r="E18" s="11">
        <v>4</v>
      </c>
      <c r="F18" s="11">
        <v>2</v>
      </c>
      <c r="G18" s="11" t="s">
        <v>1127</v>
      </c>
      <c r="H18" s="11" t="s">
        <v>1115</v>
      </c>
      <c r="I18" s="11">
        <v>27</v>
      </c>
      <c r="J18" s="11" t="s">
        <v>1128</v>
      </c>
      <c r="K18" s="11" t="s">
        <v>1129</v>
      </c>
      <c r="L18" s="11" t="s">
        <v>1118</v>
      </c>
      <c r="M18" s="11">
        <v>2014</v>
      </c>
      <c r="O18" s="2" t="s">
        <v>1123</v>
      </c>
      <c r="P18">
        <v>243.60000000000008</v>
      </c>
      <c r="R18" s="2" t="s">
        <v>1177</v>
      </c>
      <c r="S18">
        <v>268</v>
      </c>
    </row>
    <row r="19" spans="2:19" x14ac:dyDescent="0.35">
      <c r="B19" s="11">
        <v>19</v>
      </c>
      <c r="C19" s="11" t="s">
        <v>1123</v>
      </c>
      <c r="D19" s="11">
        <v>23</v>
      </c>
      <c r="E19" s="11">
        <v>6</v>
      </c>
      <c r="F19" s="11">
        <v>3.7</v>
      </c>
      <c r="G19" s="11" t="s">
        <v>1124</v>
      </c>
      <c r="H19" s="11" t="s">
        <v>1115</v>
      </c>
      <c r="I19" s="11">
        <v>29</v>
      </c>
      <c r="J19" s="11" t="s">
        <v>1125</v>
      </c>
      <c r="K19" s="11" t="s">
        <v>1130</v>
      </c>
      <c r="L19" s="11" t="s">
        <v>1118</v>
      </c>
      <c r="M19" s="11">
        <v>2014</v>
      </c>
      <c r="O19" s="2" t="s">
        <v>1141</v>
      </c>
      <c r="P19">
        <v>282.19999999999993</v>
      </c>
      <c r="R19" s="2" t="s">
        <v>1202</v>
      </c>
      <c r="S19">
        <v>366</v>
      </c>
    </row>
    <row r="20" spans="2:19" x14ac:dyDescent="0.35">
      <c r="B20" s="11">
        <v>16</v>
      </c>
      <c r="C20" s="11" t="s">
        <v>1123</v>
      </c>
      <c r="D20" s="11">
        <v>19</v>
      </c>
      <c r="E20" s="11">
        <v>8</v>
      </c>
      <c r="F20" s="11">
        <v>5</v>
      </c>
      <c r="G20" s="11" t="s">
        <v>1124</v>
      </c>
      <c r="H20" s="11" t="s">
        <v>1115</v>
      </c>
      <c r="I20" s="11">
        <v>25</v>
      </c>
      <c r="J20" s="11" t="s">
        <v>1125</v>
      </c>
      <c r="K20" s="11" t="s">
        <v>1126</v>
      </c>
      <c r="L20" s="11" t="s">
        <v>1117</v>
      </c>
      <c r="M20" s="11">
        <v>2014</v>
      </c>
      <c r="O20" s="10" t="s">
        <v>1445</v>
      </c>
      <c r="P20" s="9">
        <v>1606.6000000000004</v>
      </c>
      <c r="R20" s="2" t="s">
        <v>1209</v>
      </c>
      <c r="S20">
        <v>1187</v>
      </c>
    </row>
    <row r="21" spans="2:19" x14ac:dyDescent="0.35">
      <c r="B21" s="11">
        <v>16</v>
      </c>
      <c r="C21" s="11" t="s">
        <v>1123</v>
      </c>
      <c r="D21" s="11">
        <v>19</v>
      </c>
      <c r="E21" s="11">
        <v>6</v>
      </c>
      <c r="F21" s="11">
        <v>3.8</v>
      </c>
      <c r="G21" s="11" t="s">
        <v>1127</v>
      </c>
      <c r="H21" s="11" t="s">
        <v>1115</v>
      </c>
      <c r="I21" s="11">
        <v>23</v>
      </c>
      <c r="J21" s="11" t="s">
        <v>1131</v>
      </c>
      <c r="K21" s="11" t="s">
        <v>1132</v>
      </c>
      <c r="L21" s="11" t="s">
        <v>1118</v>
      </c>
      <c r="M21" s="11">
        <v>2014</v>
      </c>
      <c r="R21" s="2" t="s">
        <v>1309</v>
      </c>
      <c r="S21">
        <v>61</v>
      </c>
    </row>
    <row r="22" spans="2:19" x14ac:dyDescent="0.35">
      <c r="B22" s="11">
        <v>24</v>
      </c>
      <c r="C22" s="11" t="s">
        <v>1133</v>
      </c>
      <c r="D22" s="11">
        <v>28</v>
      </c>
      <c r="E22" s="11">
        <v>6</v>
      </c>
      <c r="F22" s="11">
        <v>3</v>
      </c>
      <c r="G22" s="11" t="s">
        <v>1127</v>
      </c>
      <c r="H22" s="11" t="s">
        <v>1134</v>
      </c>
      <c r="I22" s="11">
        <v>36</v>
      </c>
      <c r="J22" s="11" t="s">
        <v>1135</v>
      </c>
      <c r="K22" s="11" t="s">
        <v>1136</v>
      </c>
      <c r="L22" s="11" t="s">
        <v>1118</v>
      </c>
      <c r="M22" s="11">
        <v>2014</v>
      </c>
      <c r="R22" s="2" t="s">
        <v>1194</v>
      </c>
      <c r="S22">
        <v>1864</v>
      </c>
    </row>
    <row r="23" spans="2:19" x14ac:dyDescent="0.35">
      <c r="B23" s="11">
        <v>20</v>
      </c>
      <c r="C23" s="11" t="s">
        <v>1119</v>
      </c>
      <c r="D23" s="11">
        <v>22</v>
      </c>
      <c r="E23" s="11">
        <v>4</v>
      </c>
      <c r="F23" s="11">
        <v>2.4</v>
      </c>
      <c r="G23" s="11" t="s">
        <v>1114</v>
      </c>
      <c r="H23" s="11" t="s">
        <v>1115</v>
      </c>
      <c r="I23" s="11">
        <v>26</v>
      </c>
      <c r="J23" s="11" t="s">
        <v>1137</v>
      </c>
      <c r="K23" s="11" t="s">
        <v>1138</v>
      </c>
      <c r="L23" s="11" t="s">
        <v>1118</v>
      </c>
      <c r="M23" s="11">
        <v>2014</v>
      </c>
      <c r="R23" s="2" t="s">
        <v>1151</v>
      </c>
      <c r="S23">
        <v>606</v>
      </c>
    </row>
    <row r="24" spans="2:19" x14ac:dyDescent="0.35">
      <c r="B24" s="11">
        <v>19</v>
      </c>
      <c r="C24" s="11" t="s">
        <v>1119</v>
      </c>
      <c r="D24" s="11">
        <v>21</v>
      </c>
      <c r="E24" s="11">
        <v>4</v>
      </c>
      <c r="F24" s="11">
        <v>2.4</v>
      </c>
      <c r="G24" s="11" t="s">
        <v>1114</v>
      </c>
      <c r="H24" s="11" t="s">
        <v>1115</v>
      </c>
      <c r="I24" s="11">
        <v>27</v>
      </c>
      <c r="J24" s="11" t="s">
        <v>1137</v>
      </c>
      <c r="K24" s="11" t="s">
        <v>1138</v>
      </c>
      <c r="L24" s="11" t="s">
        <v>1117</v>
      </c>
      <c r="M24" s="11">
        <v>2014</v>
      </c>
      <c r="R24" s="2" t="s">
        <v>1137</v>
      </c>
      <c r="S24">
        <v>1913</v>
      </c>
    </row>
    <row r="25" spans="2:19" x14ac:dyDescent="0.35">
      <c r="B25" s="11">
        <v>18</v>
      </c>
      <c r="C25" s="11" t="s">
        <v>1119</v>
      </c>
      <c r="D25" s="11">
        <v>21</v>
      </c>
      <c r="E25" s="11">
        <v>6</v>
      </c>
      <c r="F25" s="11">
        <v>3.3</v>
      </c>
      <c r="G25" s="11" t="s">
        <v>1114</v>
      </c>
      <c r="H25" s="11" t="s">
        <v>1115</v>
      </c>
      <c r="I25" s="11">
        <v>25</v>
      </c>
      <c r="J25" s="11" t="s">
        <v>1137</v>
      </c>
      <c r="K25" s="11" t="s">
        <v>1138</v>
      </c>
      <c r="L25" s="11" t="s">
        <v>1118</v>
      </c>
      <c r="M25" s="11">
        <v>2014</v>
      </c>
      <c r="R25" s="2" t="s">
        <v>1356</v>
      </c>
      <c r="S25">
        <v>378</v>
      </c>
    </row>
    <row r="26" spans="2:19" x14ac:dyDescent="0.35">
      <c r="B26" s="11">
        <v>19</v>
      </c>
      <c r="C26" s="11" t="s">
        <v>1119</v>
      </c>
      <c r="D26" s="11">
        <v>21</v>
      </c>
      <c r="E26" s="11">
        <v>4</v>
      </c>
      <c r="F26" s="11">
        <v>2.4</v>
      </c>
      <c r="G26" s="11" t="s">
        <v>1121</v>
      </c>
      <c r="H26" s="11" t="s">
        <v>1115</v>
      </c>
      <c r="I26" s="11">
        <v>24</v>
      </c>
      <c r="J26" s="11" t="s">
        <v>1137</v>
      </c>
      <c r="K26" s="11" t="s">
        <v>1139</v>
      </c>
      <c r="L26" s="11" t="s">
        <v>1118</v>
      </c>
      <c r="M26" s="11">
        <v>2014</v>
      </c>
      <c r="R26" s="2" t="s">
        <v>1116</v>
      </c>
      <c r="S26">
        <v>703</v>
      </c>
    </row>
    <row r="27" spans="2:19" x14ac:dyDescent="0.35">
      <c r="B27" s="11">
        <v>18</v>
      </c>
      <c r="C27" s="11" t="s">
        <v>1119</v>
      </c>
      <c r="D27" s="11">
        <v>20</v>
      </c>
      <c r="E27" s="11">
        <v>6</v>
      </c>
      <c r="F27" s="11">
        <v>3.3</v>
      </c>
      <c r="G27" s="11" t="s">
        <v>1121</v>
      </c>
      <c r="H27" s="11" t="s">
        <v>1115</v>
      </c>
      <c r="I27" s="11">
        <v>23</v>
      </c>
      <c r="J27" s="11" t="s">
        <v>1137</v>
      </c>
      <c r="K27" s="11" t="s">
        <v>1139</v>
      </c>
      <c r="L27" s="11" t="s">
        <v>1118</v>
      </c>
      <c r="M27" s="11">
        <v>2014</v>
      </c>
      <c r="R27" s="2" t="s">
        <v>1339</v>
      </c>
      <c r="S27">
        <v>50</v>
      </c>
    </row>
    <row r="28" spans="2:19" x14ac:dyDescent="0.35">
      <c r="B28" s="11">
        <v>17</v>
      </c>
      <c r="C28" s="11" t="s">
        <v>1119</v>
      </c>
      <c r="D28" s="11">
        <v>19</v>
      </c>
      <c r="E28" s="11">
        <v>6</v>
      </c>
      <c r="F28" s="11">
        <v>3.5</v>
      </c>
      <c r="G28" s="11" t="s">
        <v>1127</v>
      </c>
      <c r="H28" s="11" t="s">
        <v>1115</v>
      </c>
      <c r="I28" s="11">
        <v>22</v>
      </c>
      <c r="J28" s="11" t="s">
        <v>1131</v>
      </c>
      <c r="K28" s="11" t="s">
        <v>1140</v>
      </c>
      <c r="L28" s="11" t="s">
        <v>1118</v>
      </c>
      <c r="M28" s="11">
        <v>2014</v>
      </c>
      <c r="R28" s="2" t="s">
        <v>1260</v>
      </c>
      <c r="S28">
        <v>1788</v>
      </c>
    </row>
    <row r="29" spans="2:19" x14ac:dyDescent="0.35">
      <c r="B29" s="11">
        <v>13</v>
      </c>
      <c r="C29" s="11" t="s">
        <v>1141</v>
      </c>
      <c r="D29" s="11">
        <v>16</v>
      </c>
      <c r="E29" s="11">
        <v>10</v>
      </c>
      <c r="F29" s="11">
        <v>5.2</v>
      </c>
      <c r="G29" s="11" t="s">
        <v>1127</v>
      </c>
      <c r="H29" s="11" t="s">
        <v>1115</v>
      </c>
      <c r="I29" s="11">
        <v>22</v>
      </c>
      <c r="J29" s="11" t="s">
        <v>1135</v>
      </c>
      <c r="K29" s="11" t="s">
        <v>1142</v>
      </c>
      <c r="L29" s="11" t="s">
        <v>1118</v>
      </c>
      <c r="M29" s="11">
        <v>2014</v>
      </c>
      <c r="R29" s="2" t="s">
        <v>1213</v>
      </c>
      <c r="S29">
        <v>457</v>
      </c>
    </row>
    <row r="30" spans="2:19" x14ac:dyDescent="0.35">
      <c r="B30" s="11">
        <v>13</v>
      </c>
      <c r="C30" s="11" t="s">
        <v>1141</v>
      </c>
      <c r="D30" s="11">
        <v>16</v>
      </c>
      <c r="E30" s="11">
        <v>10</v>
      </c>
      <c r="F30" s="11">
        <v>5.2</v>
      </c>
      <c r="G30" s="11" t="s">
        <v>1127</v>
      </c>
      <c r="H30" s="11" t="s">
        <v>1115</v>
      </c>
      <c r="I30" s="11">
        <v>22</v>
      </c>
      <c r="J30" s="11" t="s">
        <v>1135</v>
      </c>
      <c r="K30" s="11" t="s">
        <v>1143</v>
      </c>
      <c r="L30" s="11" t="s">
        <v>1118</v>
      </c>
      <c r="M30" s="11">
        <v>2014</v>
      </c>
      <c r="R30" s="2" t="s">
        <v>1131</v>
      </c>
      <c r="S30">
        <v>90</v>
      </c>
    </row>
    <row r="31" spans="2:19" x14ac:dyDescent="0.35">
      <c r="B31" s="11">
        <v>14</v>
      </c>
      <c r="C31" s="11" t="s">
        <v>1141</v>
      </c>
      <c r="D31" s="11">
        <v>17</v>
      </c>
      <c r="E31" s="11">
        <v>8</v>
      </c>
      <c r="F31" s="11">
        <v>4.2</v>
      </c>
      <c r="G31" s="11" t="s">
        <v>1127</v>
      </c>
      <c r="H31" s="11" t="s">
        <v>1115</v>
      </c>
      <c r="I31" s="11">
        <v>23</v>
      </c>
      <c r="J31" s="11" t="s">
        <v>1135</v>
      </c>
      <c r="K31" s="11" t="s">
        <v>1142</v>
      </c>
      <c r="L31" s="11" t="s">
        <v>1118</v>
      </c>
      <c r="M31" s="11">
        <v>2014</v>
      </c>
      <c r="R31" s="2" t="s">
        <v>1158</v>
      </c>
      <c r="S31">
        <v>45</v>
      </c>
    </row>
    <row r="32" spans="2:19" x14ac:dyDescent="0.35">
      <c r="B32" s="11">
        <v>14</v>
      </c>
      <c r="C32" s="11" t="s">
        <v>1141</v>
      </c>
      <c r="D32" s="11">
        <v>17</v>
      </c>
      <c r="E32" s="11">
        <v>8</v>
      </c>
      <c r="F32" s="11">
        <v>4.2</v>
      </c>
      <c r="G32" s="11" t="s">
        <v>1127</v>
      </c>
      <c r="H32" s="11" t="s">
        <v>1115</v>
      </c>
      <c r="I32" s="11">
        <v>23</v>
      </c>
      <c r="J32" s="11" t="s">
        <v>1135</v>
      </c>
      <c r="K32" s="11" t="s">
        <v>1143</v>
      </c>
      <c r="L32" s="11" t="s">
        <v>1118</v>
      </c>
      <c r="M32" s="11">
        <v>2014</v>
      </c>
      <c r="R32" s="2" t="s">
        <v>1320</v>
      </c>
      <c r="S32">
        <v>43</v>
      </c>
    </row>
    <row r="33" spans="2:19" x14ac:dyDescent="0.35">
      <c r="B33" s="11">
        <v>12</v>
      </c>
      <c r="C33" s="11" t="s">
        <v>1141</v>
      </c>
      <c r="D33" s="11">
        <v>14</v>
      </c>
      <c r="E33" s="11">
        <v>10</v>
      </c>
      <c r="F33" s="11">
        <v>5.2</v>
      </c>
      <c r="G33" s="11" t="s">
        <v>1127</v>
      </c>
      <c r="H33" s="11" t="s">
        <v>1115</v>
      </c>
      <c r="I33" s="11">
        <v>19</v>
      </c>
      <c r="J33" s="11" t="s">
        <v>1135</v>
      </c>
      <c r="K33" s="11" t="s">
        <v>1142</v>
      </c>
      <c r="L33" s="11" t="s">
        <v>1117</v>
      </c>
      <c r="M33" s="11">
        <v>2014</v>
      </c>
      <c r="R33" s="2" t="s">
        <v>1149</v>
      </c>
      <c r="S33">
        <v>44</v>
      </c>
    </row>
    <row r="34" spans="2:19" x14ac:dyDescent="0.35">
      <c r="B34" s="11">
        <v>12</v>
      </c>
      <c r="C34" s="11" t="s">
        <v>1141</v>
      </c>
      <c r="D34" s="11">
        <v>14</v>
      </c>
      <c r="E34" s="11">
        <v>10</v>
      </c>
      <c r="F34" s="11">
        <v>5.2</v>
      </c>
      <c r="G34" s="11" t="s">
        <v>1127</v>
      </c>
      <c r="H34" s="11" t="s">
        <v>1115</v>
      </c>
      <c r="I34" s="11">
        <v>19</v>
      </c>
      <c r="J34" s="11" t="s">
        <v>1135</v>
      </c>
      <c r="K34" s="11" t="s">
        <v>1143</v>
      </c>
      <c r="L34" s="11" t="s">
        <v>1117</v>
      </c>
      <c r="M34" s="11">
        <v>2014</v>
      </c>
      <c r="R34" s="2" t="s">
        <v>1128</v>
      </c>
      <c r="S34">
        <v>262</v>
      </c>
    </row>
    <row r="35" spans="2:19" x14ac:dyDescent="0.35">
      <c r="B35" s="11">
        <v>11</v>
      </c>
      <c r="C35" s="11" t="s">
        <v>1141</v>
      </c>
      <c r="D35" s="11">
        <v>14</v>
      </c>
      <c r="E35" s="11">
        <v>8</v>
      </c>
      <c r="F35" s="11">
        <v>4.2</v>
      </c>
      <c r="G35" s="11" t="s">
        <v>1127</v>
      </c>
      <c r="H35" s="11" t="s">
        <v>1115</v>
      </c>
      <c r="I35" s="11">
        <v>20</v>
      </c>
      <c r="J35" s="11" t="s">
        <v>1135</v>
      </c>
      <c r="K35" s="11" t="s">
        <v>1142</v>
      </c>
      <c r="L35" s="11" t="s">
        <v>1117</v>
      </c>
      <c r="M35" s="11">
        <v>2014</v>
      </c>
      <c r="R35" s="2" t="s">
        <v>1330</v>
      </c>
      <c r="S35">
        <v>280</v>
      </c>
    </row>
    <row r="36" spans="2:19" x14ac:dyDescent="0.35">
      <c r="B36" s="11">
        <v>11</v>
      </c>
      <c r="C36" s="11" t="s">
        <v>1141</v>
      </c>
      <c r="D36" s="11">
        <v>14</v>
      </c>
      <c r="E36" s="11">
        <v>8</v>
      </c>
      <c r="F36" s="11">
        <v>4.2</v>
      </c>
      <c r="G36" s="11" t="s">
        <v>1127</v>
      </c>
      <c r="H36" s="11" t="s">
        <v>1115</v>
      </c>
      <c r="I36" s="11">
        <v>20</v>
      </c>
      <c r="J36" s="11" t="s">
        <v>1135</v>
      </c>
      <c r="K36" s="11" t="s">
        <v>1143</v>
      </c>
      <c r="L36" s="11" t="s">
        <v>1117</v>
      </c>
      <c r="M36" s="11">
        <v>2014</v>
      </c>
      <c r="R36" s="2" t="s">
        <v>1307</v>
      </c>
      <c r="S36">
        <v>149</v>
      </c>
    </row>
    <row r="37" spans="2:19" x14ac:dyDescent="0.35">
      <c r="B37" s="11">
        <v>13</v>
      </c>
      <c r="C37" s="11" t="s">
        <v>1144</v>
      </c>
      <c r="D37" s="11">
        <v>15</v>
      </c>
      <c r="E37" s="11">
        <v>12</v>
      </c>
      <c r="F37" s="11">
        <v>5.9</v>
      </c>
      <c r="G37" s="11" t="s">
        <v>1124</v>
      </c>
      <c r="H37" s="11" t="s">
        <v>1115</v>
      </c>
      <c r="I37" s="11">
        <v>19</v>
      </c>
      <c r="J37" s="11" t="s">
        <v>1145</v>
      </c>
      <c r="K37" s="11" t="s">
        <v>1146</v>
      </c>
      <c r="L37" s="11" t="s">
        <v>1118</v>
      </c>
      <c r="M37" s="11">
        <v>2014</v>
      </c>
      <c r="R37" s="2" t="s">
        <v>1161</v>
      </c>
      <c r="S37">
        <v>219</v>
      </c>
    </row>
    <row r="38" spans="2:19" x14ac:dyDescent="0.35">
      <c r="B38" s="11">
        <v>13</v>
      </c>
      <c r="C38" s="11" t="s">
        <v>1144</v>
      </c>
      <c r="D38" s="11">
        <v>15</v>
      </c>
      <c r="E38" s="11">
        <v>12</v>
      </c>
      <c r="F38" s="11">
        <v>5.9</v>
      </c>
      <c r="G38" s="11" t="s">
        <v>1124</v>
      </c>
      <c r="H38" s="11" t="s">
        <v>1115</v>
      </c>
      <c r="I38" s="11">
        <v>19</v>
      </c>
      <c r="J38" s="11" t="s">
        <v>1145</v>
      </c>
      <c r="K38" s="11" t="s">
        <v>1147</v>
      </c>
      <c r="L38" s="11" t="s">
        <v>1118</v>
      </c>
      <c r="M38" s="11">
        <v>2014</v>
      </c>
      <c r="R38" s="10" t="s">
        <v>1445</v>
      </c>
      <c r="S38" s="9">
        <v>15735</v>
      </c>
    </row>
    <row r="39" spans="2:19" x14ac:dyDescent="0.35">
      <c r="B39" s="11">
        <v>13</v>
      </c>
      <c r="C39" s="11" t="s">
        <v>1123</v>
      </c>
      <c r="D39" s="11">
        <v>15</v>
      </c>
      <c r="E39" s="11">
        <v>12</v>
      </c>
      <c r="F39" s="11">
        <v>5.9</v>
      </c>
      <c r="G39" s="11" t="s">
        <v>1124</v>
      </c>
      <c r="H39" s="11" t="s">
        <v>1115</v>
      </c>
      <c r="I39" s="11">
        <v>19</v>
      </c>
      <c r="J39" s="11" t="s">
        <v>1145</v>
      </c>
      <c r="K39" s="11" t="s">
        <v>1148</v>
      </c>
      <c r="L39" s="11" t="s">
        <v>1118</v>
      </c>
      <c r="M39" s="11">
        <v>2014</v>
      </c>
    </row>
    <row r="40" spans="2:19" x14ac:dyDescent="0.35">
      <c r="B40" s="11">
        <v>14</v>
      </c>
      <c r="C40" s="11" t="s">
        <v>1123</v>
      </c>
      <c r="D40" s="11">
        <v>17</v>
      </c>
      <c r="E40" s="11">
        <v>8</v>
      </c>
      <c r="F40" s="11">
        <v>5</v>
      </c>
      <c r="G40" s="11" t="s">
        <v>1124</v>
      </c>
      <c r="H40" s="11" t="s">
        <v>1115</v>
      </c>
      <c r="I40" s="11">
        <v>22</v>
      </c>
      <c r="J40" s="11" t="s">
        <v>1149</v>
      </c>
      <c r="K40" s="11" t="s">
        <v>1150</v>
      </c>
      <c r="L40" s="11" t="s">
        <v>1117</v>
      </c>
      <c r="M40" s="11">
        <v>2014</v>
      </c>
      <c r="O40" s="9" t="s">
        <v>1444</v>
      </c>
      <c r="P40" s="9" t="s">
        <v>1449</v>
      </c>
      <c r="Q40" s="9" t="s">
        <v>1446</v>
      </c>
      <c r="R40" s="9" t="s">
        <v>1450</v>
      </c>
    </row>
    <row r="41" spans="2:19" x14ac:dyDescent="0.35">
      <c r="B41" s="11">
        <v>21</v>
      </c>
      <c r="C41" s="11" t="s">
        <v>1119</v>
      </c>
      <c r="D41" s="11">
        <v>24</v>
      </c>
      <c r="E41" s="11">
        <v>4</v>
      </c>
      <c r="F41" s="11">
        <v>2.4</v>
      </c>
      <c r="G41" s="11" t="s">
        <v>1114</v>
      </c>
      <c r="H41" s="11" t="s">
        <v>1115</v>
      </c>
      <c r="I41" s="11">
        <v>28</v>
      </c>
      <c r="J41" s="11" t="s">
        <v>1151</v>
      </c>
      <c r="K41" s="11" t="s">
        <v>1152</v>
      </c>
      <c r="L41" s="11" t="s">
        <v>1118</v>
      </c>
      <c r="M41" s="11">
        <v>2014</v>
      </c>
      <c r="O41" s="2" t="s">
        <v>1160</v>
      </c>
      <c r="P41">
        <v>2199</v>
      </c>
      <c r="Q41">
        <v>193.60000000000014</v>
      </c>
      <c r="R41">
        <v>387</v>
      </c>
    </row>
    <row r="42" spans="2:19" x14ac:dyDescent="0.35">
      <c r="B42" s="11">
        <v>21</v>
      </c>
      <c r="C42" s="11" t="s">
        <v>1119</v>
      </c>
      <c r="D42" s="11">
        <v>24</v>
      </c>
      <c r="E42" s="11">
        <v>4</v>
      </c>
      <c r="F42" s="11">
        <v>2.4</v>
      </c>
      <c r="G42" s="11" t="s">
        <v>1114</v>
      </c>
      <c r="H42" s="11" t="s">
        <v>1115</v>
      </c>
      <c r="I42" s="11">
        <v>28</v>
      </c>
      <c r="J42" s="11" t="s">
        <v>1151</v>
      </c>
      <c r="K42" s="11" t="s">
        <v>1153</v>
      </c>
      <c r="L42" s="11" t="s">
        <v>1118</v>
      </c>
      <c r="M42" s="11">
        <v>2014</v>
      </c>
      <c r="O42" s="2" t="s">
        <v>1133</v>
      </c>
      <c r="P42">
        <v>263</v>
      </c>
      <c r="Q42">
        <v>52.79999999999999</v>
      </c>
      <c r="R42">
        <v>90</v>
      </c>
    </row>
    <row r="43" spans="2:19" x14ac:dyDescent="0.35">
      <c r="B43" s="11">
        <v>21</v>
      </c>
      <c r="C43" s="11" t="s">
        <v>1119</v>
      </c>
      <c r="D43" s="11">
        <v>24</v>
      </c>
      <c r="E43" s="11">
        <v>4</v>
      </c>
      <c r="F43" s="11">
        <v>2</v>
      </c>
      <c r="G43" s="11" t="s">
        <v>1114</v>
      </c>
      <c r="H43" s="11" t="s">
        <v>1115</v>
      </c>
      <c r="I43" s="11">
        <v>28</v>
      </c>
      <c r="J43" s="11" t="s">
        <v>1151</v>
      </c>
      <c r="K43" s="11" t="s">
        <v>1152</v>
      </c>
      <c r="L43" s="11" t="s">
        <v>1118</v>
      </c>
      <c r="M43" s="11">
        <v>2014</v>
      </c>
      <c r="O43" s="2" t="s">
        <v>1113</v>
      </c>
      <c r="P43">
        <v>1364</v>
      </c>
      <c r="Q43">
        <v>147.80000000000004</v>
      </c>
      <c r="R43">
        <v>269</v>
      </c>
    </row>
    <row r="44" spans="2:19" x14ac:dyDescent="0.35">
      <c r="B44" s="11">
        <v>21</v>
      </c>
      <c r="C44" s="11" t="s">
        <v>1119</v>
      </c>
      <c r="D44" s="11">
        <v>24</v>
      </c>
      <c r="E44" s="11">
        <v>4</v>
      </c>
      <c r="F44" s="11">
        <v>2</v>
      </c>
      <c r="G44" s="11" t="s">
        <v>1114</v>
      </c>
      <c r="H44" s="11" t="s">
        <v>1115</v>
      </c>
      <c r="I44" s="11">
        <v>28</v>
      </c>
      <c r="J44" s="11" t="s">
        <v>1151</v>
      </c>
      <c r="K44" s="11" t="s">
        <v>1153</v>
      </c>
      <c r="L44" s="11" t="s">
        <v>1118</v>
      </c>
      <c r="M44" s="11">
        <v>2014</v>
      </c>
      <c r="O44" s="2" t="s">
        <v>1350</v>
      </c>
      <c r="P44">
        <v>45</v>
      </c>
      <c r="Q44">
        <v>5</v>
      </c>
      <c r="R44">
        <v>10</v>
      </c>
    </row>
    <row r="45" spans="2:19" x14ac:dyDescent="0.35">
      <c r="B45" s="11">
        <v>23</v>
      </c>
      <c r="C45" s="11" t="s">
        <v>1119</v>
      </c>
      <c r="D45" s="11">
        <v>25</v>
      </c>
      <c r="E45" s="11">
        <v>4</v>
      </c>
      <c r="F45" s="11">
        <v>2.4</v>
      </c>
      <c r="G45" s="11" t="s">
        <v>1114</v>
      </c>
      <c r="H45" s="11" t="s">
        <v>1115</v>
      </c>
      <c r="I45" s="11">
        <v>28</v>
      </c>
      <c r="J45" s="11" t="s">
        <v>1151</v>
      </c>
      <c r="K45" s="11" t="s">
        <v>1153</v>
      </c>
      <c r="L45" s="11" t="s">
        <v>1117</v>
      </c>
      <c r="M45" s="11">
        <v>2014</v>
      </c>
      <c r="O45" s="2" t="s">
        <v>1144</v>
      </c>
      <c r="P45">
        <v>584</v>
      </c>
      <c r="Q45">
        <v>45.3</v>
      </c>
      <c r="R45">
        <v>91</v>
      </c>
    </row>
    <row r="46" spans="2:19" x14ac:dyDescent="0.35">
      <c r="B46" s="11">
        <v>23</v>
      </c>
      <c r="C46" s="11" t="s">
        <v>1119</v>
      </c>
      <c r="D46" s="11">
        <v>25</v>
      </c>
      <c r="E46" s="11">
        <v>4</v>
      </c>
      <c r="F46" s="11">
        <v>2.4</v>
      </c>
      <c r="G46" s="11" t="s">
        <v>1114</v>
      </c>
      <c r="H46" s="11" t="s">
        <v>1115</v>
      </c>
      <c r="I46" s="11">
        <v>28</v>
      </c>
      <c r="J46" s="11" t="s">
        <v>1151</v>
      </c>
      <c r="K46" s="11" t="s">
        <v>1152</v>
      </c>
      <c r="L46" s="11" t="s">
        <v>1117</v>
      </c>
      <c r="M46" s="11">
        <v>2014</v>
      </c>
      <c r="O46" s="2" t="s">
        <v>1227</v>
      </c>
      <c r="P46">
        <v>169</v>
      </c>
      <c r="Q46">
        <v>27.299999999999997</v>
      </c>
      <c r="R46">
        <v>48</v>
      </c>
    </row>
    <row r="47" spans="2:19" x14ac:dyDescent="0.35">
      <c r="B47" s="11">
        <v>23</v>
      </c>
      <c r="C47" s="11" t="s">
        <v>1119</v>
      </c>
      <c r="D47" s="11">
        <v>25</v>
      </c>
      <c r="E47" s="11">
        <v>4</v>
      </c>
      <c r="F47" s="11">
        <v>2</v>
      </c>
      <c r="G47" s="11" t="s">
        <v>1114</v>
      </c>
      <c r="H47" s="11" t="s">
        <v>1115</v>
      </c>
      <c r="I47" s="11">
        <v>30</v>
      </c>
      <c r="J47" s="11" t="s">
        <v>1151</v>
      </c>
      <c r="K47" s="11" t="s">
        <v>1152</v>
      </c>
      <c r="L47" s="11" t="s">
        <v>1117</v>
      </c>
      <c r="M47" s="11">
        <v>2014</v>
      </c>
      <c r="O47" s="2" t="s">
        <v>1316</v>
      </c>
      <c r="P47">
        <v>148</v>
      </c>
      <c r="Q47">
        <v>21.8</v>
      </c>
      <c r="R47">
        <v>36</v>
      </c>
    </row>
    <row r="48" spans="2:19" x14ac:dyDescent="0.35">
      <c r="B48" s="11">
        <v>21</v>
      </c>
      <c r="C48" s="11" t="s">
        <v>1119</v>
      </c>
      <c r="D48" s="11">
        <v>23</v>
      </c>
      <c r="E48" s="11">
        <v>4</v>
      </c>
      <c r="F48" s="11">
        <v>2.4</v>
      </c>
      <c r="G48" s="11" t="s">
        <v>1121</v>
      </c>
      <c r="H48" s="11" t="s">
        <v>1115</v>
      </c>
      <c r="I48" s="11">
        <v>27</v>
      </c>
      <c r="J48" s="11" t="s">
        <v>1151</v>
      </c>
      <c r="K48" s="11" t="s">
        <v>1154</v>
      </c>
      <c r="L48" s="11" t="s">
        <v>1118</v>
      </c>
      <c r="M48" s="11">
        <v>2014</v>
      </c>
      <c r="O48" s="2" t="s">
        <v>1119</v>
      </c>
      <c r="P48">
        <v>3852</v>
      </c>
      <c r="Q48">
        <v>372.00000000000023</v>
      </c>
      <c r="R48">
        <v>694</v>
      </c>
    </row>
    <row r="49" spans="2:18" x14ac:dyDescent="0.35">
      <c r="B49" s="11">
        <v>21</v>
      </c>
      <c r="C49" s="11" t="s">
        <v>1119</v>
      </c>
      <c r="D49" s="11">
        <v>23</v>
      </c>
      <c r="E49" s="11">
        <v>4</v>
      </c>
      <c r="F49" s="11">
        <v>2.4</v>
      </c>
      <c r="G49" s="11" t="s">
        <v>1121</v>
      </c>
      <c r="H49" s="11" t="s">
        <v>1115</v>
      </c>
      <c r="I49" s="11">
        <v>27</v>
      </c>
      <c r="J49" s="11" t="s">
        <v>1151</v>
      </c>
      <c r="K49" s="11" t="s">
        <v>1155</v>
      </c>
      <c r="L49" s="11" t="s">
        <v>1118</v>
      </c>
      <c r="M49" s="11">
        <v>2014</v>
      </c>
      <c r="O49" s="2" t="s">
        <v>1172</v>
      </c>
      <c r="P49">
        <v>309</v>
      </c>
      <c r="Q49">
        <v>21.900000000000002</v>
      </c>
      <c r="R49">
        <v>46</v>
      </c>
    </row>
    <row r="50" spans="2:18" x14ac:dyDescent="0.35">
      <c r="B50" s="11">
        <v>23</v>
      </c>
      <c r="C50" s="11" t="s">
        <v>1119</v>
      </c>
      <c r="D50" s="11">
        <v>25</v>
      </c>
      <c r="E50" s="11">
        <v>4</v>
      </c>
      <c r="F50" s="11">
        <v>2.4</v>
      </c>
      <c r="G50" s="11" t="s">
        <v>1121</v>
      </c>
      <c r="H50" s="11" t="s">
        <v>1115</v>
      </c>
      <c r="I50" s="11">
        <v>28</v>
      </c>
      <c r="J50" s="11" t="s">
        <v>1151</v>
      </c>
      <c r="K50" s="11" t="s">
        <v>1154</v>
      </c>
      <c r="L50" s="11" t="s">
        <v>1117</v>
      </c>
      <c r="M50" s="11">
        <v>2014</v>
      </c>
      <c r="O50" s="2" t="s">
        <v>1174</v>
      </c>
      <c r="P50">
        <v>129</v>
      </c>
      <c r="Q50">
        <v>36.1</v>
      </c>
      <c r="R50">
        <v>54</v>
      </c>
    </row>
    <row r="51" spans="2:18" x14ac:dyDescent="0.35">
      <c r="B51" s="11">
        <v>23</v>
      </c>
      <c r="C51" s="11" t="s">
        <v>1119</v>
      </c>
      <c r="D51" s="11">
        <v>25</v>
      </c>
      <c r="E51" s="11">
        <v>4</v>
      </c>
      <c r="F51" s="11">
        <v>2.4</v>
      </c>
      <c r="G51" s="11" t="s">
        <v>1121</v>
      </c>
      <c r="H51" s="11" t="s">
        <v>1115</v>
      </c>
      <c r="I51" s="11">
        <v>28</v>
      </c>
      <c r="J51" s="11" t="s">
        <v>1151</v>
      </c>
      <c r="K51" s="11" t="s">
        <v>1155</v>
      </c>
      <c r="L51" s="11" t="s">
        <v>1117</v>
      </c>
      <c r="M51" s="11">
        <v>2014</v>
      </c>
      <c r="O51" s="2" t="s">
        <v>1156</v>
      </c>
      <c r="P51">
        <v>618</v>
      </c>
      <c r="Q51">
        <v>157.19999999999999</v>
      </c>
      <c r="R51">
        <v>242</v>
      </c>
    </row>
    <row r="52" spans="2:18" x14ac:dyDescent="0.35">
      <c r="B52" s="11">
        <v>13</v>
      </c>
      <c r="C52" s="11" t="s">
        <v>1156</v>
      </c>
      <c r="D52" s="11">
        <v>15</v>
      </c>
      <c r="E52" s="11">
        <v>8</v>
      </c>
      <c r="F52" s="11">
        <v>6.4</v>
      </c>
      <c r="G52" s="11" t="s">
        <v>1121</v>
      </c>
      <c r="H52" s="11" t="s">
        <v>1115</v>
      </c>
      <c r="I52" s="11">
        <v>19</v>
      </c>
      <c r="J52" s="11" t="s">
        <v>1151</v>
      </c>
      <c r="K52" s="11" t="s">
        <v>1157</v>
      </c>
      <c r="L52" s="11" t="s">
        <v>1118</v>
      </c>
      <c r="M52" s="11">
        <v>2014</v>
      </c>
      <c r="O52" s="2" t="s">
        <v>1123</v>
      </c>
      <c r="P52">
        <v>2215</v>
      </c>
      <c r="Q52">
        <v>243.60000000000008</v>
      </c>
      <c r="R52">
        <v>454</v>
      </c>
    </row>
    <row r="53" spans="2:18" x14ac:dyDescent="0.35">
      <c r="B53" s="11">
        <v>14</v>
      </c>
      <c r="C53" s="11" t="s">
        <v>1156</v>
      </c>
      <c r="D53" s="11">
        <v>17</v>
      </c>
      <c r="E53" s="11">
        <v>8</v>
      </c>
      <c r="F53" s="11">
        <v>4.8</v>
      </c>
      <c r="G53" s="11" t="s">
        <v>1127</v>
      </c>
      <c r="H53" s="11" t="s">
        <v>1115</v>
      </c>
      <c r="I53" s="11">
        <v>21</v>
      </c>
      <c r="J53" s="11" t="s">
        <v>1158</v>
      </c>
      <c r="K53" s="11" t="s">
        <v>1159</v>
      </c>
      <c r="L53" s="11" t="s">
        <v>1118</v>
      </c>
      <c r="M53" s="11">
        <v>2014</v>
      </c>
      <c r="O53" s="2" t="s">
        <v>1141</v>
      </c>
      <c r="P53">
        <v>1343</v>
      </c>
      <c r="Q53">
        <v>282.19999999999993</v>
      </c>
      <c r="R53">
        <v>492</v>
      </c>
    </row>
    <row r="54" spans="2:18" x14ac:dyDescent="0.35">
      <c r="B54" s="11">
        <v>15</v>
      </c>
      <c r="C54" s="11" t="s">
        <v>1123</v>
      </c>
      <c r="D54" s="11">
        <v>17</v>
      </c>
      <c r="E54" s="11">
        <v>8</v>
      </c>
      <c r="F54" s="11">
        <v>5</v>
      </c>
      <c r="G54" s="11" t="s">
        <v>1124</v>
      </c>
      <c r="H54" s="11" t="s">
        <v>1115</v>
      </c>
      <c r="I54" s="11">
        <v>22</v>
      </c>
      <c r="J54" s="11" t="s">
        <v>1149</v>
      </c>
      <c r="K54" s="11" t="s">
        <v>1150</v>
      </c>
      <c r="L54" s="11" t="s">
        <v>1118</v>
      </c>
      <c r="M54" s="11">
        <v>2014</v>
      </c>
      <c r="O54" s="10" t="s">
        <v>1445</v>
      </c>
      <c r="P54" s="9">
        <v>13238</v>
      </c>
      <c r="Q54" s="9">
        <v>1606.6000000000004</v>
      </c>
      <c r="R54" s="9">
        <v>2913</v>
      </c>
    </row>
    <row r="55" spans="2:18" x14ac:dyDescent="0.35">
      <c r="B55" s="11">
        <v>16</v>
      </c>
      <c r="C55" s="11" t="s">
        <v>1123</v>
      </c>
      <c r="D55" s="11">
        <v>19</v>
      </c>
      <c r="E55" s="11">
        <v>6</v>
      </c>
      <c r="F55" s="11">
        <v>3.8</v>
      </c>
      <c r="G55" s="11" t="s">
        <v>1127</v>
      </c>
      <c r="H55" s="11" t="s">
        <v>1115</v>
      </c>
      <c r="I55" s="11">
        <v>23</v>
      </c>
      <c r="J55" s="11" t="s">
        <v>1131</v>
      </c>
      <c r="K55" s="11" t="s">
        <v>1132</v>
      </c>
      <c r="L55" s="11" t="s">
        <v>1118</v>
      </c>
      <c r="M55" s="11">
        <v>2015</v>
      </c>
    </row>
    <row r="56" spans="2:18" x14ac:dyDescent="0.35">
      <c r="B56" s="11">
        <v>20</v>
      </c>
      <c r="C56" s="11" t="s">
        <v>1160</v>
      </c>
      <c r="D56" s="11">
        <v>23</v>
      </c>
      <c r="E56" s="11">
        <v>5</v>
      </c>
      <c r="F56" s="11">
        <v>2.5</v>
      </c>
      <c r="G56" s="11" t="s">
        <v>1127</v>
      </c>
      <c r="H56" s="11" t="s">
        <v>1115</v>
      </c>
      <c r="I56" s="11">
        <v>28</v>
      </c>
      <c r="J56" s="11" t="s">
        <v>1161</v>
      </c>
      <c r="K56" s="11" t="s">
        <v>1162</v>
      </c>
      <c r="L56" s="11" t="s">
        <v>1118</v>
      </c>
      <c r="M56" s="11">
        <v>2015</v>
      </c>
    </row>
    <row r="57" spans="2:18" x14ac:dyDescent="0.35">
      <c r="B57" s="11">
        <v>26</v>
      </c>
      <c r="C57" s="11" t="s">
        <v>1113</v>
      </c>
      <c r="D57" s="11">
        <v>30</v>
      </c>
      <c r="E57" s="11">
        <v>4</v>
      </c>
      <c r="F57" s="11">
        <v>2.5</v>
      </c>
      <c r="G57" s="11" t="s">
        <v>1114</v>
      </c>
      <c r="H57" s="11" t="s">
        <v>1115</v>
      </c>
      <c r="I57" s="11">
        <v>37</v>
      </c>
      <c r="J57" s="11" t="s">
        <v>1116</v>
      </c>
      <c r="K57" s="11">
        <v>6</v>
      </c>
      <c r="L57" s="11" t="s">
        <v>1118</v>
      </c>
      <c r="M57" s="11">
        <v>2015</v>
      </c>
    </row>
    <row r="58" spans="2:18" x14ac:dyDescent="0.35">
      <c r="B58" s="11">
        <v>28</v>
      </c>
      <c r="C58" s="11" t="s">
        <v>1113</v>
      </c>
      <c r="D58" s="11">
        <v>32</v>
      </c>
      <c r="E58" s="11">
        <v>4</v>
      </c>
      <c r="F58" s="11">
        <v>2.5</v>
      </c>
      <c r="G58" s="11" t="s">
        <v>1114</v>
      </c>
      <c r="H58" s="11" t="s">
        <v>1115</v>
      </c>
      <c r="I58" s="11">
        <v>39</v>
      </c>
      <c r="J58" s="11" t="s">
        <v>1116</v>
      </c>
      <c r="K58" s="11">
        <v>6</v>
      </c>
      <c r="L58" s="11" t="s">
        <v>1118</v>
      </c>
      <c r="M58" s="11">
        <v>2015</v>
      </c>
    </row>
    <row r="59" spans="2:18" x14ac:dyDescent="0.35">
      <c r="B59" s="11">
        <v>25</v>
      </c>
      <c r="C59" s="11" t="s">
        <v>1113</v>
      </c>
      <c r="D59" s="11">
        <v>29</v>
      </c>
      <c r="E59" s="11">
        <v>4</v>
      </c>
      <c r="F59" s="11">
        <v>2.5</v>
      </c>
      <c r="G59" s="11" t="s">
        <v>1114</v>
      </c>
      <c r="H59" s="11" t="s">
        <v>1115</v>
      </c>
      <c r="I59" s="11">
        <v>35</v>
      </c>
      <c r="J59" s="11" t="s">
        <v>1116</v>
      </c>
      <c r="K59" s="11">
        <v>6</v>
      </c>
      <c r="L59" s="11" t="s">
        <v>1117</v>
      </c>
      <c r="M59" s="11">
        <v>2015</v>
      </c>
    </row>
    <row r="60" spans="2:18" x14ac:dyDescent="0.35">
      <c r="B60" s="11">
        <v>18</v>
      </c>
      <c r="C60" s="11" t="s">
        <v>1133</v>
      </c>
      <c r="D60" s="11">
        <v>21</v>
      </c>
      <c r="E60" s="11">
        <v>6</v>
      </c>
      <c r="F60" s="11">
        <v>3.8</v>
      </c>
      <c r="G60" s="11" t="s">
        <v>1124</v>
      </c>
      <c r="H60" s="11" t="s">
        <v>1115</v>
      </c>
      <c r="I60" s="11">
        <v>26</v>
      </c>
      <c r="J60" s="11" t="s">
        <v>1137</v>
      </c>
      <c r="K60" s="11" t="s">
        <v>1163</v>
      </c>
      <c r="L60" s="11" t="s">
        <v>1118</v>
      </c>
      <c r="M60" s="11">
        <v>2015</v>
      </c>
    </row>
    <row r="61" spans="2:18" x14ac:dyDescent="0.35">
      <c r="B61" s="11">
        <v>15</v>
      </c>
      <c r="C61" s="11" t="s">
        <v>1133</v>
      </c>
      <c r="D61" s="11">
        <v>18</v>
      </c>
      <c r="E61" s="11">
        <v>8</v>
      </c>
      <c r="F61" s="11">
        <v>5</v>
      </c>
      <c r="G61" s="11" t="s">
        <v>1124</v>
      </c>
      <c r="H61" s="11" t="s">
        <v>1115</v>
      </c>
      <c r="I61" s="11">
        <v>23</v>
      </c>
      <c r="J61" s="11" t="s">
        <v>1137</v>
      </c>
      <c r="K61" s="11" t="s">
        <v>1163</v>
      </c>
      <c r="L61" s="11" t="s">
        <v>1118</v>
      </c>
      <c r="M61" s="11">
        <v>2015</v>
      </c>
    </row>
    <row r="62" spans="2:18" x14ac:dyDescent="0.35">
      <c r="B62" s="11">
        <v>18</v>
      </c>
      <c r="C62" s="11" t="s">
        <v>1119</v>
      </c>
      <c r="D62" s="11">
        <v>21</v>
      </c>
      <c r="E62" s="11">
        <v>6</v>
      </c>
      <c r="F62" s="11">
        <v>3.3</v>
      </c>
      <c r="G62" s="11" t="s">
        <v>1114</v>
      </c>
      <c r="H62" s="11" t="s">
        <v>1115</v>
      </c>
      <c r="I62" s="11">
        <v>25</v>
      </c>
      <c r="J62" s="11" t="s">
        <v>1137</v>
      </c>
      <c r="K62" s="11" t="s">
        <v>1164</v>
      </c>
      <c r="L62" s="11" t="s">
        <v>1118</v>
      </c>
      <c r="M62" s="11">
        <v>2015</v>
      </c>
    </row>
    <row r="63" spans="2:18" x14ac:dyDescent="0.35">
      <c r="B63" s="11">
        <v>26</v>
      </c>
      <c r="C63" s="11" t="s">
        <v>1119</v>
      </c>
      <c r="D63" s="11">
        <v>28</v>
      </c>
      <c r="E63" s="11">
        <v>4</v>
      </c>
      <c r="F63" s="11">
        <v>2</v>
      </c>
      <c r="G63" s="11" t="s">
        <v>1114</v>
      </c>
      <c r="H63" s="11" t="s">
        <v>1115</v>
      </c>
      <c r="I63" s="11">
        <v>32</v>
      </c>
      <c r="J63" s="11" t="s">
        <v>1116</v>
      </c>
      <c r="K63" s="11" t="s">
        <v>1120</v>
      </c>
      <c r="L63" s="11" t="s">
        <v>1118</v>
      </c>
      <c r="M63" s="11">
        <v>2015</v>
      </c>
    </row>
    <row r="64" spans="2:18" x14ac:dyDescent="0.35">
      <c r="B64" s="11">
        <v>26</v>
      </c>
      <c r="C64" s="11" t="s">
        <v>1119</v>
      </c>
      <c r="D64" s="11">
        <v>29</v>
      </c>
      <c r="E64" s="11">
        <v>4</v>
      </c>
      <c r="F64" s="11">
        <v>2</v>
      </c>
      <c r="G64" s="11" t="s">
        <v>1114</v>
      </c>
      <c r="H64" s="11" t="s">
        <v>1115</v>
      </c>
      <c r="I64" s="11">
        <v>34</v>
      </c>
      <c r="J64" s="11" t="s">
        <v>1116</v>
      </c>
      <c r="K64" s="11" t="s">
        <v>1120</v>
      </c>
      <c r="L64" s="11" t="s">
        <v>1117</v>
      </c>
      <c r="M64" s="11">
        <v>2015</v>
      </c>
    </row>
    <row r="65" spans="2:13" x14ac:dyDescent="0.35">
      <c r="B65" s="11">
        <v>25</v>
      </c>
      <c r="C65" s="11" t="s">
        <v>1119</v>
      </c>
      <c r="D65" s="11">
        <v>27</v>
      </c>
      <c r="E65" s="11">
        <v>4</v>
      </c>
      <c r="F65" s="11">
        <v>2.5</v>
      </c>
      <c r="G65" s="11" t="s">
        <v>1114</v>
      </c>
      <c r="H65" s="11" t="s">
        <v>1115</v>
      </c>
      <c r="I65" s="11">
        <v>31</v>
      </c>
      <c r="J65" s="11" t="s">
        <v>1116</v>
      </c>
      <c r="K65" s="11" t="s">
        <v>1120</v>
      </c>
      <c r="L65" s="11" t="s">
        <v>1118</v>
      </c>
      <c r="M65" s="11">
        <v>2015</v>
      </c>
    </row>
    <row r="66" spans="2:13" x14ac:dyDescent="0.35">
      <c r="B66" s="11">
        <v>19</v>
      </c>
      <c r="C66" s="11" t="s">
        <v>1119</v>
      </c>
      <c r="D66" s="11">
        <v>21</v>
      </c>
      <c r="E66" s="11">
        <v>4</v>
      </c>
      <c r="F66" s="11">
        <v>2.4</v>
      </c>
      <c r="G66" s="11" t="s">
        <v>1127</v>
      </c>
      <c r="H66" s="11" t="s">
        <v>1115</v>
      </c>
      <c r="I66" s="11">
        <v>25</v>
      </c>
      <c r="J66" s="11" t="s">
        <v>1137</v>
      </c>
      <c r="K66" s="11" t="s">
        <v>1165</v>
      </c>
      <c r="L66" s="11" t="s">
        <v>1118</v>
      </c>
      <c r="M66" s="11">
        <v>2015</v>
      </c>
    </row>
    <row r="67" spans="2:13" x14ac:dyDescent="0.35">
      <c r="B67" s="11">
        <v>18</v>
      </c>
      <c r="C67" s="11" t="s">
        <v>1119</v>
      </c>
      <c r="D67" s="11">
        <v>20</v>
      </c>
      <c r="E67" s="11">
        <v>6</v>
      </c>
      <c r="F67" s="11">
        <v>3.3</v>
      </c>
      <c r="G67" s="11" t="s">
        <v>1127</v>
      </c>
      <c r="H67" s="11" t="s">
        <v>1115</v>
      </c>
      <c r="I67" s="11">
        <v>23</v>
      </c>
      <c r="J67" s="11" t="s">
        <v>1137</v>
      </c>
      <c r="K67" s="11" t="s">
        <v>1165</v>
      </c>
      <c r="L67" s="11" t="s">
        <v>1118</v>
      </c>
      <c r="M67" s="11">
        <v>2015</v>
      </c>
    </row>
    <row r="68" spans="2:13" x14ac:dyDescent="0.35">
      <c r="B68" s="11">
        <v>25</v>
      </c>
      <c r="C68" s="11" t="s">
        <v>1119</v>
      </c>
      <c r="D68" s="11">
        <v>27</v>
      </c>
      <c r="E68" s="11">
        <v>4</v>
      </c>
      <c r="F68" s="11">
        <v>2</v>
      </c>
      <c r="G68" s="11" t="s">
        <v>1121</v>
      </c>
      <c r="H68" s="11" t="s">
        <v>1115</v>
      </c>
      <c r="I68" s="11">
        <v>30</v>
      </c>
      <c r="J68" s="11" t="s">
        <v>1116</v>
      </c>
      <c r="K68" s="11" t="s">
        <v>1122</v>
      </c>
      <c r="L68" s="11" t="s">
        <v>1118</v>
      </c>
      <c r="M68" s="11">
        <v>2015</v>
      </c>
    </row>
    <row r="69" spans="2:13" x14ac:dyDescent="0.35">
      <c r="B69" s="11">
        <v>24</v>
      </c>
      <c r="C69" s="11" t="s">
        <v>1119</v>
      </c>
      <c r="D69" s="11">
        <v>26</v>
      </c>
      <c r="E69" s="11">
        <v>4</v>
      </c>
      <c r="F69" s="11">
        <v>2.5</v>
      </c>
      <c r="G69" s="11" t="s">
        <v>1121</v>
      </c>
      <c r="H69" s="11" t="s">
        <v>1115</v>
      </c>
      <c r="I69" s="11">
        <v>29</v>
      </c>
      <c r="J69" s="11" t="s">
        <v>1116</v>
      </c>
      <c r="K69" s="11" t="s">
        <v>1122</v>
      </c>
      <c r="L69" s="11" t="s">
        <v>1118</v>
      </c>
      <c r="M69" s="11">
        <v>2015</v>
      </c>
    </row>
    <row r="70" spans="2:13" x14ac:dyDescent="0.35">
      <c r="B70" s="11">
        <v>17</v>
      </c>
      <c r="C70" s="11" t="s">
        <v>1119</v>
      </c>
      <c r="D70" s="11">
        <v>20</v>
      </c>
      <c r="E70" s="11">
        <v>6</v>
      </c>
      <c r="F70" s="11">
        <v>3</v>
      </c>
      <c r="G70" s="11" t="s">
        <v>1127</v>
      </c>
      <c r="H70" s="11" t="s">
        <v>1115</v>
      </c>
      <c r="I70" s="11">
        <v>24</v>
      </c>
      <c r="J70" s="11" t="s">
        <v>1161</v>
      </c>
      <c r="K70" s="11" t="s">
        <v>1166</v>
      </c>
      <c r="L70" s="11" t="s">
        <v>1118</v>
      </c>
      <c r="M70" s="11">
        <v>2015</v>
      </c>
    </row>
    <row r="71" spans="2:13" x14ac:dyDescent="0.35">
      <c r="B71" s="11">
        <v>17</v>
      </c>
      <c r="C71" s="11" t="s">
        <v>1119</v>
      </c>
      <c r="D71" s="11">
        <v>20</v>
      </c>
      <c r="E71" s="11">
        <v>6</v>
      </c>
      <c r="F71" s="11">
        <v>3</v>
      </c>
      <c r="G71" s="11" t="s">
        <v>1127</v>
      </c>
      <c r="H71" s="11" t="s">
        <v>1115</v>
      </c>
      <c r="I71" s="11">
        <v>24</v>
      </c>
      <c r="J71" s="11" t="s">
        <v>1161</v>
      </c>
      <c r="K71" s="11" t="s">
        <v>1167</v>
      </c>
      <c r="L71" s="11" t="s">
        <v>1118</v>
      </c>
      <c r="M71" s="11">
        <v>2015</v>
      </c>
    </row>
    <row r="72" spans="2:13" x14ac:dyDescent="0.35">
      <c r="B72" s="11">
        <v>22</v>
      </c>
      <c r="C72" s="11" t="s">
        <v>1141</v>
      </c>
      <c r="D72" s="11">
        <v>26</v>
      </c>
      <c r="E72" s="11">
        <v>4</v>
      </c>
      <c r="F72" s="11">
        <v>2</v>
      </c>
      <c r="G72" s="11" t="s">
        <v>1127</v>
      </c>
      <c r="H72" s="11" t="s">
        <v>1115</v>
      </c>
      <c r="I72" s="11">
        <v>31</v>
      </c>
      <c r="J72" s="11" t="s">
        <v>1135</v>
      </c>
      <c r="K72" s="11" t="s">
        <v>1168</v>
      </c>
      <c r="L72" s="11" t="s">
        <v>1118</v>
      </c>
      <c r="M72" s="11">
        <v>2015</v>
      </c>
    </row>
    <row r="73" spans="2:13" x14ac:dyDescent="0.35">
      <c r="B73" s="11">
        <v>22</v>
      </c>
      <c r="C73" s="11" t="s">
        <v>1123</v>
      </c>
      <c r="D73" s="11">
        <v>26</v>
      </c>
      <c r="E73" s="11">
        <v>4</v>
      </c>
      <c r="F73" s="11">
        <v>2</v>
      </c>
      <c r="G73" s="11" t="s">
        <v>1127</v>
      </c>
      <c r="H73" s="11" t="s">
        <v>1115</v>
      </c>
      <c r="I73" s="11">
        <v>31</v>
      </c>
      <c r="J73" s="11" t="s">
        <v>1135</v>
      </c>
      <c r="K73" s="11" t="s">
        <v>1169</v>
      </c>
      <c r="L73" s="11" t="s">
        <v>1118</v>
      </c>
      <c r="M73" s="11">
        <v>2015</v>
      </c>
    </row>
    <row r="74" spans="2:13" x14ac:dyDescent="0.35">
      <c r="B74" s="11">
        <v>21</v>
      </c>
      <c r="C74" s="11" t="s">
        <v>1160</v>
      </c>
      <c r="D74" s="11">
        <v>24</v>
      </c>
      <c r="E74" s="11">
        <v>4</v>
      </c>
      <c r="F74" s="11">
        <v>2</v>
      </c>
      <c r="G74" s="11" t="s">
        <v>1127</v>
      </c>
      <c r="H74" s="11" t="s">
        <v>1115</v>
      </c>
      <c r="I74" s="11">
        <v>28</v>
      </c>
      <c r="J74" s="11" t="s">
        <v>1128</v>
      </c>
      <c r="K74" s="11" t="s">
        <v>1170</v>
      </c>
      <c r="L74" s="11" t="s">
        <v>1117</v>
      </c>
      <c r="M74" s="11">
        <v>2015</v>
      </c>
    </row>
    <row r="75" spans="2:13" x14ac:dyDescent="0.35">
      <c r="B75" s="11">
        <v>17</v>
      </c>
      <c r="C75" s="11" t="s">
        <v>1160</v>
      </c>
      <c r="D75" s="11">
        <v>19</v>
      </c>
      <c r="E75" s="11">
        <v>4</v>
      </c>
      <c r="F75" s="11">
        <v>2.5</v>
      </c>
      <c r="G75" s="11" t="s">
        <v>1127</v>
      </c>
      <c r="H75" s="11" t="s">
        <v>1115</v>
      </c>
      <c r="I75" s="11">
        <v>23</v>
      </c>
      <c r="J75" s="11" t="s">
        <v>1128</v>
      </c>
      <c r="K75" s="11" t="s">
        <v>1170</v>
      </c>
      <c r="L75" s="11" t="s">
        <v>1117</v>
      </c>
      <c r="M75" s="11">
        <v>2015</v>
      </c>
    </row>
    <row r="76" spans="2:13" x14ac:dyDescent="0.35">
      <c r="B76" s="11">
        <v>19</v>
      </c>
      <c r="C76" s="11" t="s">
        <v>1160</v>
      </c>
      <c r="D76" s="11">
        <v>22</v>
      </c>
      <c r="E76" s="11">
        <v>6</v>
      </c>
      <c r="F76" s="11">
        <v>3</v>
      </c>
      <c r="G76" s="11" t="s">
        <v>1127</v>
      </c>
      <c r="H76" s="11" t="s">
        <v>1115</v>
      </c>
      <c r="I76" s="11">
        <v>28</v>
      </c>
      <c r="J76" s="11" t="s">
        <v>1161</v>
      </c>
      <c r="K76" s="11" t="s">
        <v>1162</v>
      </c>
      <c r="L76" s="11" t="s">
        <v>1118</v>
      </c>
      <c r="M76" s="11">
        <v>2015</v>
      </c>
    </row>
    <row r="77" spans="2:13" x14ac:dyDescent="0.35">
      <c r="B77" s="11">
        <v>19</v>
      </c>
      <c r="C77" s="11" t="s">
        <v>1113</v>
      </c>
      <c r="D77" s="11">
        <v>22</v>
      </c>
      <c r="E77" s="11">
        <v>6</v>
      </c>
      <c r="F77" s="11">
        <v>3</v>
      </c>
      <c r="G77" s="11" t="s">
        <v>1127</v>
      </c>
      <c r="H77" s="11" t="s">
        <v>1115</v>
      </c>
      <c r="I77" s="11">
        <v>28</v>
      </c>
      <c r="J77" s="11" t="s">
        <v>1161</v>
      </c>
      <c r="K77" s="11" t="s">
        <v>1171</v>
      </c>
      <c r="L77" s="11" t="s">
        <v>1118</v>
      </c>
      <c r="M77" s="11">
        <v>2015</v>
      </c>
    </row>
    <row r="78" spans="2:13" x14ac:dyDescent="0.35">
      <c r="B78" s="11">
        <v>20</v>
      </c>
      <c r="C78" s="11" t="s">
        <v>1172</v>
      </c>
      <c r="D78" s="11">
        <v>23</v>
      </c>
      <c r="E78" s="11">
        <v>5</v>
      </c>
      <c r="F78" s="11">
        <v>2.5</v>
      </c>
      <c r="G78" s="11" t="s">
        <v>1127</v>
      </c>
      <c r="H78" s="11" t="s">
        <v>1115</v>
      </c>
      <c r="I78" s="11">
        <v>28</v>
      </c>
      <c r="J78" s="11" t="s">
        <v>1161</v>
      </c>
      <c r="K78" s="11" t="s">
        <v>1173</v>
      </c>
      <c r="L78" s="11" t="s">
        <v>1118</v>
      </c>
      <c r="M78" s="11">
        <v>2015</v>
      </c>
    </row>
    <row r="79" spans="2:13" x14ac:dyDescent="0.35">
      <c r="B79" s="11">
        <v>19</v>
      </c>
      <c r="C79" s="11" t="s">
        <v>1172</v>
      </c>
      <c r="D79" s="11">
        <v>22</v>
      </c>
      <c r="E79" s="11">
        <v>6</v>
      </c>
      <c r="F79" s="11">
        <v>3</v>
      </c>
      <c r="G79" s="11" t="s">
        <v>1127</v>
      </c>
      <c r="H79" s="11" t="s">
        <v>1115</v>
      </c>
      <c r="I79" s="11">
        <v>28</v>
      </c>
      <c r="J79" s="11" t="s">
        <v>1161</v>
      </c>
      <c r="K79" s="11" t="s">
        <v>1173</v>
      </c>
      <c r="L79" s="11" t="s">
        <v>1118</v>
      </c>
      <c r="M79" s="11">
        <v>2015</v>
      </c>
    </row>
    <row r="80" spans="2:13" x14ac:dyDescent="0.35">
      <c r="B80" s="11">
        <v>16</v>
      </c>
      <c r="C80" s="11" t="s">
        <v>1174</v>
      </c>
      <c r="D80" s="11">
        <v>19</v>
      </c>
      <c r="E80" s="11">
        <v>8</v>
      </c>
      <c r="F80" s="11">
        <v>5.3</v>
      </c>
      <c r="G80" s="11" t="s">
        <v>1124</v>
      </c>
      <c r="H80" s="11" t="s">
        <v>1115</v>
      </c>
      <c r="I80" s="11">
        <v>23</v>
      </c>
      <c r="J80" s="11" t="s">
        <v>1175</v>
      </c>
      <c r="K80" s="11" t="s">
        <v>1176</v>
      </c>
      <c r="L80" s="11" t="s">
        <v>1118</v>
      </c>
      <c r="M80" s="11">
        <v>2015</v>
      </c>
    </row>
    <row r="81" spans="2:13" x14ac:dyDescent="0.35">
      <c r="B81" s="11">
        <v>16</v>
      </c>
      <c r="C81" s="11" t="s">
        <v>1174</v>
      </c>
      <c r="D81" s="11">
        <v>19</v>
      </c>
      <c r="E81" s="11">
        <v>8</v>
      </c>
      <c r="F81" s="11">
        <v>5.3</v>
      </c>
      <c r="G81" s="11" t="s">
        <v>1124</v>
      </c>
      <c r="H81" s="11" t="s">
        <v>1115</v>
      </c>
      <c r="I81" s="11">
        <v>23</v>
      </c>
      <c r="J81" s="11" t="s">
        <v>1177</v>
      </c>
      <c r="K81" s="11" t="s">
        <v>1178</v>
      </c>
      <c r="L81" s="11" t="s">
        <v>1118</v>
      </c>
      <c r="M81" s="11">
        <v>2015</v>
      </c>
    </row>
    <row r="82" spans="2:13" x14ac:dyDescent="0.35">
      <c r="B82" s="11">
        <v>16</v>
      </c>
      <c r="C82" s="11" t="s">
        <v>1174</v>
      </c>
      <c r="D82" s="11">
        <v>18</v>
      </c>
      <c r="E82" s="11">
        <v>8</v>
      </c>
      <c r="F82" s="11">
        <v>5.3</v>
      </c>
      <c r="G82" s="11" t="s">
        <v>1121</v>
      </c>
      <c r="H82" s="11" t="s">
        <v>1115</v>
      </c>
      <c r="I82" s="11">
        <v>22</v>
      </c>
      <c r="J82" s="11" t="s">
        <v>1175</v>
      </c>
      <c r="K82" s="11" t="s">
        <v>1179</v>
      </c>
      <c r="L82" s="11" t="s">
        <v>1118</v>
      </c>
      <c r="M82" s="11">
        <v>2015</v>
      </c>
    </row>
    <row r="83" spans="2:13" x14ac:dyDescent="0.35">
      <c r="B83" s="11">
        <v>16</v>
      </c>
      <c r="C83" s="11" t="s">
        <v>1174</v>
      </c>
      <c r="D83" s="11">
        <v>18</v>
      </c>
      <c r="E83" s="11">
        <v>8</v>
      </c>
      <c r="F83" s="11">
        <v>5.3</v>
      </c>
      <c r="G83" s="11" t="s">
        <v>1121</v>
      </c>
      <c r="H83" s="11" t="s">
        <v>1115</v>
      </c>
      <c r="I83" s="11">
        <v>22</v>
      </c>
      <c r="J83" s="11" t="s">
        <v>1177</v>
      </c>
      <c r="K83" s="11" t="s">
        <v>1180</v>
      </c>
      <c r="L83" s="11" t="s">
        <v>1118</v>
      </c>
      <c r="M83" s="11">
        <v>2015</v>
      </c>
    </row>
    <row r="84" spans="2:13" x14ac:dyDescent="0.35">
      <c r="B84" s="11">
        <v>20</v>
      </c>
      <c r="C84" s="11" t="s">
        <v>1119</v>
      </c>
      <c r="D84" s="11">
        <v>23</v>
      </c>
      <c r="E84" s="11">
        <v>4</v>
      </c>
      <c r="F84" s="11">
        <v>2.4</v>
      </c>
      <c r="G84" s="11" t="s">
        <v>1114</v>
      </c>
      <c r="H84" s="11" t="s">
        <v>1115</v>
      </c>
      <c r="I84" s="11">
        <v>27</v>
      </c>
      <c r="J84" s="11" t="s">
        <v>1137</v>
      </c>
      <c r="K84" s="11" t="s">
        <v>1164</v>
      </c>
      <c r="L84" s="11" t="s">
        <v>1118</v>
      </c>
      <c r="M84" s="11">
        <v>2015</v>
      </c>
    </row>
    <row r="85" spans="2:13" x14ac:dyDescent="0.35">
      <c r="B85" s="11">
        <v>15</v>
      </c>
      <c r="C85" s="11" t="s">
        <v>1156</v>
      </c>
      <c r="D85" s="11">
        <v>17</v>
      </c>
      <c r="E85" s="11">
        <v>8</v>
      </c>
      <c r="F85" s="11">
        <v>6.2</v>
      </c>
      <c r="G85" s="11" t="s">
        <v>1124</v>
      </c>
      <c r="H85" s="11" t="s">
        <v>1115</v>
      </c>
      <c r="I85" s="11">
        <v>21</v>
      </c>
      <c r="J85" s="11" t="s">
        <v>1181</v>
      </c>
      <c r="K85" s="11" t="s">
        <v>1182</v>
      </c>
      <c r="L85" s="11" t="s">
        <v>1118</v>
      </c>
      <c r="M85" s="11">
        <v>2015</v>
      </c>
    </row>
    <row r="86" spans="2:13" x14ac:dyDescent="0.35">
      <c r="B86" s="11">
        <v>15</v>
      </c>
      <c r="C86" s="11" t="s">
        <v>1156</v>
      </c>
      <c r="D86" s="11">
        <v>17</v>
      </c>
      <c r="E86" s="11">
        <v>8</v>
      </c>
      <c r="F86" s="11">
        <v>6.2</v>
      </c>
      <c r="G86" s="11" t="s">
        <v>1124</v>
      </c>
      <c r="H86" s="11" t="s">
        <v>1115</v>
      </c>
      <c r="I86" s="11">
        <v>21</v>
      </c>
      <c r="J86" s="11" t="s">
        <v>1181</v>
      </c>
      <c r="K86" s="11" t="s">
        <v>1183</v>
      </c>
      <c r="L86" s="11" t="s">
        <v>1118</v>
      </c>
      <c r="M86" s="11">
        <v>2015</v>
      </c>
    </row>
    <row r="87" spans="2:13" x14ac:dyDescent="0.35">
      <c r="B87" s="11">
        <v>16</v>
      </c>
      <c r="C87" s="11" t="s">
        <v>1156</v>
      </c>
      <c r="D87" s="11">
        <v>18</v>
      </c>
      <c r="E87" s="11">
        <v>8</v>
      </c>
      <c r="F87" s="11">
        <v>5.3</v>
      </c>
      <c r="G87" s="11" t="s">
        <v>1124</v>
      </c>
      <c r="H87" s="11" t="s">
        <v>1115</v>
      </c>
      <c r="I87" s="11">
        <v>23</v>
      </c>
      <c r="J87" s="11" t="s">
        <v>1175</v>
      </c>
      <c r="K87" s="11" t="s">
        <v>1184</v>
      </c>
      <c r="L87" s="11" t="s">
        <v>1118</v>
      </c>
      <c r="M87" s="11">
        <v>2015</v>
      </c>
    </row>
    <row r="88" spans="2:13" x14ac:dyDescent="0.35">
      <c r="B88" s="11">
        <v>16</v>
      </c>
      <c r="C88" s="11" t="s">
        <v>1156</v>
      </c>
      <c r="D88" s="11">
        <v>18</v>
      </c>
      <c r="E88" s="11">
        <v>8</v>
      </c>
      <c r="F88" s="11">
        <v>5.3</v>
      </c>
      <c r="G88" s="11" t="s">
        <v>1124</v>
      </c>
      <c r="H88" s="11" t="s">
        <v>1115</v>
      </c>
      <c r="I88" s="11">
        <v>23</v>
      </c>
      <c r="J88" s="11" t="s">
        <v>1175</v>
      </c>
      <c r="K88" s="11" t="s">
        <v>1185</v>
      </c>
      <c r="L88" s="11" t="s">
        <v>1118</v>
      </c>
      <c r="M88" s="11">
        <v>2015</v>
      </c>
    </row>
    <row r="89" spans="2:13" x14ac:dyDescent="0.35">
      <c r="B89" s="11">
        <v>15</v>
      </c>
      <c r="C89" s="11" t="s">
        <v>1156</v>
      </c>
      <c r="D89" s="11">
        <v>17</v>
      </c>
      <c r="E89" s="11">
        <v>8</v>
      </c>
      <c r="F89" s="11">
        <v>6.2</v>
      </c>
      <c r="G89" s="11" t="s">
        <v>1124</v>
      </c>
      <c r="H89" s="11" t="s">
        <v>1115</v>
      </c>
      <c r="I89" s="11">
        <v>21</v>
      </c>
      <c r="J89" s="11" t="s">
        <v>1177</v>
      </c>
      <c r="K89" s="11" t="s">
        <v>1186</v>
      </c>
      <c r="L89" s="11" t="s">
        <v>1118</v>
      </c>
      <c r="M89" s="11">
        <v>2015</v>
      </c>
    </row>
    <row r="90" spans="2:13" x14ac:dyDescent="0.35">
      <c r="B90" s="11">
        <v>15</v>
      </c>
      <c r="C90" s="11" t="s">
        <v>1156</v>
      </c>
      <c r="D90" s="11">
        <v>17</v>
      </c>
      <c r="E90" s="11">
        <v>8</v>
      </c>
      <c r="F90" s="11">
        <v>6.2</v>
      </c>
      <c r="G90" s="11" t="s">
        <v>1124</v>
      </c>
      <c r="H90" s="11" t="s">
        <v>1115</v>
      </c>
      <c r="I90" s="11">
        <v>21</v>
      </c>
      <c r="J90" s="11" t="s">
        <v>1177</v>
      </c>
      <c r="K90" s="11" t="s">
        <v>1187</v>
      </c>
      <c r="L90" s="11" t="s">
        <v>1118</v>
      </c>
      <c r="M90" s="11">
        <v>2015</v>
      </c>
    </row>
    <row r="91" spans="2:13" x14ac:dyDescent="0.35">
      <c r="B91" s="11">
        <v>16</v>
      </c>
      <c r="C91" s="11" t="s">
        <v>1156</v>
      </c>
      <c r="D91" s="11">
        <v>18</v>
      </c>
      <c r="E91" s="11">
        <v>8</v>
      </c>
      <c r="F91" s="11">
        <v>5.3</v>
      </c>
      <c r="G91" s="11" t="s">
        <v>1124</v>
      </c>
      <c r="H91" s="11" t="s">
        <v>1115</v>
      </c>
      <c r="I91" s="11">
        <v>23</v>
      </c>
      <c r="J91" s="11" t="s">
        <v>1177</v>
      </c>
      <c r="K91" s="11" t="s">
        <v>1186</v>
      </c>
      <c r="L91" s="11" t="s">
        <v>1118</v>
      </c>
      <c r="M91" s="11">
        <v>2015</v>
      </c>
    </row>
    <row r="92" spans="2:13" x14ac:dyDescent="0.35">
      <c r="B92" s="11">
        <v>16</v>
      </c>
      <c r="C92" s="11" t="s">
        <v>1156</v>
      </c>
      <c r="D92" s="11">
        <v>18</v>
      </c>
      <c r="E92" s="11">
        <v>8</v>
      </c>
      <c r="F92" s="11">
        <v>5.3</v>
      </c>
      <c r="G92" s="11" t="s">
        <v>1124</v>
      </c>
      <c r="H92" s="11" t="s">
        <v>1115</v>
      </c>
      <c r="I92" s="11">
        <v>23</v>
      </c>
      <c r="J92" s="11" t="s">
        <v>1177</v>
      </c>
      <c r="K92" s="11" t="s">
        <v>1187</v>
      </c>
      <c r="L92" s="11" t="s">
        <v>1118</v>
      </c>
      <c r="M92" s="11">
        <v>2015</v>
      </c>
    </row>
    <row r="93" spans="2:13" x14ac:dyDescent="0.35">
      <c r="B93" s="11">
        <v>14</v>
      </c>
      <c r="C93" s="11" t="s">
        <v>1156</v>
      </c>
      <c r="D93" s="11">
        <v>16</v>
      </c>
      <c r="E93" s="11">
        <v>8</v>
      </c>
      <c r="F93" s="11">
        <v>6.2</v>
      </c>
      <c r="G93" s="11" t="s">
        <v>1121</v>
      </c>
      <c r="H93" s="11" t="s">
        <v>1115</v>
      </c>
      <c r="I93" s="11">
        <v>21</v>
      </c>
      <c r="J93" s="11" t="s">
        <v>1181</v>
      </c>
      <c r="K93" s="11" t="s">
        <v>1188</v>
      </c>
      <c r="L93" s="11" t="s">
        <v>1118</v>
      </c>
      <c r="M93" s="11">
        <v>2015</v>
      </c>
    </row>
    <row r="94" spans="2:13" x14ac:dyDescent="0.35">
      <c r="B94" s="11">
        <v>14</v>
      </c>
      <c r="C94" s="11" t="s">
        <v>1156</v>
      </c>
      <c r="D94" s="11">
        <v>16</v>
      </c>
      <c r="E94" s="11">
        <v>8</v>
      </c>
      <c r="F94" s="11">
        <v>6.2</v>
      </c>
      <c r="G94" s="11" t="s">
        <v>1121</v>
      </c>
      <c r="H94" s="11" t="s">
        <v>1115</v>
      </c>
      <c r="I94" s="11">
        <v>20</v>
      </c>
      <c r="J94" s="11" t="s">
        <v>1181</v>
      </c>
      <c r="K94" s="11" t="s">
        <v>1189</v>
      </c>
      <c r="L94" s="11" t="s">
        <v>1118</v>
      </c>
      <c r="M94" s="11">
        <v>2015</v>
      </c>
    </row>
    <row r="95" spans="2:13" x14ac:dyDescent="0.35">
      <c r="B95" s="11">
        <v>16</v>
      </c>
      <c r="C95" s="11" t="s">
        <v>1156</v>
      </c>
      <c r="D95" s="11">
        <v>18</v>
      </c>
      <c r="E95" s="11">
        <v>8</v>
      </c>
      <c r="F95" s="11">
        <v>5.3</v>
      </c>
      <c r="G95" s="11" t="s">
        <v>1121</v>
      </c>
      <c r="H95" s="11" t="s">
        <v>1115</v>
      </c>
      <c r="I95" s="11">
        <v>22</v>
      </c>
      <c r="J95" s="11" t="s">
        <v>1175</v>
      </c>
      <c r="K95" s="11" t="s">
        <v>1190</v>
      </c>
      <c r="L95" s="11" t="s">
        <v>1118</v>
      </c>
      <c r="M95" s="11">
        <v>2015</v>
      </c>
    </row>
    <row r="96" spans="2:13" x14ac:dyDescent="0.35">
      <c r="B96" s="11">
        <v>15</v>
      </c>
      <c r="C96" s="11" t="s">
        <v>1156</v>
      </c>
      <c r="D96" s="11">
        <v>18</v>
      </c>
      <c r="E96" s="11">
        <v>8</v>
      </c>
      <c r="F96" s="11">
        <v>5.3</v>
      </c>
      <c r="G96" s="11" t="s">
        <v>1121</v>
      </c>
      <c r="H96" s="11" t="s">
        <v>1115</v>
      </c>
      <c r="I96" s="11">
        <v>22</v>
      </c>
      <c r="J96" s="11" t="s">
        <v>1175</v>
      </c>
      <c r="K96" s="11" t="s">
        <v>1191</v>
      </c>
      <c r="L96" s="11" t="s">
        <v>1118</v>
      </c>
      <c r="M96" s="11">
        <v>2015</v>
      </c>
    </row>
    <row r="97" spans="2:13" x14ac:dyDescent="0.35">
      <c r="B97" s="11">
        <v>14</v>
      </c>
      <c r="C97" s="11" t="s">
        <v>1156</v>
      </c>
      <c r="D97" s="11">
        <v>16</v>
      </c>
      <c r="E97" s="11">
        <v>8</v>
      </c>
      <c r="F97" s="11">
        <v>6.2</v>
      </c>
      <c r="G97" s="11" t="s">
        <v>1121</v>
      </c>
      <c r="H97" s="11" t="s">
        <v>1115</v>
      </c>
      <c r="I97" s="11">
        <v>20</v>
      </c>
      <c r="J97" s="11" t="s">
        <v>1177</v>
      </c>
      <c r="K97" s="11" t="s">
        <v>1192</v>
      </c>
      <c r="L97" s="11" t="s">
        <v>1118</v>
      </c>
      <c r="M97" s="11">
        <v>2015</v>
      </c>
    </row>
    <row r="98" spans="2:13" x14ac:dyDescent="0.35">
      <c r="B98" s="11">
        <v>14</v>
      </c>
      <c r="C98" s="11" t="s">
        <v>1156</v>
      </c>
      <c r="D98" s="11">
        <v>16</v>
      </c>
      <c r="E98" s="11">
        <v>8</v>
      </c>
      <c r="F98" s="11">
        <v>6.2</v>
      </c>
      <c r="G98" s="11" t="s">
        <v>1121</v>
      </c>
      <c r="H98" s="11" t="s">
        <v>1115</v>
      </c>
      <c r="I98" s="11">
        <v>21</v>
      </c>
      <c r="J98" s="11" t="s">
        <v>1177</v>
      </c>
      <c r="K98" s="11" t="s">
        <v>1193</v>
      </c>
      <c r="L98" s="11" t="s">
        <v>1118</v>
      </c>
      <c r="M98" s="11">
        <v>2015</v>
      </c>
    </row>
    <row r="99" spans="2:13" x14ac:dyDescent="0.35">
      <c r="B99" s="11">
        <v>15</v>
      </c>
      <c r="C99" s="11" t="s">
        <v>1156</v>
      </c>
      <c r="D99" s="11">
        <v>18</v>
      </c>
      <c r="E99" s="11">
        <v>8</v>
      </c>
      <c r="F99" s="11">
        <v>5.3</v>
      </c>
      <c r="G99" s="11" t="s">
        <v>1121</v>
      </c>
      <c r="H99" s="11" t="s">
        <v>1115</v>
      </c>
      <c r="I99" s="11">
        <v>22</v>
      </c>
      <c r="J99" s="11" t="s">
        <v>1177</v>
      </c>
      <c r="K99" s="11" t="s">
        <v>1192</v>
      </c>
      <c r="L99" s="11" t="s">
        <v>1118</v>
      </c>
      <c r="M99" s="11">
        <v>2015</v>
      </c>
    </row>
    <row r="100" spans="2:13" x14ac:dyDescent="0.35">
      <c r="B100" s="11">
        <v>16</v>
      </c>
      <c r="C100" s="11" t="s">
        <v>1156</v>
      </c>
      <c r="D100" s="11">
        <v>18</v>
      </c>
      <c r="E100" s="11">
        <v>8</v>
      </c>
      <c r="F100" s="11">
        <v>5.3</v>
      </c>
      <c r="G100" s="11" t="s">
        <v>1121</v>
      </c>
      <c r="H100" s="11" t="s">
        <v>1115</v>
      </c>
      <c r="I100" s="11">
        <v>22</v>
      </c>
      <c r="J100" s="11" t="s">
        <v>1177</v>
      </c>
      <c r="K100" s="11" t="s">
        <v>1193</v>
      </c>
      <c r="L100" s="11" t="s">
        <v>1118</v>
      </c>
      <c r="M100" s="11">
        <v>2015</v>
      </c>
    </row>
    <row r="101" spans="2:13" x14ac:dyDescent="0.35">
      <c r="B101" s="11">
        <v>16</v>
      </c>
      <c r="C101" s="11" t="s">
        <v>1141</v>
      </c>
      <c r="D101" s="11">
        <v>18</v>
      </c>
      <c r="E101" s="11">
        <v>8</v>
      </c>
      <c r="F101" s="11">
        <v>5</v>
      </c>
      <c r="G101" s="11" t="s">
        <v>1124</v>
      </c>
      <c r="H101" s="11" t="s">
        <v>1115</v>
      </c>
      <c r="I101" s="11">
        <v>23</v>
      </c>
      <c r="J101" s="11" t="s">
        <v>1194</v>
      </c>
      <c r="K101" s="11" t="s">
        <v>1195</v>
      </c>
      <c r="L101" s="11" t="s">
        <v>1118</v>
      </c>
      <c r="M101" s="11">
        <v>2015</v>
      </c>
    </row>
    <row r="102" spans="2:13" x14ac:dyDescent="0.35">
      <c r="B102" s="11">
        <v>16</v>
      </c>
      <c r="C102" s="11" t="s">
        <v>1141</v>
      </c>
      <c r="D102" s="11">
        <v>18</v>
      </c>
      <c r="E102" s="11">
        <v>8</v>
      </c>
      <c r="F102" s="11">
        <v>5</v>
      </c>
      <c r="G102" s="11" t="s">
        <v>1124</v>
      </c>
      <c r="H102" s="11" t="s">
        <v>1115</v>
      </c>
      <c r="I102" s="11">
        <v>23</v>
      </c>
      <c r="J102" s="11" t="s">
        <v>1194</v>
      </c>
      <c r="K102" s="11" t="s">
        <v>1196</v>
      </c>
      <c r="L102" s="11" t="s">
        <v>1118</v>
      </c>
      <c r="M102" s="11">
        <v>2015</v>
      </c>
    </row>
    <row r="103" spans="2:13" x14ac:dyDescent="0.35">
      <c r="B103" s="11">
        <v>20</v>
      </c>
      <c r="C103" s="11" t="s">
        <v>1141</v>
      </c>
      <c r="D103" s="11">
        <v>23</v>
      </c>
      <c r="E103" s="11">
        <v>6</v>
      </c>
      <c r="F103" s="11">
        <v>3</v>
      </c>
      <c r="G103" s="11" t="s">
        <v>1124</v>
      </c>
      <c r="H103" s="11" t="s">
        <v>1115</v>
      </c>
      <c r="I103" s="11">
        <v>28</v>
      </c>
      <c r="J103" s="11" t="s">
        <v>1194</v>
      </c>
      <c r="K103" s="11" t="s">
        <v>1197</v>
      </c>
      <c r="L103" s="11" t="s">
        <v>1118</v>
      </c>
      <c r="M103" s="11">
        <v>2015</v>
      </c>
    </row>
    <row r="104" spans="2:13" x14ac:dyDescent="0.35">
      <c r="B104" s="11">
        <v>20</v>
      </c>
      <c r="C104" s="11" t="s">
        <v>1141</v>
      </c>
      <c r="D104" s="11">
        <v>23</v>
      </c>
      <c r="E104" s="11">
        <v>6</v>
      </c>
      <c r="F104" s="11">
        <v>3</v>
      </c>
      <c r="G104" s="11" t="s">
        <v>1124</v>
      </c>
      <c r="H104" s="11" t="s">
        <v>1115</v>
      </c>
      <c r="I104" s="11">
        <v>28</v>
      </c>
      <c r="J104" s="11" t="s">
        <v>1194</v>
      </c>
      <c r="K104" s="11" t="s">
        <v>1198</v>
      </c>
      <c r="L104" s="11" t="s">
        <v>1118</v>
      </c>
      <c r="M104" s="11">
        <v>2015</v>
      </c>
    </row>
    <row r="105" spans="2:13" x14ac:dyDescent="0.35">
      <c r="B105" s="11">
        <v>26</v>
      </c>
      <c r="C105" s="11" t="s">
        <v>1113</v>
      </c>
      <c r="D105" s="11">
        <v>30</v>
      </c>
      <c r="E105" s="11">
        <v>4</v>
      </c>
      <c r="F105" s="11">
        <v>2.5</v>
      </c>
      <c r="G105" s="11" t="s">
        <v>1114</v>
      </c>
      <c r="H105" s="11" t="s">
        <v>1115</v>
      </c>
      <c r="I105" s="11">
        <v>37</v>
      </c>
      <c r="J105" s="11" t="s">
        <v>1116</v>
      </c>
      <c r="K105" s="11">
        <v>6</v>
      </c>
      <c r="L105" s="11" t="s">
        <v>1118</v>
      </c>
      <c r="M105" s="11">
        <v>2016</v>
      </c>
    </row>
    <row r="106" spans="2:13" x14ac:dyDescent="0.35">
      <c r="B106" s="11">
        <v>28</v>
      </c>
      <c r="C106" s="11" t="s">
        <v>1113</v>
      </c>
      <c r="D106" s="11">
        <v>32</v>
      </c>
      <c r="E106" s="11">
        <v>4</v>
      </c>
      <c r="F106" s="11">
        <v>2.5</v>
      </c>
      <c r="G106" s="11" t="s">
        <v>1114</v>
      </c>
      <c r="H106" s="11" t="s">
        <v>1115</v>
      </c>
      <c r="I106" s="11">
        <v>38</v>
      </c>
      <c r="J106" s="11" t="s">
        <v>1116</v>
      </c>
      <c r="K106" s="11">
        <v>6</v>
      </c>
      <c r="L106" s="11" t="s">
        <v>1118</v>
      </c>
      <c r="M106" s="11">
        <v>2016</v>
      </c>
    </row>
    <row r="107" spans="2:13" x14ac:dyDescent="0.35">
      <c r="B107" s="11">
        <v>25</v>
      </c>
      <c r="C107" s="11" t="s">
        <v>1113</v>
      </c>
      <c r="D107" s="11">
        <v>29</v>
      </c>
      <c r="E107" s="11">
        <v>4</v>
      </c>
      <c r="F107" s="11">
        <v>2.5</v>
      </c>
      <c r="G107" s="11" t="s">
        <v>1114</v>
      </c>
      <c r="H107" s="11" t="s">
        <v>1115</v>
      </c>
      <c r="I107" s="11">
        <v>36</v>
      </c>
      <c r="J107" s="11" t="s">
        <v>1116</v>
      </c>
      <c r="K107" s="11">
        <v>6</v>
      </c>
      <c r="L107" s="11" t="s">
        <v>1117</v>
      </c>
      <c r="M107" s="11">
        <v>2016</v>
      </c>
    </row>
    <row r="108" spans="2:13" x14ac:dyDescent="0.35">
      <c r="B108" s="11">
        <v>18</v>
      </c>
      <c r="C108" s="11" t="s">
        <v>1119</v>
      </c>
      <c r="D108" s="11">
        <v>21</v>
      </c>
      <c r="E108" s="11">
        <v>6</v>
      </c>
      <c r="F108" s="11">
        <v>3.3</v>
      </c>
      <c r="G108" s="11" t="s">
        <v>1127</v>
      </c>
      <c r="H108" s="11" t="s">
        <v>1115</v>
      </c>
      <c r="I108" s="11">
        <v>25</v>
      </c>
      <c r="J108" s="11" t="s">
        <v>1137</v>
      </c>
      <c r="K108" s="11" t="s">
        <v>1199</v>
      </c>
      <c r="L108" s="11" t="s">
        <v>1118</v>
      </c>
      <c r="M108" s="11">
        <v>2016</v>
      </c>
    </row>
    <row r="109" spans="2:13" x14ac:dyDescent="0.35">
      <c r="B109" s="11">
        <v>20</v>
      </c>
      <c r="C109" s="11" t="s">
        <v>1119</v>
      </c>
      <c r="D109" s="11">
        <v>23</v>
      </c>
      <c r="E109" s="11">
        <v>4</v>
      </c>
      <c r="F109" s="11">
        <v>2</v>
      </c>
      <c r="G109" s="11" t="s">
        <v>1114</v>
      </c>
      <c r="H109" s="11" t="s">
        <v>1115</v>
      </c>
      <c r="I109" s="11">
        <v>27</v>
      </c>
      <c r="J109" s="11" t="s">
        <v>1137</v>
      </c>
      <c r="K109" s="11" t="s">
        <v>1164</v>
      </c>
      <c r="L109" s="11" t="s">
        <v>1118</v>
      </c>
      <c r="M109" s="11">
        <v>2016</v>
      </c>
    </row>
    <row r="110" spans="2:13" x14ac:dyDescent="0.35">
      <c r="B110" s="11">
        <v>21</v>
      </c>
      <c r="C110" s="11" t="s">
        <v>1119</v>
      </c>
      <c r="D110" s="11">
        <v>24</v>
      </c>
      <c r="E110" s="11">
        <v>4</v>
      </c>
      <c r="F110" s="11">
        <v>2.4</v>
      </c>
      <c r="G110" s="11" t="s">
        <v>1114</v>
      </c>
      <c r="H110" s="11" t="s">
        <v>1115</v>
      </c>
      <c r="I110" s="11">
        <v>28</v>
      </c>
      <c r="J110" s="11" t="s">
        <v>1137</v>
      </c>
      <c r="K110" s="11" t="s">
        <v>1164</v>
      </c>
      <c r="L110" s="11" t="s">
        <v>1118</v>
      </c>
      <c r="M110" s="11">
        <v>2016</v>
      </c>
    </row>
    <row r="111" spans="2:13" x14ac:dyDescent="0.35">
      <c r="B111" s="11">
        <v>18</v>
      </c>
      <c r="C111" s="11" t="s">
        <v>1119</v>
      </c>
      <c r="D111" s="11">
        <v>20</v>
      </c>
      <c r="E111" s="11">
        <v>6</v>
      </c>
      <c r="F111" s="11">
        <v>3.3</v>
      </c>
      <c r="G111" s="11" t="s">
        <v>1114</v>
      </c>
      <c r="H111" s="11" t="s">
        <v>1115</v>
      </c>
      <c r="I111" s="11">
        <v>25</v>
      </c>
      <c r="J111" s="11" t="s">
        <v>1137</v>
      </c>
      <c r="K111" s="11" t="s">
        <v>1164</v>
      </c>
      <c r="L111" s="11" t="s">
        <v>1118</v>
      </c>
      <c r="M111" s="11">
        <v>2016</v>
      </c>
    </row>
    <row r="112" spans="2:13" x14ac:dyDescent="0.35">
      <c r="B112" s="11">
        <v>26</v>
      </c>
      <c r="C112" s="11" t="s">
        <v>1119</v>
      </c>
      <c r="D112" s="11">
        <v>29</v>
      </c>
      <c r="E112" s="11">
        <v>4</v>
      </c>
      <c r="F112" s="11">
        <v>2</v>
      </c>
      <c r="G112" s="11" t="s">
        <v>1114</v>
      </c>
      <c r="H112" s="11" t="s">
        <v>1115</v>
      </c>
      <c r="I112" s="11">
        <v>34</v>
      </c>
      <c r="J112" s="11" t="s">
        <v>1116</v>
      </c>
      <c r="K112" s="11" t="s">
        <v>1120</v>
      </c>
      <c r="L112" s="11" t="s">
        <v>1117</v>
      </c>
      <c r="M112" s="11">
        <v>2016</v>
      </c>
    </row>
    <row r="113" spans="2:13" x14ac:dyDescent="0.35">
      <c r="B113" s="11">
        <v>26</v>
      </c>
      <c r="C113" s="11" t="s">
        <v>1119</v>
      </c>
      <c r="D113" s="11">
        <v>29</v>
      </c>
      <c r="E113" s="11">
        <v>4</v>
      </c>
      <c r="F113" s="11">
        <v>2.5</v>
      </c>
      <c r="G113" s="11" t="s">
        <v>1114</v>
      </c>
      <c r="H113" s="11" t="s">
        <v>1115</v>
      </c>
      <c r="I113" s="11">
        <v>33</v>
      </c>
      <c r="J113" s="11" t="s">
        <v>1116</v>
      </c>
      <c r="K113" s="11" t="s">
        <v>1120</v>
      </c>
      <c r="L113" s="11" t="s">
        <v>1118</v>
      </c>
      <c r="M113" s="11">
        <v>2016</v>
      </c>
    </row>
    <row r="114" spans="2:13" x14ac:dyDescent="0.35">
      <c r="B114" s="11">
        <v>19</v>
      </c>
      <c r="C114" s="11" t="s">
        <v>1119</v>
      </c>
      <c r="D114" s="11">
        <v>21</v>
      </c>
      <c r="E114" s="11">
        <v>4</v>
      </c>
      <c r="F114" s="11">
        <v>2</v>
      </c>
      <c r="G114" s="11" t="s">
        <v>1127</v>
      </c>
      <c r="H114" s="11" t="s">
        <v>1115</v>
      </c>
      <c r="I114" s="11">
        <v>25</v>
      </c>
      <c r="J114" s="11" t="s">
        <v>1137</v>
      </c>
      <c r="K114" s="11" t="s">
        <v>1165</v>
      </c>
      <c r="L114" s="11" t="s">
        <v>1118</v>
      </c>
      <c r="M114" s="11">
        <v>2016</v>
      </c>
    </row>
    <row r="115" spans="2:13" x14ac:dyDescent="0.35">
      <c r="B115" s="11">
        <v>21</v>
      </c>
      <c r="C115" s="11" t="s">
        <v>1119</v>
      </c>
      <c r="D115" s="11">
        <v>22</v>
      </c>
      <c r="E115" s="11">
        <v>4</v>
      </c>
      <c r="F115" s="11">
        <v>2.4</v>
      </c>
      <c r="G115" s="11" t="s">
        <v>1127</v>
      </c>
      <c r="H115" s="11" t="s">
        <v>1115</v>
      </c>
      <c r="I115" s="11">
        <v>25</v>
      </c>
      <c r="J115" s="11" t="s">
        <v>1137</v>
      </c>
      <c r="K115" s="11" t="s">
        <v>1165</v>
      </c>
      <c r="L115" s="11" t="s">
        <v>1118</v>
      </c>
      <c r="M115" s="11">
        <v>2016</v>
      </c>
    </row>
    <row r="116" spans="2:13" x14ac:dyDescent="0.35">
      <c r="B116" s="11">
        <v>17</v>
      </c>
      <c r="C116" s="11" t="s">
        <v>1119</v>
      </c>
      <c r="D116" s="11">
        <v>19</v>
      </c>
      <c r="E116" s="11">
        <v>6</v>
      </c>
      <c r="F116" s="11">
        <v>3.3</v>
      </c>
      <c r="G116" s="11" t="s">
        <v>1127</v>
      </c>
      <c r="H116" s="11" t="s">
        <v>1115</v>
      </c>
      <c r="I116" s="11">
        <v>23</v>
      </c>
      <c r="J116" s="11" t="s">
        <v>1137</v>
      </c>
      <c r="K116" s="11" t="s">
        <v>1165</v>
      </c>
      <c r="L116" s="11" t="s">
        <v>1118</v>
      </c>
      <c r="M116" s="11">
        <v>2016</v>
      </c>
    </row>
    <row r="117" spans="2:13" x14ac:dyDescent="0.35">
      <c r="B117" s="11">
        <v>24</v>
      </c>
      <c r="C117" s="11" t="s">
        <v>1119</v>
      </c>
      <c r="D117" s="11">
        <v>26</v>
      </c>
      <c r="E117" s="11">
        <v>4</v>
      </c>
      <c r="F117" s="11">
        <v>2.5</v>
      </c>
      <c r="G117" s="11" t="s">
        <v>1121</v>
      </c>
      <c r="H117" s="11" t="s">
        <v>1115</v>
      </c>
      <c r="I117" s="11">
        <v>29</v>
      </c>
      <c r="J117" s="11" t="s">
        <v>1116</v>
      </c>
      <c r="K117" s="11" t="s">
        <v>1122</v>
      </c>
      <c r="L117" s="11" t="s">
        <v>1118</v>
      </c>
      <c r="M117" s="11">
        <v>2016</v>
      </c>
    </row>
    <row r="118" spans="2:13" x14ac:dyDescent="0.35">
      <c r="B118" s="11">
        <v>20</v>
      </c>
      <c r="C118" s="11" t="s">
        <v>1113</v>
      </c>
      <c r="D118" s="11">
        <v>24</v>
      </c>
      <c r="E118" s="11">
        <v>6</v>
      </c>
      <c r="F118" s="11">
        <v>3</v>
      </c>
      <c r="G118" s="11" t="s">
        <v>1127</v>
      </c>
      <c r="H118" s="11" t="s">
        <v>1115</v>
      </c>
      <c r="I118" s="11">
        <v>29</v>
      </c>
      <c r="J118" s="11" t="s">
        <v>1135</v>
      </c>
      <c r="K118" s="11" t="s">
        <v>1200</v>
      </c>
      <c r="L118" s="11" t="s">
        <v>1118</v>
      </c>
      <c r="M118" s="11">
        <v>2016</v>
      </c>
    </row>
    <row r="119" spans="2:13" x14ac:dyDescent="0.35">
      <c r="B119" s="11">
        <v>20</v>
      </c>
      <c r="C119" s="11" t="s">
        <v>1113</v>
      </c>
      <c r="D119" s="11">
        <v>24</v>
      </c>
      <c r="E119" s="11">
        <v>6</v>
      </c>
      <c r="F119" s="11">
        <v>3</v>
      </c>
      <c r="G119" s="11" t="s">
        <v>1127</v>
      </c>
      <c r="H119" s="11" t="s">
        <v>1115</v>
      </c>
      <c r="I119" s="11">
        <v>29</v>
      </c>
      <c r="J119" s="11" t="s">
        <v>1135</v>
      </c>
      <c r="K119" s="11" t="s">
        <v>1201</v>
      </c>
      <c r="L119" s="11" t="s">
        <v>1118</v>
      </c>
      <c r="M119" s="11">
        <v>2016</v>
      </c>
    </row>
    <row r="120" spans="2:13" x14ac:dyDescent="0.35">
      <c r="B120" s="11">
        <v>25</v>
      </c>
      <c r="C120" s="11" t="s">
        <v>1119</v>
      </c>
      <c r="D120" s="11">
        <v>28</v>
      </c>
      <c r="E120" s="11">
        <v>4</v>
      </c>
      <c r="F120" s="11">
        <v>1.8</v>
      </c>
      <c r="G120" s="11" t="s">
        <v>1114</v>
      </c>
      <c r="H120" s="11" t="s">
        <v>1115</v>
      </c>
      <c r="I120" s="11">
        <v>33</v>
      </c>
      <c r="J120" s="11" t="s">
        <v>1202</v>
      </c>
      <c r="K120" s="11" t="s">
        <v>1203</v>
      </c>
      <c r="L120" s="11" t="s">
        <v>1117</v>
      </c>
      <c r="M120" s="11">
        <v>2016</v>
      </c>
    </row>
    <row r="121" spans="2:13" x14ac:dyDescent="0.35">
      <c r="B121" s="11">
        <v>28</v>
      </c>
      <c r="C121" s="11" t="s">
        <v>1119</v>
      </c>
      <c r="D121" s="11">
        <v>31</v>
      </c>
      <c r="E121" s="11">
        <v>4</v>
      </c>
      <c r="F121" s="11">
        <v>1.8</v>
      </c>
      <c r="G121" s="11" t="s">
        <v>1114</v>
      </c>
      <c r="H121" s="11" t="s">
        <v>1115</v>
      </c>
      <c r="I121" s="11">
        <v>34</v>
      </c>
      <c r="J121" s="11" t="s">
        <v>1202</v>
      </c>
      <c r="K121" s="11" t="s">
        <v>1203</v>
      </c>
      <c r="L121" s="11" t="s">
        <v>1118</v>
      </c>
      <c r="M121" s="11">
        <v>2016</v>
      </c>
    </row>
    <row r="122" spans="2:13" x14ac:dyDescent="0.35">
      <c r="B122" s="11">
        <v>28</v>
      </c>
      <c r="C122" s="11" t="s">
        <v>1119</v>
      </c>
      <c r="D122" s="11">
        <v>31</v>
      </c>
      <c r="E122" s="11">
        <v>4</v>
      </c>
      <c r="F122" s="11">
        <v>1.8</v>
      </c>
      <c r="G122" s="11" t="s">
        <v>1114</v>
      </c>
      <c r="H122" s="11" t="s">
        <v>1115</v>
      </c>
      <c r="I122" s="11">
        <v>34</v>
      </c>
      <c r="J122" s="11" t="s">
        <v>1202</v>
      </c>
      <c r="K122" s="11" t="s">
        <v>1203</v>
      </c>
      <c r="L122" s="11" t="s">
        <v>1118</v>
      </c>
      <c r="M122" s="11">
        <v>2016</v>
      </c>
    </row>
    <row r="123" spans="2:13" x14ac:dyDescent="0.35">
      <c r="B123" s="11">
        <v>27</v>
      </c>
      <c r="C123" s="11" t="s">
        <v>1119</v>
      </c>
      <c r="D123" s="11">
        <v>29</v>
      </c>
      <c r="E123" s="11">
        <v>4</v>
      </c>
      <c r="F123" s="11">
        <v>1.8</v>
      </c>
      <c r="G123" s="11" t="s">
        <v>1127</v>
      </c>
      <c r="H123" s="11" t="s">
        <v>1115</v>
      </c>
      <c r="I123" s="11">
        <v>32</v>
      </c>
      <c r="J123" s="11" t="s">
        <v>1202</v>
      </c>
      <c r="K123" s="11" t="s">
        <v>1204</v>
      </c>
      <c r="L123" s="11" t="s">
        <v>1118</v>
      </c>
      <c r="M123" s="11">
        <v>2016</v>
      </c>
    </row>
    <row r="124" spans="2:13" x14ac:dyDescent="0.35">
      <c r="B124" s="11">
        <v>27</v>
      </c>
      <c r="C124" s="11" t="s">
        <v>1119</v>
      </c>
      <c r="D124" s="11">
        <v>29</v>
      </c>
      <c r="E124" s="11">
        <v>4</v>
      </c>
      <c r="F124" s="11">
        <v>1.8</v>
      </c>
      <c r="G124" s="11" t="s">
        <v>1127</v>
      </c>
      <c r="H124" s="11" t="s">
        <v>1115</v>
      </c>
      <c r="I124" s="11">
        <v>32</v>
      </c>
      <c r="J124" s="11" t="s">
        <v>1202</v>
      </c>
      <c r="K124" s="11" t="s">
        <v>1204</v>
      </c>
      <c r="L124" s="11" t="s">
        <v>1118</v>
      </c>
      <c r="M124" s="11">
        <v>2016</v>
      </c>
    </row>
    <row r="125" spans="2:13" x14ac:dyDescent="0.35">
      <c r="B125" s="11">
        <v>19</v>
      </c>
      <c r="C125" s="11" t="s">
        <v>1141</v>
      </c>
      <c r="D125" s="11">
        <v>22</v>
      </c>
      <c r="E125" s="11">
        <v>6</v>
      </c>
      <c r="F125" s="11">
        <v>3</v>
      </c>
      <c r="G125" s="11" t="s">
        <v>1124</v>
      </c>
      <c r="H125" s="11" t="s">
        <v>1115</v>
      </c>
      <c r="I125" s="11">
        <v>27</v>
      </c>
      <c r="J125" s="11" t="s">
        <v>1194</v>
      </c>
      <c r="K125" s="11" t="s">
        <v>1198</v>
      </c>
      <c r="L125" s="11" t="s">
        <v>1118</v>
      </c>
      <c r="M125" s="11">
        <v>2016</v>
      </c>
    </row>
    <row r="126" spans="2:13" x14ac:dyDescent="0.35">
      <c r="B126" s="11">
        <v>19</v>
      </c>
      <c r="C126" s="11" t="s">
        <v>1141</v>
      </c>
      <c r="D126" s="11">
        <v>22</v>
      </c>
      <c r="E126" s="11">
        <v>6</v>
      </c>
      <c r="F126" s="11">
        <v>3</v>
      </c>
      <c r="G126" s="11" t="s">
        <v>1124</v>
      </c>
      <c r="H126" s="11" t="s">
        <v>1115</v>
      </c>
      <c r="I126" s="11">
        <v>27</v>
      </c>
      <c r="J126" s="11" t="s">
        <v>1194</v>
      </c>
      <c r="K126" s="11" t="s">
        <v>1197</v>
      </c>
      <c r="L126" s="11" t="s">
        <v>1118</v>
      </c>
      <c r="M126" s="11">
        <v>2016</v>
      </c>
    </row>
    <row r="127" spans="2:13" x14ac:dyDescent="0.35">
      <c r="B127" s="11">
        <v>19</v>
      </c>
      <c r="C127" s="11" t="s">
        <v>1141</v>
      </c>
      <c r="D127" s="11">
        <v>22</v>
      </c>
      <c r="E127" s="11">
        <v>6</v>
      </c>
      <c r="F127" s="11">
        <v>3</v>
      </c>
      <c r="G127" s="11" t="s">
        <v>1124</v>
      </c>
      <c r="H127" s="11" t="s">
        <v>1115</v>
      </c>
      <c r="I127" s="11">
        <v>27</v>
      </c>
      <c r="J127" s="11" t="s">
        <v>1194</v>
      </c>
      <c r="K127" s="11" t="s">
        <v>1205</v>
      </c>
      <c r="L127" s="11" t="s">
        <v>1118</v>
      </c>
      <c r="M127" s="11">
        <v>2016</v>
      </c>
    </row>
    <row r="128" spans="2:13" x14ac:dyDescent="0.35">
      <c r="B128" s="11">
        <v>19</v>
      </c>
      <c r="C128" s="11" t="s">
        <v>1141</v>
      </c>
      <c r="D128" s="11">
        <v>22</v>
      </c>
      <c r="E128" s="11">
        <v>6</v>
      </c>
      <c r="F128" s="11">
        <v>3</v>
      </c>
      <c r="G128" s="11" t="s">
        <v>1124</v>
      </c>
      <c r="H128" s="11" t="s">
        <v>1115</v>
      </c>
      <c r="I128" s="11">
        <v>27</v>
      </c>
      <c r="J128" s="11" t="s">
        <v>1194</v>
      </c>
      <c r="K128" s="11" t="s">
        <v>1206</v>
      </c>
      <c r="L128" s="11" t="s">
        <v>1118</v>
      </c>
      <c r="M128" s="11">
        <v>2016</v>
      </c>
    </row>
    <row r="129" spans="2:13" x14ac:dyDescent="0.35">
      <c r="B129" s="11">
        <v>11</v>
      </c>
      <c r="C129" s="11" t="s">
        <v>1113</v>
      </c>
      <c r="D129" s="11">
        <v>14</v>
      </c>
      <c r="E129" s="11">
        <v>8</v>
      </c>
      <c r="F129" s="11">
        <v>6.8</v>
      </c>
      <c r="G129" s="11" t="s">
        <v>1124</v>
      </c>
      <c r="H129" s="11" t="s">
        <v>1115</v>
      </c>
      <c r="I129" s="11">
        <v>18</v>
      </c>
      <c r="J129" s="11" t="s">
        <v>1207</v>
      </c>
      <c r="K129" s="11" t="s">
        <v>1208</v>
      </c>
      <c r="L129" s="11" t="s">
        <v>1118</v>
      </c>
      <c r="M129" s="11">
        <v>2016</v>
      </c>
    </row>
    <row r="130" spans="2:13" x14ac:dyDescent="0.35">
      <c r="B130" s="11">
        <v>28</v>
      </c>
      <c r="C130" s="11" t="s">
        <v>1160</v>
      </c>
      <c r="D130" s="11">
        <v>31</v>
      </c>
      <c r="E130" s="11">
        <v>4</v>
      </c>
      <c r="F130" s="11">
        <v>1.6</v>
      </c>
      <c r="G130" s="11" t="s">
        <v>1114</v>
      </c>
      <c r="H130" s="11" t="s">
        <v>1115</v>
      </c>
      <c r="I130" s="11">
        <v>35</v>
      </c>
      <c r="J130" s="11" t="s">
        <v>1209</v>
      </c>
      <c r="K130" s="11" t="s">
        <v>1210</v>
      </c>
      <c r="L130" s="11" t="s">
        <v>1118</v>
      </c>
      <c r="M130" s="11">
        <v>2016</v>
      </c>
    </row>
    <row r="131" spans="2:13" x14ac:dyDescent="0.35">
      <c r="B131" s="11">
        <v>27</v>
      </c>
      <c r="C131" s="11" t="s">
        <v>1160</v>
      </c>
      <c r="D131" s="11">
        <v>30</v>
      </c>
      <c r="E131" s="11">
        <v>4</v>
      </c>
      <c r="F131" s="11">
        <v>1.6</v>
      </c>
      <c r="G131" s="11" t="s">
        <v>1114</v>
      </c>
      <c r="H131" s="11" t="s">
        <v>1115</v>
      </c>
      <c r="I131" s="11">
        <v>34</v>
      </c>
      <c r="J131" s="11" t="s">
        <v>1209</v>
      </c>
      <c r="K131" s="11" t="s">
        <v>1210</v>
      </c>
      <c r="L131" s="11" t="s">
        <v>1117</v>
      </c>
      <c r="M131" s="11">
        <v>2016</v>
      </c>
    </row>
    <row r="132" spans="2:13" x14ac:dyDescent="0.35">
      <c r="B132" s="11">
        <v>24</v>
      </c>
      <c r="C132" s="11" t="s">
        <v>1113</v>
      </c>
      <c r="D132" s="11">
        <v>27</v>
      </c>
      <c r="E132" s="11">
        <v>4</v>
      </c>
      <c r="F132" s="11">
        <v>2</v>
      </c>
      <c r="G132" s="11" t="s">
        <v>1114</v>
      </c>
      <c r="H132" s="11" t="s">
        <v>1115</v>
      </c>
      <c r="I132" s="11">
        <v>32</v>
      </c>
      <c r="J132" s="11" t="s">
        <v>1209</v>
      </c>
      <c r="K132" s="11" t="s">
        <v>1211</v>
      </c>
      <c r="L132" s="11" t="s">
        <v>1117</v>
      </c>
      <c r="M132" s="11">
        <v>2016</v>
      </c>
    </row>
    <row r="133" spans="2:13" x14ac:dyDescent="0.35">
      <c r="B133" s="11">
        <v>126</v>
      </c>
      <c r="C133" s="11" t="s">
        <v>1123</v>
      </c>
      <c r="D133" s="11">
        <v>112</v>
      </c>
      <c r="E133" s="11"/>
      <c r="F133" s="11"/>
      <c r="G133" s="11" t="s">
        <v>1124</v>
      </c>
      <c r="H133" s="11" t="s">
        <v>1212</v>
      </c>
      <c r="I133" s="11">
        <v>99</v>
      </c>
      <c r="J133" s="11" t="s">
        <v>1213</v>
      </c>
      <c r="K133" s="11" t="s">
        <v>1214</v>
      </c>
      <c r="L133" s="11" t="s">
        <v>1118</v>
      </c>
      <c r="M133" s="11">
        <v>2016</v>
      </c>
    </row>
    <row r="134" spans="2:13" x14ac:dyDescent="0.35">
      <c r="B134" s="11">
        <v>18</v>
      </c>
      <c r="C134" s="11" t="s">
        <v>1141</v>
      </c>
      <c r="D134" s="11">
        <v>21</v>
      </c>
      <c r="E134" s="11">
        <v>6</v>
      </c>
      <c r="F134" s="11">
        <v>3</v>
      </c>
      <c r="G134" s="11" t="s">
        <v>1127</v>
      </c>
      <c r="H134" s="11" t="s">
        <v>1115</v>
      </c>
      <c r="I134" s="11">
        <v>26</v>
      </c>
      <c r="J134" s="11" t="s">
        <v>1194</v>
      </c>
      <c r="K134" s="11" t="s">
        <v>1215</v>
      </c>
      <c r="L134" s="11" t="s">
        <v>1118</v>
      </c>
      <c r="M134" s="11">
        <v>2016</v>
      </c>
    </row>
    <row r="135" spans="2:13" x14ac:dyDescent="0.35">
      <c r="B135" s="11">
        <v>18</v>
      </c>
      <c r="C135" s="11" t="s">
        <v>1141</v>
      </c>
      <c r="D135" s="11">
        <v>21</v>
      </c>
      <c r="E135" s="11">
        <v>6</v>
      </c>
      <c r="F135" s="11">
        <v>3</v>
      </c>
      <c r="G135" s="11" t="s">
        <v>1127</v>
      </c>
      <c r="H135" s="11" t="s">
        <v>1115</v>
      </c>
      <c r="I135" s="11">
        <v>26</v>
      </c>
      <c r="J135" s="11" t="s">
        <v>1194</v>
      </c>
      <c r="K135" s="11" t="s">
        <v>1216</v>
      </c>
      <c r="L135" s="11" t="s">
        <v>1118</v>
      </c>
      <c r="M135" s="11">
        <v>2016</v>
      </c>
    </row>
    <row r="136" spans="2:13" x14ac:dyDescent="0.35">
      <c r="B136" s="11">
        <v>25</v>
      </c>
      <c r="C136" s="11" t="s">
        <v>1160</v>
      </c>
      <c r="D136" s="11">
        <v>29</v>
      </c>
      <c r="E136" s="11">
        <v>4</v>
      </c>
      <c r="F136" s="11">
        <v>2.4</v>
      </c>
      <c r="G136" s="11" t="s">
        <v>1114</v>
      </c>
      <c r="H136" s="11" t="s">
        <v>1115</v>
      </c>
      <c r="I136" s="11">
        <v>35</v>
      </c>
      <c r="J136" s="11" t="s">
        <v>1217</v>
      </c>
      <c r="K136" s="11" t="s">
        <v>1218</v>
      </c>
      <c r="L136" s="11" t="s">
        <v>1118</v>
      </c>
      <c r="M136" s="11">
        <v>2016</v>
      </c>
    </row>
    <row r="137" spans="2:13" x14ac:dyDescent="0.35">
      <c r="B137" s="11">
        <v>24</v>
      </c>
      <c r="C137" s="11" t="s">
        <v>1113</v>
      </c>
      <c r="D137" s="11">
        <v>27</v>
      </c>
      <c r="E137" s="11">
        <v>4</v>
      </c>
      <c r="F137" s="11">
        <v>2</v>
      </c>
      <c r="G137" s="11" t="s">
        <v>1114</v>
      </c>
      <c r="H137" s="11" t="s">
        <v>1115</v>
      </c>
      <c r="I137" s="11">
        <v>32</v>
      </c>
      <c r="J137" s="11" t="s">
        <v>1209</v>
      </c>
      <c r="K137" s="11" t="s">
        <v>1211</v>
      </c>
      <c r="L137" s="11" t="s">
        <v>1118</v>
      </c>
      <c r="M137" s="11">
        <v>2016</v>
      </c>
    </row>
    <row r="138" spans="2:13" x14ac:dyDescent="0.35">
      <c r="B138" s="11">
        <v>16</v>
      </c>
      <c r="C138" s="11" t="s">
        <v>1141</v>
      </c>
      <c r="D138" s="11">
        <v>18</v>
      </c>
      <c r="E138" s="11">
        <v>8</v>
      </c>
      <c r="F138" s="11">
        <v>5</v>
      </c>
      <c r="G138" s="11" t="s">
        <v>1124</v>
      </c>
      <c r="H138" s="11" t="s">
        <v>1115</v>
      </c>
      <c r="I138" s="11">
        <v>23</v>
      </c>
      <c r="J138" s="11" t="s">
        <v>1194</v>
      </c>
      <c r="K138" s="11" t="s">
        <v>1219</v>
      </c>
      <c r="L138" s="11" t="s">
        <v>1118</v>
      </c>
      <c r="M138" s="11">
        <v>2016</v>
      </c>
    </row>
    <row r="139" spans="2:13" x14ac:dyDescent="0.35">
      <c r="B139" s="11">
        <v>15</v>
      </c>
      <c r="C139" s="11" t="s">
        <v>1141</v>
      </c>
      <c r="D139" s="11">
        <v>18</v>
      </c>
      <c r="E139" s="11">
        <v>8</v>
      </c>
      <c r="F139" s="11">
        <v>5</v>
      </c>
      <c r="G139" s="11" t="s">
        <v>1127</v>
      </c>
      <c r="H139" s="11" t="s">
        <v>1115</v>
      </c>
      <c r="I139" s="11">
        <v>23</v>
      </c>
      <c r="J139" s="11" t="s">
        <v>1194</v>
      </c>
      <c r="K139" s="11" t="s">
        <v>1220</v>
      </c>
      <c r="L139" s="11" t="s">
        <v>1118</v>
      </c>
      <c r="M139" s="11">
        <v>2016</v>
      </c>
    </row>
    <row r="140" spans="2:13" x14ac:dyDescent="0.35">
      <c r="B140" s="11">
        <v>15</v>
      </c>
      <c r="C140" s="11" t="s">
        <v>1141</v>
      </c>
      <c r="D140" s="11">
        <v>18</v>
      </c>
      <c r="E140" s="11">
        <v>8</v>
      </c>
      <c r="F140" s="11">
        <v>5</v>
      </c>
      <c r="G140" s="11" t="s">
        <v>1127</v>
      </c>
      <c r="H140" s="11" t="s">
        <v>1115</v>
      </c>
      <c r="I140" s="11">
        <v>23</v>
      </c>
      <c r="J140" s="11" t="s">
        <v>1194</v>
      </c>
      <c r="K140" s="11" t="s">
        <v>1221</v>
      </c>
      <c r="L140" s="11" t="s">
        <v>1118</v>
      </c>
      <c r="M140" s="11">
        <v>2016</v>
      </c>
    </row>
    <row r="141" spans="2:13" x14ac:dyDescent="0.35">
      <c r="B141" s="11">
        <v>15</v>
      </c>
      <c r="C141" s="11" t="s">
        <v>1133</v>
      </c>
      <c r="D141" s="11">
        <v>18</v>
      </c>
      <c r="E141" s="11">
        <v>8</v>
      </c>
      <c r="F141" s="11">
        <v>5</v>
      </c>
      <c r="G141" s="11" t="s">
        <v>1124</v>
      </c>
      <c r="H141" s="11" t="s">
        <v>1115</v>
      </c>
      <c r="I141" s="11">
        <v>23</v>
      </c>
      <c r="J141" s="11" t="s">
        <v>1194</v>
      </c>
      <c r="K141" s="11" t="s">
        <v>1222</v>
      </c>
      <c r="L141" s="11" t="s">
        <v>1118</v>
      </c>
      <c r="M141" s="11">
        <v>2016</v>
      </c>
    </row>
    <row r="142" spans="2:13" x14ac:dyDescent="0.35">
      <c r="B142" s="11">
        <v>15</v>
      </c>
      <c r="C142" s="11" t="s">
        <v>1133</v>
      </c>
      <c r="D142" s="11">
        <v>18</v>
      </c>
      <c r="E142" s="11">
        <v>8</v>
      </c>
      <c r="F142" s="11">
        <v>5</v>
      </c>
      <c r="G142" s="11" t="s">
        <v>1124</v>
      </c>
      <c r="H142" s="11" t="s">
        <v>1115</v>
      </c>
      <c r="I142" s="11">
        <v>23</v>
      </c>
      <c r="J142" s="11" t="s">
        <v>1194</v>
      </c>
      <c r="K142" s="11" t="s">
        <v>1223</v>
      </c>
      <c r="L142" s="11" t="s">
        <v>1118</v>
      </c>
      <c r="M142" s="11">
        <v>2016</v>
      </c>
    </row>
    <row r="143" spans="2:13" x14ac:dyDescent="0.35">
      <c r="B143" s="11">
        <v>20</v>
      </c>
      <c r="C143" s="11" t="s">
        <v>1113</v>
      </c>
      <c r="D143" s="11">
        <v>23</v>
      </c>
      <c r="E143" s="11">
        <v>6</v>
      </c>
      <c r="F143" s="11">
        <v>3.5</v>
      </c>
      <c r="G143" s="11" t="s">
        <v>1114</v>
      </c>
      <c r="H143" s="11" t="s">
        <v>1115</v>
      </c>
      <c r="I143" s="11">
        <v>30</v>
      </c>
      <c r="J143" s="11" t="s">
        <v>1217</v>
      </c>
      <c r="K143" s="11" t="s">
        <v>1224</v>
      </c>
      <c r="L143" s="11" t="s">
        <v>1118</v>
      </c>
      <c r="M143" s="11">
        <v>2016</v>
      </c>
    </row>
    <row r="144" spans="2:13" x14ac:dyDescent="0.35">
      <c r="B144" s="11">
        <v>28</v>
      </c>
      <c r="C144" s="11" t="s">
        <v>1113</v>
      </c>
      <c r="D144" s="11">
        <v>30</v>
      </c>
      <c r="E144" s="11">
        <v>6</v>
      </c>
      <c r="F144" s="11">
        <v>3.5</v>
      </c>
      <c r="G144" s="11" t="s">
        <v>1127</v>
      </c>
      <c r="H144" s="11" t="s">
        <v>1115</v>
      </c>
      <c r="I144" s="11">
        <v>31</v>
      </c>
      <c r="J144" s="11" t="s">
        <v>1217</v>
      </c>
      <c r="K144" s="11" t="s">
        <v>1225</v>
      </c>
      <c r="L144" s="11" t="s">
        <v>1118</v>
      </c>
      <c r="M144" s="11">
        <v>2016</v>
      </c>
    </row>
    <row r="145" spans="2:13" x14ac:dyDescent="0.35">
      <c r="B145" s="11">
        <v>16</v>
      </c>
      <c r="C145" s="11" t="s">
        <v>1123</v>
      </c>
      <c r="D145" s="11">
        <v>19</v>
      </c>
      <c r="E145" s="11">
        <v>6</v>
      </c>
      <c r="F145" s="11">
        <v>3.8</v>
      </c>
      <c r="G145" s="11" t="s">
        <v>1127</v>
      </c>
      <c r="H145" s="11" t="s">
        <v>1115</v>
      </c>
      <c r="I145" s="11">
        <v>22</v>
      </c>
      <c r="J145" s="11" t="s">
        <v>1131</v>
      </c>
      <c r="K145" s="11" t="s">
        <v>1132</v>
      </c>
      <c r="L145" s="11" t="s">
        <v>1118</v>
      </c>
      <c r="M145" s="11">
        <v>2016</v>
      </c>
    </row>
    <row r="146" spans="2:13" x14ac:dyDescent="0.35">
      <c r="B146" s="11">
        <v>26</v>
      </c>
      <c r="C146" s="11" t="s">
        <v>1160</v>
      </c>
      <c r="D146" s="11">
        <v>29</v>
      </c>
      <c r="E146" s="11">
        <v>4</v>
      </c>
      <c r="F146" s="11">
        <v>1.6</v>
      </c>
      <c r="G146" s="11" t="s">
        <v>1114</v>
      </c>
      <c r="H146" s="11" t="s">
        <v>1115</v>
      </c>
      <c r="I146" s="11">
        <v>32</v>
      </c>
      <c r="J146" s="11" t="s">
        <v>1209</v>
      </c>
      <c r="K146" s="11" t="s">
        <v>1210</v>
      </c>
      <c r="L146" s="11" t="s">
        <v>1118</v>
      </c>
      <c r="M146" s="11">
        <v>2016</v>
      </c>
    </row>
    <row r="147" spans="2:13" x14ac:dyDescent="0.35">
      <c r="B147" s="11">
        <v>25</v>
      </c>
      <c r="C147" s="11" t="s">
        <v>1160</v>
      </c>
      <c r="D147" s="11">
        <v>28</v>
      </c>
      <c r="E147" s="11">
        <v>4</v>
      </c>
      <c r="F147" s="11">
        <v>1.6</v>
      </c>
      <c r="G147" s="11" t="s">
        <v>1114</v>
      </c>
      <c r="H147" s="11" t="s">
        <v>1115</v>
      </c>
      <c r="I147" s="11">
        <v>33</v>
      </c>
      <c r="J147" s="11" t="s">
        <v>1209</v>
      </c>
      <c r="K147" s="11" t="s">
        <v>1210</v>
      </c>
      <c r="L147" s="11" t="s">
        <v>1117</v>
      </c>
      <c r="M147" s="11">
        <v>2016</v>
      </c>
    </row>
    <row r="148" spans="2:13" x14ac:dyDescent="0.35">
      <c r="B148" s="11">
        <v>25</v>
      </c>
      <c r="C148" s="11" t="s">
        <v>1113</v>
      </c>
      <c r="D148" s="11">
        <v>30</v>
      </c>
      <c r="E148" s="11">
        <v>6</v>
      </c>
      <c r="F148" s="11">
        <v>3</v>
      </c>
      <c r="G148" s="11" t="s">
        <v>1127</v>
      </c>
      <c r="H148" s="11" t="s">
        <v>1134</v>
      </c>
      <c r="I148" s="11">
        <v>38</v>
      </c>
      <c r="J148" s="11" t="s">
        <v>1135</v>
      </c>
      <c r="K148" s="11" t="s">
        <v>1201</v>
      </c>
      <c r="L148" s="11" t="s">
        <v>1118</v>
      </c>
      <c r="M148" s="11">
        <v>2016</v>
      </c>
    </row>
    <row r="149" spans="2:13" x14ac:dyDescent="0.35">
      <c r="B149" s="11">
        <v>15</v>
      </c>
      <c r="C149" s="11" t="s">
        <v>1133</v>
      </c>
      <c r="D149" s="11">
        <v>18</v>
      </c>
      <c r="E149" s="11">
        <v>8</v>
      </c>
      <c r="F149" s="11">
        <v>5</v>
      </c>
      <c r="G149" s="11" t="s">
        <v>1124</v>
      </c>
      <c r="H149" s="11" t="s">
        <v>1115</v>
      </c>
      <c r="I149" s="11">
        <v>23</v>
      </c>
      <c r="J149" s="11" t="s">
        <v>1209</v>
      </c>
      <c r="K149" s="11" t="s">
        <v>1226</v>
      </c>
      <c r="L149" s="11" t="s">
        <v>1118</v>
      </c>
      <c r="M149" s="11">
        <v>2016</v>
      </c>
    </row>
    <row r="150" spans="2:13" x14ac:dyDescent="0.35">
      <c r="B150" s="11">
        <v>18</v>
      </c>
      <c r="C150" s="11" t="s">
        <v>1227</v>
      </c>
      <c r="D150" s="11">
        <v>20</v>
      </c>
      <c r="E150" s="11">
        <v>6</v>
      </c>
      <c r="F150" s="11">
        <v>3.3</v>
      </c>
      <c r="G150" s="11" t="s">
        <v>1114</v>
      </c>
      <c r="H150" s="11" t="s">
        <v>1115</v>
      </c>
      <c r="I150" s="11">
        <v>24</v>
      </c>
      <c r="J150" s="11" t="s">
        <v>1137</v>
      </c>
      <c r="K150" s="11" t="s">
        <v>1228</v>
      </c>
      <c r="L150" s="11" t="s">
        <v>1118</v>
      </c>
      <c r="M150" s="11">
        <v>2016</v>
      </c>
    </row>
    <row r="151" spans="2:13" x14ac:dyDescent="0.35">
      <c r="B151" s="11">
        <v>18</v>
      </c>
      <c r="C151" s="11" t="s">
        <v>1227</v>
      </c>
      <c r="D151" s="11">
        <v>21</v>
      </c>
      <c r="E151" s="11">
        <v>6</v>
      </c>
      <c r="F151" s="11">
        <v>3.3</v>
      </c>
      <c r="G151" s="11" t="s">
        <v>1114</v>
      </c>
      <c r="H151" s="11" t="s">
        <v>1115</v>
      </c>
      <c r="I151" s="11">
        <v>25</v>
      </c>
      <c r="J151" s="11" t="s">
        <v>1137</v>
      </c>
      <c r="K151" s="11" t="s">
        <v>1229</v>
      </c>
      <c r="L151" s="11" t="s">
        <v>1118</v>
      </c>
      <c r="M151" s="11">
        <v>2016</v>
      </c>
    </row>
    <row r="152" spans="2:13" x14ac:dyDescent="0.35">
      <c r="B152" s="11">
        <v>17</v>
      </c>
      <c r="C152" s="11" t="s">
        <v>1227</v>
      </c>
      <c r="D152" s="11">
        <v>19</v>
      </c>
      <c r="E152" s="11">
        <v>6</v>
      </c>
      <c r="F152" s="11">
        <v>3.3</v>
      </c>
      <c r="G152" s="11" t="s">
        <v>1114</v>
      </c>
      <c r="H152" s="11" t="s">
        <v>1115</v>
      </c>
      <c r="I152" s="11">
        <v>22</v>
      </c>
      <c r="J152" s="11" t="s">
        <v>1137</v>
      </c>
      <c r="K152" s="11" t="s">
        <v>1230</v>
      </c>
      <c r="L152" s="11" t="s">
        <v>1118</v>
      </c>
      <c r="M152" s="11">
        <v>2016</v>
      </c>
    </row>
    <row r="153" spans="2:13" x14ac:dyDescent="0.35">
      <c r="B153" s="11">
        <v>17</v>
      </c>
      <c r="C153" s="11" t="s">
        <v>1156</v>
      </c>
      <c r="D153" s="11">
        <v>20</v>
      </c>
      <c r="E153" s="11">
        <v>6</v>
      </c>
      <c r="F153" s="11">
        <v>3.6</v>
      </c>
      <c r="G153" s="11" t="s">
        <v>1127</v>
      </c>
      <c r="H153" s="11" t="s">
        <v>1115</v>
      </c>
      <c r="I153" s="11">
        <v>24</v>
      </c>
      <c r="J153" s="11" t="s">
        <v>1158</v>
      </c>
      <c r="K153" s="11" t="s">
        <v>1231</v>
      </c>
      <c r="L153" s="11" t="s">
        <v>1118</v>
      </c>
      <c r="M153" s="11">
        <v>2016</v>
      </c>
    </row>
    <row r="154" spans="2:13" x14ac:dyDescent="0.35">
      <c r="B154" s="11">
        <v>22</v>
      </c>
      <c r="C154" s="11" t="s">
        <v>1141</v>
      </c>
      <c r="D154" s="11">
        <v>26</v>
      </c>
      <c r="E154" s="11">
        <v>4</v>
      </c>
      <c r="F154" s="11">
        <v>2</v>
      </c>
      <c r="G154" s="11" t="s">
        <v>1124</v>
      </c>
      <c r="H154" s="11" t="s">
        <v>1115</v>
      </c>
      <c r="I154" s="11">
        <v>32</v>
      </c>
      <c r="J154" s="11" t="s">
        <v>1232</v>
      </c>
      <c r="K154" s="11" t="s">
        <v>1233</v>
      </c>
      <c r="L154" s="11" t="s">
        <v>1118</v>
      </c>
      <c r="M154" s="11">
        <v>2016</v>
      </c>
    </row>
    <row r="155" spans="2:13" x14ac:dyDescent="0.35">
      <c r="B155" s="11">
        <v>20</v>
      </c>
      <c r="C155" s="11" t="s">
        <v>1119</v>
      </c>
      <c r="D155" s="11">
        <v>23</v>
      </c>
      <c r="E155" s="11">
        <v>4</v>
      </c>
      <c r="F155" s="11">
        <v>2</v>
      </c>
      <c r="G155" s="11" t="s">
        <v>1114</v>
      </c>
      <c r="H155" s="11" t="s">
        <v>1115</v>
      </c>
      <c r="I155" s="11">
        <v>28</v>
      </c>
      <c r="J155" s="11" t="s">
        <v>1209</v>
      </c>
      <c r="K155" s="11" t="s">
        <v>1234</v>
      </c>
      <c r="L155" s="11" t="s">
        <v>1118</v>
      </c>
      <c r="M155" s="11">
        <v>2017</v>
      </c>
    </row>
    <row r="156" spans="2:13" x14ac:dyDescent="0.35">
      <c r="B156" s="11">
        <v>20</v>
      </c>
      <c r="C156" s="11" t="s">
        <v>1119</v>
      </c>
      <c r="D156" s="11">
        <v>23</v>
      </c>
      <c r="E156" s="11">
        <v>4</v>
      </c>
      <c r="F156" s="11">
        <v>2</v>
      </c>
      <c r="G156" s="11" t="s">
        <v>1114</v>
      </c>
      <c r="H156" s="11" t="s">
        <v>1115</v>
      </c>
      <c r="I156" s="11">
        <v>27</v>
      </c>
      <c r="J156" s="11" t="s">
        <v>1209</v>
      </c>
      <c r="K156" s="11" t="s">
        <v>1235</v>
      </c>
      <c r="L156" s="11" t="s">
        <v>1118</v>
      </c>
      <c r="M156" s="11">
        <v>2017</v>
      </c>
    </row>
    <row r="157" spans="2:13" x14ac:dyDescent="0.35">
      <c r="B157" s="11">
        <v>19</v>
      </c>
      <c r="C157" s="11" t="s">
        <v>1119</v>
      </c>
      <c r="D157" s="11">
        <v>22</v>
      </c>
      <c r="E157" s="11">
        <v>4</v>
      </c>
      <c r="F157" s="11">
        <v>2</v>
      </c>
      <c r="G157" s="11" t="s">
        <v>1127</v>
      </c>
      <c r="H157" s="11" t="s">
        <v>1115</v>
      </c>
      <c r="I157" s="11">
        <v>26</v>
      </c>
      <c r="J157" s="11" t="s">
        <v>1209</v>
      </c>
      <c r="K157" s="11" t="s">
        <v>1236</v>
      </c>
      <c r="L157" s="11" t="s">
        <v>1118</v>
      </c>
      <c r="M157" s="11">
        <v>2017</v>
      </c>
    </row>
    <row r="158" spans="2:13" x14ac:dyDescent="0.35">
      <c r="B158" s="11">
        <v>19</v>
      </c>
      <c r="C158" s="11" t="s">
        <v>1119</v>
      </c>
      <c r="D158" s="11">
        <v>21</v>
      </c>
      <c r="E158" s="11">
        <v>4</v>
      </c>
      <c r="F158" s="11">
        <v>2</v>
      </c>
      <c r="G158" s="11" t="s">
        <v>1127</v>
      </c>
      <c r="H158" s="11" t="s">
        <v>1115</v>
      </c>
      <c r="I158" s="11">
        <v>24</v>
      </c>
      <c r="J158" s="11" t="s">
        <v>1209</v>
      </c>
      <c r="K158" s="11" t="s">
        <v>1237</v>
      </c>
      <c r="L158" s="11" t="s">
        <v>1118</v>
      </c>
      <c r="M158" s="11">
        <v>2017</v>
      </c>
    </row>
    <row r="159" spans="2:13" x14ac:dyDescent="0.35">
      <c r="B159" s="11">
        <v>19</v>
      </c>
      <c r="C159" s="11" t="s">
        <v>1156</v>
      </c>
      <c r="D159" s="11">
        <v>21</v>
      </c>
      <c r="E159" s="11">
        <v>6</v>
      </c>
      <c r="F159" s="11">
        <v>3</v>
      </c>
      <c r="G159" s="11" t="s">
        <v>1127</v>
      </c>
      <c r="H159" s="11" t="s">
        <v>1115</v>
      </c>
      <c r="I159" s="11">
        <v>25</v>
      </c>
      <c r="J159" s="11" t="s">
        <v>1135</v>
      </c>
      <c r="K159" s="11" t="s">
        <v>1238</v>
      </c>
      <c r="L159" s="11" t="s">
        <v>1118</v>
      </c>
      <c r="M159" s="11">
        <v>2017</v>
      </c>
    </row>
    <row r="160" spans="2:13" x14ac:dyDescent="0.35">
      <c r="B160" s="11">
        <v>29</v>
      </c>
      <c r="C160" s="11" t="s">
        <v>1113</v>
      </c>
      <c r="D160" s="11">
        <v>33</v>
      </c>
      <c r="E160" s="11">
        <v>4</v>
      </c>
      <c r="F160" s="11">
        <v>2</v>
      </c>
      <c r="G160" s="11" t="s">
        <v>1114</v>
      </c>
      <c r="H160" s="11" t="s">
        <v>1115</v>
      </c>
      <c r="I160" s="11">
        <v>38</v>
      </c>
      <c r="J160" s="11" t="s">
        <v>1209</v>
      </c>
      <c r="K160" s="11" t="s">
        <v>1239</v>
      </c>
      <c r="L160" s="11" t="s">
        <v>1118</v>
      </c>
      <c r="M160" s="11">
        <v>2017</v>
      </c>
    </row>
    <row r="161" spans="2:13" x14ac:dyDescent="0.35">
      <c r="B161" s="11">
        <v>28</v>
      </c>
      <c r="C161" s="11" t="s">
        <v>1113</v>
      </c>
      <c r="D161" s="11">
        <v>32</v>
      </c>
      <c r="E161" s="11">
        <v>4</v>
      </c>
      <c r="F161" s="11">
        <v>2</v>
      </c>
      <c r="G161" s="11" t="s">
        <v>1114</v>
      </c>
      <c r="H161" s="11" t="s">
        <v>1115</v>
      </c>
      <c r="I161" s="11">
        <v>37</v>
      </c>
      <c r="J161" s="11" t="s">
        <v>1209</v>
      </c>
      <c r="K161" s="11" t="s">
        <v>1240</v>
      </c>
      <c r="L161" s="11" t="s">
        <v>1118</v>
      </c>
      <c r="M161" s="11">
        <v>2017</v>
      </c>
    </row>
    <row r="162" spans="2:13" x14ac:dyDescent="0.35">
      <c r="B162" s="11">
        <v>26</v>
      </c>
      <c r="C162" s="11" t="s">
        <v>1113</v>
      </c>
      <c r="D162" s="11">
        <v>29</v>
      </c>
      <c r="E162" s="11">
        <v>4</v>
      </c>
      <c r="F162" s="11">
        <v>2</v>
      </c>
      <c r="G162" s="11" t="s">
        <v>1114</v>
      </c>
      <c r="H162" s="11" t="s">
        <v>1115</v>
      </c>
      <c r="I162" s="11">
        <v>36</v>
      </c>
      <c r="J162" s="11" t="s">
        <v>1209</v>
      </c>
      <c r="K162" s="11" t="s">
        <v>1240</v>
      </c>
      <c r="L162" s="11" t="s">
        <v>1117</v>
      </c>
      <c r="M162" s="11">
        <v>2017</v>
      </c>
    </row>
    <row r="163" spans="2:13" x14ac:dyDescent="0.35">
      <c r="B163" s="11">
        <v>18</v>
      </c>
      <c r="C163" s="11" t="s">
        <v>1119</v>
      </c>
      <c r="D163" s="11">
        <v>21</v>
      </c>
      <c r="E163" s="11">
        <v>6</v>
      </c>
      <c r="F163" s="11">
        <v>3.3</v>
      </c>
      <c r="G163" s="11" t="s">
        <v>1114</v>
      </c>
      <c r="H163" s="11" t="s">
        <v>1115</v>
      </c>
      <c r="I163" s="11">
        <v>25</v>
      </c>
      <c r="J163" s="11" t="s">
        <v>1209</v>
      </c>
      <c r="K163" s="11" t="s">
        <v>1241</v>
      </c>
      <c r="L163" s="11" t="s">
        <v>1118</v>
      </c>
      <c r="M163" s="11">
        <v>2017</v>
      </c>
    </row>
    <row r="164" spans="2:13" x14ac:dyDescent="0.35">
      <c r="B164" s="11">
        <v>17</v>
      </c>
      <c r="C164" s="11" t="s">
        <v>1119</v>
      </c>
      <c r="D164" s="11">
        <v>20</v>
      </c>
      <c r="E164" s="11">
        <v>6</v>
      </c>
      <c r="F164" s="11">
        <v>3.3</v>
      </c>
      <c r="G164" s="11" t="s">
        <v>1114</v>
      </c>
      <c r="H164" s="11" t="s">
        <v>1115</v>
      </c>
      <c r="I164" s="11">
        <v>23</v>
      </c>
      <c r="J164" s="11" t="s">
        <v>1209</v>
      </c>
      <c r="K164" s="11" t="s">
        <v>1242</v>
      </c>
      <c r="L164" s="11" t="s">
        <v>1118</v>
      </c>
      <c r="M164" s="11">
        <v>2017</v>
      </c>
    </row>
    <row r="165" spans="2:13" x14ac:dyDescent="0.35">
      <c r="B165" s="11">
        <v>18</v>
      </c>
      <c r="C165" s="11" t="s">
        <v>1119</v>
      </c>
      <c r="D165" s="11">
        <v>20</v>
      </c>
      <c r="E165" s="11">
        <v>6</v>
      </c>
      <c r="F165" s="11">
        <v>3.3</v>
      </c>
      <c r="G165" s="11" t="s">
        <v>1127</v>
      </c>
      <c r="H165" s="11" t="s">
        <v>1115</v>
      </c>
      <c r="I165" s="11">
        <v>24</v>
      </c>
      <c r="J165" s="11" t="s">
        <v>1209</v>
      </c>
      <c r="K165" s="11" t="s">
        <v>1243</v>
      </c>
      <c r="L165" s="11" t="s">
        <v>1118</v>
      </c>
      <c r="M165" s="11">
        <v>2017</v>
      </c>
    </row>
    <row r="166" spans="2:13" x14ac:dyDescent="0.35">
      <c r="B166" s="11">
        <v>17</v>
      </c>
      <c r="C166" s="11" t="s">
        <v>1119</v>
      </c>
      <c r="D166" s="11">
        <v>19</v>
      </c>
      <c r="E166" s="11">
        <v>6</v>
      </c>
      <c r="F166" s="11">
        <v>3.3</v>
      </c>
      <c r="G166" s="11" t="s">
        <v>1127</v>
      </c>
      <c r="H166" s="11" t="s">
        <v>1115</v>
      </c>
      <c r="I166" s="11">
        <v>22</v>
      </c>
      <c r="J166" s="11" t="s">
        <v>1209</v>
      </c>
      <c r="K166" s="11" t="s">
        <v>1244</v>
      </c>
      <c r="L166" s="11" t="s">
        <v>1118</v>
      </c>
      <c r="M166" s="11">
        <v>2017</v>
      </c>
    </row>
    <row r="167" spans="2:13" x14ac:dyDescent="0.35">
      <c r="B167" s="11">
        <v>21</v>
      </c>
      <c r="C167" s="11" t="s">
        <v>1119</v>
      </c>
      <c r="D167" s="11">
        <v>24</v>
      </c>
      <c r="E167" s="11">
        <v>4</v>
      </c>
      <c r="F167" s="11">
        <v>2.4</v>
      </c>
      <c r="G167" s="11" t="s">
        <v>1114</v>
      </c>
      <c r="H167" s="11" t="s">
        <v>1115</v>
      </c>
      <c r="I167" s="11">
        <v>27</v>
      </c>
      <c r="J167" s="11" t="s">
        <v>1209</v>
      </c>
      <c r="K167" s="11" t="s">
        <v>1234</v>
      </c>
      <c r="L167" s="11" t="s">
        <v>1118</v>
      </c>
      <c r="M167" s="11">
        <v>2017</v>
      </c>
    </row>
    <row r="168" spans="2:13" x14ac:dyDescent="0.35">
      <c r="B168" s="11">
        <v>20</v>
      </c>
      <c r="C168" s="11" t="s">
        <v>1119</v>
      </c>
      <c r="D168" s="11">
        <v>22</v>
      </c>
      <c r="E168" s="11">
        <v>4</v>
      </c>
      <c r="F168" s="11">
        <v>2.4</v>
      </c>
      <c r="G168" s="11" t="s">
        <v>1127</v>
      </c>
      <c r="H168" s="11" t="s">
        <v>1115</v>
      </c>
      <c r="I168" s="11">
        <v>26</v>
      </c>
      <c r="J168" s="11" t="s">
        <v>1209</v>
      </c>
      <c r="K168" s="11" t="s">
        <v>1236</v>
      </c>
      <c r="L168" s="11" t="s">
        <v>1118</v>
      </c>
      <c r="M168" s="11">
        <v>2017</v>
      </c>
    </row>
    <row r="169" spans="2:13" x14ac:dyDescent="0.35">
      <c r="B169" s="11">
        <v>22</v>
      </c>
      <c r="C169" s="11" t="s">
        <v>1119</v>
      </c>
      <c r="D169" s="11">
        <v>25</v>
      </c>
      <c r="E169" s="11">
        <v>4</v>
      </c>
      <c r="F169" s="11">
        <v>2.4</v>
      </c>
      <c r="G169" s="11" t="s">
        <v>1114</v>
      </c>
      <c r="H169" s="11" t="s">
        <v>1115</v>
      </c>
      <c r="I169" s="11">
        <v>29</v>
      </c>
      <c r="J169" s="11" t="s">
        <v>1137</v>
      </c>
      <c r="K169" s="11" t="s">
        <v>1245</v>
      </c>
      <c r="L169" s="11" t="s">
        <v>1118</v>
      </c>
      <c r="M169" s="11">
        <v>2017</v>
      </c>
    </row>
    <row r="170" spans="2:13" x14ac:dyDescent="0.35">
      <c r="B170" s="11">
        <v>23</v>
      </c>
      <c r="C170" s="11" t="s">
        <v>1119</v>
      </c>
      <c r="D170" s="11">
        <v>26</v>
      </c>
      <c r="E170" s="11">
        <v>4</v>
      </c>
      <c r="F170" s="11">
        <v>2.4</v>
      </c>
      <c r="G170" s="11" t="s">
        <v>1114</v>
      </c>
      <c r="H170" s="11" t="s">
        <v>1115</v>
      </c>
      <c r="I170" s="11">
        <v>30</v>
      </c>
      <c r="J170" s="11" t="s">
        <v>1137</v>
      </c>
      <c r="K170" s="11" t="s">
        <v>1246</v>
      </c>
      <c r="L170" s="11" t="s">
        <v>1118</v>
      </c>
      <c r="M170" s="11">
        <v>2017</v>
      </c>
    </row>
    <row r="171" spans="2:13" x14ac:dyDescent="0.35">
      <c r="B171" s="11">
        <v>21</v>
      </c>
      <c r="C171" s="11" t="s">
        <v>1119</v>
      </c>
      <c r="D171" s="11">
        <v>23</v>
      </c>
      <c r="E171" s="11">
        <v>4</v>
      </c>
      <c r="F171" s="11">
        <v>2</v>
      </c>
      <c r="G171" s="11" t="s">
        <v>1114</v>
      </c>
      <c r="H171" s="11" t="s">
        <v>1115</v>
      </c>
      <c r="I171" s="11">
        <v>26</v>
      </c>
      <c r="J171" s="11" t="s">
        <v>1137</v>
      </c>
      <c r="K171" s="11" t="s">
        <v>1245</v>
      </c>
      <c r="L171" s="11" t="s">
        <v>1118</v>
      </c>
      <c r="M171" s="11">
        <v>2017</v>
      </c>
    </row>
    <row r="172" spans="2:13" x14ac:dyDescent="0.35">
      <c r="B172" s="11">
        <v>21</v>
      </c>
      <c r="C172" s="11" t="s">
        <v>1119</v>
      </c>
      <c r="D172" s="11">
        <v>23</v>
      </c>
      <c r="E172" s="11">
        <v>4</v>
      </c>
      <c r="F172" s="11">
        <v>2.4</v>
      </c>
      <c r="G172" s="11" t="s">
        <v>1127</v>
      </c>
      <c r="H172" s="11" t="s">
        <v>1115</v>
      </c>
      <c r="I172" s="11">
        <v>25</v>
      </c>
      <c r="J172" s="11" t="s">
        <v>1137</v>
      </c>
      <c r="K172" s="11" t="s">
        <v>1247</v>
      </c>
      <c r="L172" s="11" t="s">
        <v>1118</v>
      </c>
      <c r="M172" s="11">
        <v>2017</v>
      </c>
    </row>
    <row r="173" spans="2:13" x14ac:dyDescent="0.35">
      <c r="B173" s="11">
        <v>21</v>
      </c>
      <c r="C173" s="11" t="s">
        <v>1119</v>
      </c>
      <c r="D173" s="11">
        <v>22</v>
      </c>
      <c r="E173" s="11">
        <v>4</v>
      </c>
      <c r="F173" s="11">
        <v>2.4</v>
      </c>
      <c r="G173" s="11" t="s">
        <v>1127</v>
      </c>
      <c r="H173" s="11" t="s">
        <v>1115</v>
      </c>
      <c r="I173" s="11">
        <v>25</v>
      </c>
      <c r="J173" s="11" t="s">
        <v>1137</v>
      </c>
      <c r="K173" s="11" t="s">
        <v>1248</v>
      </c>
      <c r="L173" s="11" t="s">
        <v>1118</v>
      </c>
      <c r="M173" s="11">
        <v>2017</v>
      </c>
    </row>
    <row r="174" spans="2:13" x14ac:dyDescent="0.35">
      <c r="B174" s="11">
        <v>20</v>
      </c>
      <c r="C174" s="11" t="s">
        <v>1119</v>
      </c>
      <c r="D174" s="11">
        <v>21</v>
      </c>
      <c r="E174" s="11">
        <v>4</v>
      </c>
      <c r="F174" s="11">
        <v>2</v>
      </c>
      <c r="G174" s="11" t="s">
        <v>1127</v>
      </c>
      <c r="H174" s="11" t="s">
        <v>1115</v>
      </c>
      <c r="I174" s="11">
        <v>23</v>
      </c>
      <c r="J174" s="11" t="s">
        <v>1137</v>
      </c>
      <c r="K174" s="11" t="s">
        <v>1247</v>
      </c>
      <c r="L174" s="11" t="s">
        <v>1118</v>
      </c>
      <c r="M174" s="11">
        <v>2017</v>
      </c>
    </row>
    <row r="175" spans="2:13" x14ac:dyDescent="0.35">
      <c r="B175" s="11">
        <v>19</v>
      </c>
      <c r="C175" s="11" t="s">
        <v>1119</v>
      </c>
      <c r="D175" s="11">
        <v>22</v>
      </c>
      <c r="E175" s="11">
        <v>6</v>
      </c>
      <c r="F175" s="11">
        <v>3.6</v>
      </c>
      <c r="G175" s="11" t="s">
        <v>1114</v>
      </c>
      <c r="H175" s="11" t="s">
        <v>1115</v>
      </c>
      <c r="I175" s="11">
        <v>27</v>
      </c>
      <c r="J175" s="11" t="s">
        <v>1181</v>
      </c>
      <c r="K175" s="11" t="s">
        <v>1249</v>
      </c>
      <c r="L175" s="11" t="s">
        <v>1118</v>
      </c>
      <c r="M175" s="11">
        <v>2017</v>
      </c>
    </row>
    <row r="176" spans="2:13" x14ac:dyDescent="0.35">
      <c r="B176" s="11">
        <v>18</v>
      </c>
      <c r="C176" s="11" t="s">
        <v>1119</v>
      </c>
      <c r="D176" s="11">
        <v>21</v>
      </c>
      <c r="E176" s="11">
        <v>6</v>
      </c>
      <c r="F176" s="11">
        <v>3.6</v>
      </c>
      <c r="G176" s="11" t="s">
        <v>1127</v>
      </c>
      <c r="H176" s="11" t="s">
        <v>1115</v>
      </c>
      <c r="I176" s="11">
        <v>26</v>
      </c>
      <c r="J176" s="11" t="s">
        <v>1181</v>
      </c>
      <c r="K176" s="11" t="s">
        <v>1250</v>
      </c>
      <c r="L176" s="11" t="s">
        <v>1118</v>
      </c>
      <c r="M176" s="11">
        <v>2017</v>
      </c>
    </row>
    <row r="177" spans="2:13" x14ac:dyDescent="0.35">
      <c r="B177" s="11">
        <v>33</v>
      </c>
      <c r="C177" s="11" t="s">
        <v>1160</v>
      </c>
      <c r="D177" s="11">
        <v>36</v>
      </c>
      <c r="E177" s="11">
        <v>3</v>
      </c>
      <c r="F177" s="11">
        <v>1.2</v>
      </c>
      <c r="G177" s="11" t="s">
        <v>1114</v>
      </c>
      <c r="H177" s="11" t="s">
        <v>1115</v>
      </c>
      <c r="I177" s="11">
        <v>41</v>
      </c>
      <c r="J177" s="11" t="s">
        <v>1213</v>
      </c>
      <c r="K177" s="11" t="s">
        <v>1251</v>
      </c>
      <c r="L177" s="11" t="s">
        <v>1117</v>
      </c>
      <c r="M177" s="11">
        <v>2017</v>
      </c>
    </row>
    <row r="178" spans="2:13" x14ac:dyDescent="0.35">
      <c r="B178" s="11">
        <v>37</v>
      </c>
      <c r="C178" s="11" t="s">
        <v>1160</v>
      </c>
      <c r="D178" s="11">
        <v>39</v>
      </c>
      <c r="E178" s="11">
        <v>3</v>
      </c>
      <c r="F178" s="11">
        <v>1.2</v>
      </c>
      <c r="G178" s="11" t="s">
        <v>1114</v>
      </c>
      <c r="H178" s="11" t="s">
        <v>1115</v>
      </c>
      <c r="I178" s="11">
        <v>43</v>
      </c>
      <c r="J178" s="11" t="s">
        <v>1213</v>
      </c>
      <c r="K178" s="11" t="s">
        <v>1251</v>
      </c>
      <c r="L178" s="11" t="s">
        <v>1118</v>
      </c>
      <c r="M178" s="11">
        <v>2017</v>
      </c>
    </row>
    <row r="179" spans="2:13" x14ac:dyDescent="0.35">
      <c r="B179" s="11">
        <v>18</v>
      </c>
      <c r="C179" s="11" t="s">
        <v>1227</v>
      </c>
      <c r="D179" s="11">
        <v>22</v>
      </c>
      <c r="E179" s="11">
        <v>6</v>
      </c>
      <c r="F179" s="11">
        <v>3.6</v>
      </c>
      <c r="G179" s="11" t="s">
        <v>1114</v>
      </c>
      <c r="H179" s="11" t="s">
        <v>1115</v>
      </c>
      <c r="I179" s="11">
        <v>28</v>
      </c>
      <c r="J179" s="11" t="s">
        <v>1252</v>
      </c>
      <c r="K179" s="11" t="s">
        <v>1253</v>
      </c>
      <c r="L179" s="11" t="s">
        <v>1118</v>
      </c>
      <c r="M179" s="11">
        <v>2017</v>
      </c>
    </row>
    <row r="180" spans="2:13" x14ac:dyDescent="0.35">
      <c r="B180" s="11">
        <v>121</v>
      </c>
      <c r="C180" s="11" t="s">
        <v>1123</v>
      </c>
      <c r="D180" s="11">
        <v>112</v>
      </c>
      <c r="E180" s="11"/>
      <c r="F180" s="11"/>
      <c r="G180" s="11" t="s">
        <v>1124</v>
      </c>
      <c r="H180" s="11" t="s">
        <v>1212</v>
      </c>
      <c r="I180" s="11">
        <v>102</v>
      </c>
      <c r="J180" s="11" t="s">
        <v>1213</v>
      </c>
      <c r="K180" s="11" t="s">
        <v>1214</v>
      </c>
      <c r="L180" s="11" t="s">
        <v>1118</v>
      </c>
      <c r="M180" s="11">
        <v>2017</v>
      </c>
    </row>
    <row r="181" spans="2:13" x14ac:dyDescent="0.35">
      <c r="B181" s="11">
        <v>14</v>
      </c>
      <c r="C181" s="11" t="s">
        <v>1141</v>
      </c>
      <c r="D181" s="11">
        <v>17</v>
      </c>
      <c r="E181" s="11">
        <v>10</v>
      </c>
      <c r="F181" s="11">
        <v>5.2</v>
      </c>
      <c r="G181" s="11" t="s">
        <v>1127</v>
      </c>
      <c r="H181" s="11" t="s">
        <v>1115</v>
      </c>
      <c r="I181" s="11">
        <v>22</v>
      </c>
      <c r="J181" s="11" t="s">
        <v>1135</v>
      </c>
      <c r="K181" s="11" t="s">
        <v>1143</v>
      </c>
      <c r="L181" s="11" t="s">
        <v>1118</v>
      </c>
      <c r="M181" s="11">
        <v>2017</v>
      </c>
    </row>
    <row r="182" spans="2:13" x14ac:dyDescent="0.35">
      <c r="B182" s="11">
        <v>14</v>
      </c>
      <c r="C182" s="11" t="s">
        <v>1141</v>
      </c>
      <c r="D182" s="11">
        <v>17</v>
      </c>
      <c r="E182" s="11">
        <v>10</v>
      </c>
      <c r="F182" s="11">
        <v>5.2</v>
      </c>
      <c r="G182" s="11" t="s">
        <v>1127</v>
      </c>
      <c r="H182" s="11" t="s">
        <v>1115</v>
      </c>
      <c r="I182" s="11">
        <v>22</v>
      </c>
      <c r="J182" s="11" t="s">
        <v>1135</v>
      </c>
      <c r="K182" s="11" t="s">
        <v>1142</v>
      </c>
      <c r="L182" s="11" t="s">
        <v>1118</v>
      </c>
      <c r="M182" s="11">
        <v>2017</v>
      </c>
    </row>
    <row r="183" spans="2:13" x14ac:dyDescent="0.35">
      <c r="B183" s="11">
        <v>24</v>
      </c>
      <c r="C183" s="11" t="s">
        <v>1160</v>
      </c>
      <c r="D183" s="11">
        <v>27</v>
      </c>
      <c r="E183" s="11">
        <v>4</v>
      </c>
      <c r="F183" s="11">
        <v>2</v>
      </c>
      <c r="G183" s="11" t="s">
        <v>1127</v>
      </c>
      <c r="H183" s="11" t="s">
        <v>1115</v>
      </c>
      <c r="I183" s="11">
        <v>31</v>
      </c>
      <c r="J183" s="11" t="s">
        <v>1135</v>
      </c>
      <c r="K183" s="11" t="s">
        <v>1254</v>
      </c>
      <c r="L183" s="11" t="s">
        <v>1118</v>
      </c>
      <c r="M183" s="11">
        <v>2017</v>
      </c>
    </row>
    <row r="184" spans="2:13" x14ac:dyDescent="0.35">
      <c r="B184" s="11">
        <v>25</v>
      </c>
      <c r="C184" s="11" t="s">
        <v>1160</v>
      </c>
      <c r="D184" s="11">
        <v>28</v>
      </c>
      <c r="E184" s="11">
        <v>4</v>
      </c>
      <c r="F184" s="11">
        <v>2</v>
      </c>
      <c r="G184" s="11" t="s">
        <v>1114</v>
      </c>
      <c r="H184" s="11" t="s">
        <v>1115</v>
      </c>
      <c r="I184" s="11">
        <v>33</v>
      </c>
      <c r="J184" s="11" t="s">
        <v>1135</v>
      </c>
      <c r="K184" s="11" t="s">
        <v>1255</v>
      </c>
      <c r="L184" s="11" t="s">
        <v>1118</v>
      </c>
      <c r="M184" s="11">
        <v>2017</v>
      </c>
    </row>
    <row r="185" spans="2:13" x14ac:dyDescent="0.35">
      <c r="B185" s="11">
        <v>20</v>
      </c>
      <c r="C185" s="11" t="s">
        <v>1160</v>
      </c>
      <c r="D185" s="11">
        <v>23</v>
      </c>
      <c r="E185" s="11">
        <v>4</v>
      </c>
      <c r="F185" s="11">
        <v>2</v>
      </c>
      <c r="G185" s="11" t="s">
        <v>1127</v>
      </c>
      <c r="H185" s="11" t="s">
        <v>1115</v>
      </c>
      <c r="I185" s="11">
        <v>27</v>
      </c>
      <c r="J185" s="11" t="s">
        <v>1128</v>
      </c>
      <c r="K185" s="11" t="s">
        <v>1170</v>
      </c>
      <c r="L185" s="11" t="s">
        <v>1117</v>
      </c>
      <c r="M185" s="11">
        <v>2017</v>
      </c>
    </row>
    <row r="186" spans="2:13" x14ac:dyDescent="0.35">
      <c r="B186" s="11">
        <v>18</v>
      </c>
      <c r="C186" s="11" t="s">
        <v>1160</v>
      </c>
      <c r="D186" s="11">
        <v>21</v>
      </c>
      <c r="E186" s="11">
        <v>4</v>
      </c>
      <c r="F186" s="11">
        <v>2</v>
      </c>
      <c r="G186" s="11" t="s">
        <v>1127</v>
      </c>
      <c r="H186" s="11" t="s">
        <v>1115</v>
      </c>
      <c r="I186" s="11">
        <v>24</v>
      </c>
      <c r="J186" s="11" t="s">
        <v>1128</v>
      </c>
      <c r="K186" s="11" t="s">
        <v>1170</v>
      </c>
      <c r="L186" s="11" t="s">
        <v>1118</v>
      </c>
      <c r="M186" s="11">
        <v>2017</v>
      </c>
    </row>
    <row r="187" spans="2:13" x14ac:dyDescent="0.35">
      <c r="B187" s="11">
        <v>17</v>
      </c>
      <c r="C187" s="11" t="s">
        <v>1160</v>
      </c>
      <c r="D187" s="11">
        <v>19</v>
      </c>
      <c r="E187" s="11">
        <v>4</v>
      </c>
      <c r="F187" s="11">
        <v>2.5</v>
      </c>
      <c r="G187" s="11" t="s">
        <v>1127</v>
      </c>
      <c r="H187" s="11" t="s">
        <v>1115</v>
      </c>
      <c r="I187" s="11">
        <v>23</v>
      </c>
      <c r="J187" s="11" t="s">
        <v>1128</v>
      </c>
      <c r="K187" s="11" t="s">
        <v>1170</v>
      </c>
      <c r="L187" s="11" t="s">
        <v>1117</v>
      </c>
      <c r="M187" s="11">
        <v>2017</v>
      </c>
    </row>
    <row r="188" spans="2:13" x14ac:dyDescent="0.35">
      <c r="B188" s="11">
        <v>19</v>
      </c>
      <c r="C188" s="11" t="s">
        <v>1133</v>
      </c>
      <c r="D188" s="11">
        <v>22</v>
      </c>
      <c r="E188" s="11">
        <v>6</v>
      </c>
      <c r="F188" s="11">
        <v>3</v>
      </c>
      <c r="G188" s="11" t="s">
        <v>1127</v>
      </c>
      <c r="H188" s="11" t="s">
        <v>1115</v>
      </c>
      <c r="I188" s="11">
        <v>28</v>
      </c>
      <c r="J188" s="11" t="s">
        <v>1232</v>
      </c>
      <c r="K188" s="11" t="s">
        <v>1256</v>
      </c>
      <c r="L188" s="11" t="s">
        <v>1118</v>
      </c>
      <c r="M188" s="11">
        <v>2017</v>
      </c>
    </row>
    <row r="189" spans="2:13" x14ac:dyDescent="0.35">
      <c r="B189" s="11">
        <v>20</v>
      </c>
      <c r="C189" s="11" t="s">
        <v>1119</v>
      </c>
      <c r="D189" s="11">
        <v>23</v>
      </c>
      <c r="E189" s="11">
        <v>6</v>
      </c>
      <c r="F189" s="11">
        <v>3.5</v>
      </c>
      <c r="G189" s="11" t="s">
        <v>1114</v>
      </c>
      <c r="H189" s="11" t="s">
        <v>1115</v>
      </c>
      <c r="I189" s="11">
        <v>28</v>
      </c>
      <c r="J189" s="11" t="s">
        <v>1217</v>
      </c>
      <c r="K189" s="11" t="s">
        <v>1257</v>
      </c>
      <c r="L189" s="11" t="s">
        <v>1118</v>
      </c>
      <c r="M189" s="11">
        <v>2017</v>
      </c>
    </row>
    <row r="190" spans="2:13" x14ac:dyDescent="0.35">
      <c r="B190" s="11">
        <v>19</v>
      </c>
      <c r="C190" s="11" t="s">
        <v>1119</v>
      </c>
      <c r="D190" s="11">
        <v>22</v>
      </c>
      <c r="E190" s="11">
        <v>6</v>
      </c>
      <c r="F190" s="11">
        <v>3.5</v>
      </c>
      <c r="G190" s="11" t="s">
        <v>1127</v>
      </c>
      <c r="H190" s="11" t="s">
        <v>1115</v>
      </c>
      <c r="I190" s="11">
        <v>27</v>
      </c>
      <c r="J190" s="11" t="s">
        <v>1217</v>
      </c>
      <c r="K190" s="11" t="s">
        <v>1258</v>
      </c>
      <c r="L190" s="11" t="s">
        <v>1118</v>
      </c>
      <c r="M190" s="11">
        <v>2017</v>
      </c>
    </row>
    <row r="191" spans="2:13" x14ac:dyDescent="0.35">
      <c r="B191" s="11">
        <v>43</v>
      </c>
      <c r="C191" s="11" t="s">
        <v>1160</v>
      </c>
      <c r="D191" s="11">
        <v>42</v>
      </c>
      <c r="E191" s="11">
        <v>4</v>
      </c>
      <c r="F191" s="11">
        <v>1.5</v>
      </c>
      <c r="G191" s="11" t="s">
        <v>1114</v>
      </c>
      <c r="H191" s="11" t="s">
        <v>1115</v>
      </c>
      <c r="I191" s="11">
        <v>42</v>
      </c>
      <c r="J191" s="11" t="s">
        <v>1175</v>
      </c>
      <c r="K191" s="11" t="s">
        <v>1259</v>
      </c>
      <c r="L191" s="11" t="s">
        <v>1118</v>
      </c>
      <c r="M191" s="11">
        <v>2017</v>
      </c>
    </row>
    <row r="192" spans="2:13" x14ac:dyDescent="0.35">
      <c r="B192" s="11">
        <v>15</v>
      </c>
      <c r="C192" s="11" t="s">
        <v>1141</v>
      </c>
      <c r="D192" s="11">
        <v>18</v>
      </c>
      <c r="E192" s="11">
        <v>8</v>
      </c>
      <c r="F192" s="11">
        <v>5</v>
      </c>
      <c r="G192" s="11" t="s">
        <v>1127</v>
      </c>
      <c r="H192" s="11" t="s">
        <v>1115</v>
      </c>
      <c r="I192" s="11">
        <v>23</v>
      </c>
      <c r="J192" s="11" t="s">
        <v>1194</v>
      </c>
      <c r="K192" s="11" t="s">
        <v>1220</v>
      </c>
      <c r="L192" s="11" t="s">
        <v>1118</v>
      </c>
      <c r="M192" s="11">
        <v>2017</v>
      </c>
    </row>
    <row r="193" spans="2:13" x14ac:dyDescent="0.35">
      <c r="B193" s="11">
        <v>15</v>
      </c>
      <c r="C193" s="11" t="s">
        <v>1141</v>
      </c>
      <c r="D193" s="11">
        <v>18</v>
      </c>
      <c r="E193" s="11">
        <v>8</v>
      </c>
      <c r="F193" s="11">
        <v>5</v>
      </c>
      <c r="G193" s="11" t="s">
        <v>1127</v>
      </c>
      <c r="H193" s="11" t="s">
        <v>1115</v>
      </c>
      <c r="I193" s="11">
        <v>23</v>
      </c>
      <c r="J193" s="11" t="s">
        <v>1194</v>
      </c>
      <c r="K193" s="11" t="s">
        <v>1221</v>
      </c>
      <c r="L193" s="11" t="s">
        <v>1118</v>
      </c>
      <c r="M193" s="11">
        <v>2017</v>
      </c>
    </row>
    <row r="194" spans="2:13" x14ac:dyDescent="0.35">
      <c r="B194" s="11">
        <v>20</v>
      </c>
      <c r="C194" s="11" t="s">
        <v>1141</v>
      </c>
      <c r="D194" s="11">
        <v>23</v>
      </c>
      <c r="E194" s="11">
        <v>6</v>
      </c>
      <c r="F194" s="11">
        <v>3</v>
      </c>
      <c r="G194" s="11" t="s">
        <v>1124</v>
      </c>
      <c r="H194" s="11" t="s">
        <v>1115</v>
      </c>
      <c r="I194" s="11">
        <v>28</v>
      </c>
      <c r="J194" s="11" t="s">
        <v>1194</v>
      </c>
      <c r="K194" s="11" t="s">
        <v>1198</v>
      </c>
      <c r="L194" s="11" t="s">
        <v>1118</v>
      </c>
      <c r="M194" s="11">
        <v>2017</v>
      </c>
    </row>
    <row r="195" spans="2:13" x14ac:dyDescent="0.35">
      <c r="B195" s="11">
        <v>20</v>
      </c>
      <c r="C195" s="11" t="s">
        <v>1141</v>
      </c>
      <c r="D195" s="11">
        <v>23</v>
      </c>
      <c r="E195" s="11">
        <v>6</v>
      </c>
      <c r="F195" s="11">
        <v>3</v>
      </c>
      <c r="G195" s="11" t="s">
        <v>1124</v>
      </c>
      <c r="H195" s="11" t="s">
        <v>1115</v>
      </c>
      <c r="I195" s="11">
        <v>28</v>
      </c>
      <c r="J195" s="11" t="s">
        <v>1194</v>
      </c>
      <c r="K195" s="11" t="s">
        <v>1197</v>
      </c>
      <c r="L195" s="11" t="s">
        <v>1118</v>
      </c>
      <c r="M195" s="11">
        <v>2017</v>
      </c>
    </row>
    <row r="196" spans="2:13" x14ac:dyDescent="0.35">
      <c r="B196" s="11">
        <v>19</v>
      </c>
      <c r="C196" s="11" t="s">
        <v>1141</v>
      </c>
      <c r="D196" s="11">
        <v>22</v>
      </c>
      <c r="E196" s="11">
        <v>6</v>
      </c>
      <c r="F196" s="11">
        <v>3</v>
      </c>
      <c r="G196" s="11" t="s">
        <v>1124</v>
      </c>
      <c r="H196" s="11" t="s">
        <v>1115</v>
      </c>
      <c r="I196" s="11">
        <v>27</v>
      </c>
      <c r="J196" s="11" t="s">
        <v>1194</v>
      </c>
      <c r="K196" s="11" t="s">
        <v>1205</v>
      </c>
      <c r="L196" s="11" t="s">
        <v>1118</v>
      </c>
      <c r="M196" s="11">
        <v>2017</v>
      </c>
    </row>
    <row r="197" spans="2:13" x14ac:dyDescent="0.35">
      <c r="B197" s="11">
        <v>19</v>
      </c>
      <c r="C197" s="11" t="s">
        <v>1141</v>
      </c>
      <c r="D197" s="11">
        <v>22</v>
      </c>
      <c r="E197" s="11">
        <v>6</v>
      </c>
      <c r="F197" s="11">
        <v>3</v>
      </c>
      <c r="G197" s="11" t="s">
        <v>1124</v>
      </c>
      <c r="H197" s="11" t="s">
        <v>1115</v>
      </c>
      <c r="I197" s="11">
        <v>27</v>
      </c>
      <c r="J197" s="11" t="s">
        <v>1194</v>
      </c>
      <c r="K197" s="11" t="s">
        <v>1206</v>
      </c>
      <c r="L197" s="11" t="s">
        <v>1118</v>
      </c>
      <c r="M197" s="11">
        <v>2017</v>
      </c>
    </row>
    <row r="198" spans="2:13" x14ac:dyDescent="0.35">
      <c r="B198" s="11">
        <v>18</v>
      </c>
      <c r="C198" s="11" t="s">
        <v>1141</v>
      </c>
      <c r="D198" s="11">
        <v>21</v>
      </c>
      <c r="E198" s="11">
        <v>6</v>
      </c>
      <c r="F198" s="11">
        <v>3</v>
      </c>
      <c r="G198" s="11" t="s">
        <v>1127</v>
      </c>
      <c r="H198" s="11" t="s">
        <v>1115</v>
      </c>
      <c r="I198" s="11">
        <v>26</v>
      </c>
      <c r="J198" s="11" t="s">
        <v>1194</v>
      </c>
      <c r="K198" s="11" t="s">
        <v>1215</v>
      </c>
      <c r="L198" s="11" t="s">
        <v>1118</v>
      </c>
      <c r="M198" s="11">
        <v>2017</v>
      </c>
    </row>
    <row r="199" spans="2:13" x14ac:dyDescent="0.35">
      <c r="B199" s="11">
        <v>18</v>
      </c>
      <c r="C199" s="11" t="s">
        <v>1141</v>
      </c>
      <c r="D199" s="11">
        <v>21</v>
      </c>
      <c r="E199" s="11">
        <v>6</v>
      </c>
      <c r="F199" s="11">
        <v>3</v>
      </c>
      <c r="G199" s="11" t="s">
        <v>1127</v>
      </c>
      <c r="H199" s="11" t="s">
        <v>1115</v>
      </c>
      <c r="I199" s="11">
        <v>26</v>
      </c>
      <c r="J199" s="11" t="s">
        <v>1194</v>
      </c>
      <c r="K199" s="11" t="s">
        <v>1216</v>
      </c>
      <c r="L199" s="11" t="s">
        <v>1118</v>
      </c>
      <c r="M199" s="11">
        <v>2017</v>
      </c>
    </row>
    <row r="200" spans="2:13" x14ac:dyDescent="0.35">
      <c r="B200" s="11">
        <v>16</v>
      </c>
      <c r="C200" s="11" t="s">
        <v>1141</v>
      </c>
      <c r="D200" s="11">
        <v>19</v>
      </c>
      <c r="E200" s="11">
        <v>6</v>
      </c>
      <c r="F200" s="11">
        <v>3</v>
      </c>
      <c r="G200" s="11" t="s">
        <v>1124</v>
      </c>
      <c r="H200" s="11" t="s">
        <v>1115</v>
      </c>
      <c r="I200" s="11">
        <v>24</v>
      </c>
      <c r="J200" s="11" t="s">
        <v>1194</v>
      </c>
      <c r="K200" s="11" t="s">
        <v>1198</v>
      </c>
      <c r="L200" s="11" t="s">
        <v>1117</v>
      </c>
      <c r="M200" s="11">
        <v>2017</v>
      </c>
    </row>
    <row r="201" spans="2:13" x14ac:dyDescent="0.35">
      <c r="B201" s="11">
        <v>16</v>
      </c>
      <c r="C201" s="11" t="s">
        <v>1141</v>
      </c>
      <c r="D201" s="11">
        <v>19</v>
      </c>
      <c r="E201" s="11">
        <v>6</v>
      </c>
      <c r="F201" s="11">
        <v>3</v>
      </c>
      <c r="G201" s="11" t="s">
        <v>1124</v>
      </c>
      <c r="H201" s="11" t="s">
        <v>1115</v>
      </c>
      <c r="I201" s="11">
        <v>24</v>
      </c>
      <c r="J201" s="11" t="s">
        <v>1194</v>
      </c>
      <c r="K201" s="11" t="s">
        <v>1197</v>
      </c>
      <c r="L201" s="11" t="s">
        <v>1117</v>
      </c>
      <c r="M201" s="11">
        <v>2017</v>
      </c>
    </row>
    <row r="202" spans="2:13" x14ac:dyDescent="0.35">
      <c r="B202" s="11">
        <v>15</v>
      </c>
      <c r="C202" s="11" t="s">
        <v>1141</v>
      </c>
      <c r="D202" s="11">
        <v>18</v>
      </c>
      <c r="E202" s="11">
        <v>6</v>
      </c>
      <c r="F202" s="11">
        <v>3</v>
      </c>
      <c r="G202" s="11" t="s">
        <v>1124</v>
      </c>
      <c r="H202" s="11" t="s">
        <v>1115</v>
      </c>
      <c r="I202" s="11">
        <v>24</v>
      </c>
      <c r="J202" s="11" t="s">
        <v>1194</v>
      </c>
      <c r="K202" s="11" t="s">
        <v>1205</v>
      </c>
      <c r="L202" s="11" t="s">
        <v>1117</v>
      </c>
      <c r="M202" s="11">
        <v>2017</v>
      </c>
    </row>
    <row r="203" spans="2:13" x14ac:dyDescent="0.35">
      <c r="B203" s="11">
        <v>15</v>
      </c>
      <c r="C203" s="11" t="s">
        <v>1141</v>
      </c>
      <c r="D203" s="11">
        <v>18</v>
      </c>
      <c r="E203" s="11">
        <v>6</v>
      </c>
      <c r="F203" s="11">
        <v>3</v>
      </c>
      <c r="G203" s="11" t="s">
        <v>1124</v>
      </c>
      <c r="H203" s="11" t="s">
        <v>1115</v>
      </c>
      <c r="I203" s="11">
        <v>24</v>
      </c>
      <c r="J203" s="11" t="s">
        <v>1194</v>
      </c>
      <c r="K203" s="11" t="s">
        <v>1206</v>
      </c>
      <c r="L203" s="11" t="s">
        <v>1117</v>
      </c>
      <c r="M203" s="11">
        <v>2017</v>
      </c>
    </row>
    <row r="204" spans="2:13" x14ac:dyDescent="0.35">
      <c r="B204" s="11">
        <v>22</v>
      </c>
      <c r="C204" s="11" t="s">
        <v>1144</v>
      </c>
      <c r="D204" s="11">
        <v>25</v>
      </c>
      <c r="E204" s="11">
        <v>4</v>
      </c>
      <c r="F204" s="11">
        <v>2</v>
      </c>
      <c r="G204" s="11" t="s">
        <v>1114</v>
      </c>
      <c r="H204" s="11" t="s">
        <v>1115</v>
      </c>
      <c r="I204" s="11">
        <v>31</v>
      </c>
      <c r="J204" s="11" t="s">
        <v>1260</v>
      </c>
      <c r="K204" s="11" t="s">
        <v>1261</v>
      </c>
      <c r="L204" s="11" t="s">
        <v>1117</v>
      </c>
      <c r="M204" s="11">
        <v>2017</v>
      </c>
    </row>
    <row r="205" spans="2:13" x14ac:dyDescent="0.35">
      <c r="B205" s="11">
        <v>26</v>
      </c>
      <c r="C205" s="11" t="s">
        <v>1119</v>
      </c>
      <c r="D205" s="11">
        <v>28</v>
      </c>
      <c r="E205" s="11">
        <v>4</v>
      </c>
      <c r="F205" s="11">
        <v>1.5</v>
      </c>
      <c r="G205" s="11" t="s">
        <v>1114</v>
      </c>
      <c r="H205" s="11" t="s">
        <v>1115</v>
      </c>
      <c r="I205" s="11">
        <v>32</v>
      </c>
      <c r="J205" s="11" t="s">
        <v>1175</v>
      </c>
      <c r="K205" s="11" t="s">
        <v>1262</v>
      </c>
      <c r="L205" s="11" t="s">
        <v>1118</v>
      </c>
      <c r="M205" s="11">
        <v>2018</v>
      </c>
    </row>
    <row r="206" spans="2:13" x14ac:dyDescent="0.35">
      <c r="B206" s="11">
        <v>24</v>
      </c>
      <c r="C206" s="11" t="s">
        <v>1119</v>
      </c>
      <c r="D206" s="11">
        <v>26</v>
      </c>
      <c r="E206" s="11">
        <v>4</v>
      </c>
      <c r="F206" s="11">
        <v>1.5</v>
      </c>
      <c r="G206" s="11" t="s">
        <v>1127</v>
      </c>
      <c r="H206" s="11" t="s">
        <v>1115</v>
      </c>
      <c r="I206" s="11">
        <v>30</v>
      </c>
      <c r="J206" s="11" t="s">
        <v>1175</v>
      </c>
      <c r="K206" s="11" t="s">
        <v>1263</v>
      </c>
      <c r="L206" s="11" t="s">
        <v>1118</v>
      </c>
      <c r="M206" s="11">
        <v>2018</v>
      </c>
    </row>
    <row r="207" spans="2:13" x14ac:dyDescent="0.35">
      <c r="B207" s="11">
        <v>24</v>
      </c>
      <c r="C207" s="11" t="s">
        <v>1123</v>
      </c>
      <c r="D207" s="11">
        <v>27</v>
      </c>
      <c r="E207" s="11">
        <v>4</v>
      </c>
      <c r="F207" s="11">
        <v>2</v>
      </c>
      <c r="G207" s="11" t="s">
        <v>1127</v>
      </c>
      <c r="H207" s="11" t="s">
        <v>1115</v>
      </c>
      <c r="I207" s="11">
        <v>34</v>
      </c>
      <c r="J207" s="11" t="s">
        <v>1135</v>
      </c>
      <c r="K207" s="11" t="s">
        <v>1264</v>
      </c>
      <c r="L207" s="11" t="s">
        <v>1118</v>
      </c>
      <c r="M207" s="11">
        <v>2018</v>
      </c>
    </row>
    <row r="208" spans="2:13" x14ac:dyDescent="0.35">
      <c r="B208" s="11">
        <v>24</v>
      </c>
      <c r="C208" s="11" t="s">
        <v>1123</v>
      </c>
      <c r="D208" s="11">
        <v>27</v>
      </c>
      <c r="E208" s="11">
        <v>4</v>
      </c>
      <c r="F208" s="11">
        <v>2</v>
      </c>
      <c r="G208" s="11" t="s">
        <v>1127</v>
      </c>
      <c r="H208" s="11" t="s">
        <v>1115</v>
      </c>
      <c r="I208" s="11">
        <v>33</v>
      </c>
      <c r="J208" s="11" t="s">
        <v>1135</v>
      </c>
      <c r="K208" s="11" t="s">
        <v>1265</v>
      </c>
      <c r="L208" s="11" t="s">
        <v>1117</v>
      </c>
      <c r="M208" s="11">
        <v>2018</v>
      </c>
    </row>
    <row r="209" spans="2:13" x14ac:dyDescent="0.35">
      <c r="B209" s="11">
        <v>24</v>
      </c>
      <c r="C209" s="11" t="s">
        <v>1160</v>
      </c>
      <c r="D209" s="11">
        <v>27</v>
      </c>
      <c r="E209" s="11">
        <v>4</v>
      </c>
      <c r="F209" s="11">
        <v>2</v>
      </c>
      <c r="G209" s="11" t="s">
        <v>1127</v>
      </c>
      <c r="H209" s="11" t="s">
        <v>1115</v>
      </c>
      <c r="I209" s="11">
        <v>34</v>
      </c>
      <c r="J209" s="11" t="s">
        <v>1135</v>
      </c>
      <c r="K209" s="11" t="s">
        <v>1254</v>
      </c>
      <c r="L209" s="11" t="s">
        <v>1118</v>
      </c>
      <c r="M209" s="11">
        <v>2018</v>
      </c>
    </row>
    <row r="210" spans="2:13" x14ac:dyDescent="0.35">
      <c r="B210" s="11">
        <v>24</v>
      </c>
      <c r="C210" s="11" t="s">
        <v>1160</v>
      </c>
      <c r="D210" s="11">
        <v>27</v>
      </c>
      <c r="E210" s="11">
        <v>4</v>
      </c>
      <c r="F210" s="11">
        <v>2</v>
      </c>
      <c r="G210" s="11" t="s">
        <v>1127</v>
      </c>
      <c r="H210" s="11" t="s">
        <v>1115</v>
      </c>
      <c r="I210" s="11">
        <v>33</v>
      </c>
      <c r="J210" s="11" t="s">
        <v>1135</v>
      </c>
      <c r="K210" s="11" t="s">
        <v>1254</v>
      </c>
      <c r="L210" s="11" t="s">
        <v>1117</v>
      </c>
      <c r="M210" s="11">
        <v>2018</v>
      </c>
    </row>
    <row r="211" spans="2:13" x14ac:dyDescent="0.35">
      <c r="B211" s="11">
        <v>21</v>
      </c>
      <c r="C211" s="11" t="s">
        <v>1160</v>
      </c>
      <c r="D211" s="11">
        <v>23</v>
      </c>
      <c r="E211" s="11">
        <v>4</v>
      </c>
      <c r="F211" s="11">
        <v>2</v>
      </c>
      <c r="G211" s="11" t="s">
        <v>1127</v>
      </c>
      <c r="H211" s="11" t="s">
        <v>1115</v>
      </c>
      <c r="I211" s="11">
        <v>27</v>
      </c>
      <c r="J211" s="11" t="s">
        <v>1128</v>
      </c>
      <c r="K211" s="11" t="s">
        <v>1170</v>
      </c>
      <c r="L211" s="11" t="s">
        <v>1117</v>
      </c>
      <c r="M211" s="11">
        <v>2018</v>
      </c>
    </row>
    <row r="212" spans="2:13" x14ac:dyDescent="0.35">
      <c r="B212" s="11">
        <v>18</v>
      </c>
      <c r="C212" s="11" t="s">
        <v>1160</v>
      </c>
      <c r="D212" s="11">
        <v>21</v>
      </c>
      <c r="E212" s="11">
        <v>4</v>
      </c>
      <c r="F212" s="11">
        <v>2</v>
      </c>
      <c r="G212" s="11" t="s">
        <v>1127</v>
      </c>
      <c r="H212" s="11" t="s">
        <v>1115</v>
      </c>
      <c r="I212" s="11">
        <v>24</v>
      </c>
      <c r="J212" s="11" t="s">
        <v>1128</v>
      </c>
      <c r="K212" s="11" t="s">
        <v>1170</v>
      </c>
      <c r="L212" s="11" t="s">
        <v>1118</v>
      </c>
      <c r="M212" s="11">
        <v>2018</v>
      </c>
    </row>
    <row r="213" spans="2:13" x14ac:dyDescent="0.35">
      <c r="B213" s="11">
        <v>24</v>
      </c>
      <c r="C213" s="11" t="s">
        <v>1113</v>
      </c>
      <c r="D213" s="11">
        <v>27</v>
      </c>
      <c r="E213" s="11">
        <v>4</v>
      </c>
      <c r="F213" s="11">
        <v>2</v>
      </c>
      <c r="G213" s="11" t="s">
        <v>1127</v>
      </c>
      <c r="H213" s="11" t="s">
        <v>1115</v>
      </c>
      <c r="I213" s="11">
        <v>34</v>
      </c>
      <c r="J213" s="11" t="s">
        <v>1135</v>
      </c>
      <c r="K213" s="11" t="s">
        <v>1266</v>
      </c>
      <c r="L213" s="11" t="s">
        <v>1118</v>
      </c>
      <c r="M213" s="11">
        <v>2018</v>
      </c>
    </row>
    <row r="214" spans="2:13" x14ac:dyDescent="0.35">
      <c r="B214" s="11">
        <v>18</v>
      </c>
      <c r="C214" s="11" t="s">
        <v>1133</v>
      </c>
      <c r="D214" s="11">
        <v>20</v>
      </c>
      <c r="E214" s="11">
        <v>6</v>
      </c>
      <c r="F214" s="11">
        <v>3.8</v>
      </c>
      <c r="G214" s="11" t="s">
        <v>1127</v>
      </c>
      <c r="H214" s="11" t="s">
        <v>1115</v>
      </c>
      <c r="I214" s="11">
        <v>25</v>
      </c>
      <c r="J214" s="11" t="s">
        <v>1267</v>
      </c>
      <c r="K214" s="11" t="s">
        <v>1268</v>
      </c>
      <c r="L214" s="11" t="s">
        <v>1118</v>
      </c>
      <c r="M214" s="11">
        <v>2018</v>
      </c>
    </row>
    <row r="215" spans="2:13" x14ac:dyDescent="0.35">
      <c r="B215" s="11">
        <v>19</v>
      </c>
      <c r="C215" s="11" t="s">
        <v>1133</v>
      </c>
      <c r="D215" s="11">
        <v>22</v>
      </c>
      <c r="E215" s="11">
        <v>6</v>
      </c>
      <c r="F215" s="11">
        <v>3.8</v>
      </c>
      <c r="G215" s="11" t="s">
        <v>1124</v>
      </c>
      <c r="H215" s="11" t="s">
        <v>1115</v>
      </c>
      <c r="I215" s="11">
        <v>27</v>
      </c>
      <c r="J215" s="11" t="s">
        <v>1267</v>
      </c>
      <c r="K215" s="11" t="s">
        <v>1269</v>
      </c>
      <c r="L215" s="11" t="s">
        <v>1118</v>
      </c>
      <c r="M215" s="11">
        <v>2018</v>
      </c>
    </row>
    <row r="216" spans="2:13" x14ac:dyDescent="0.35">
      <c r="B216" s="11">
        <v>23</v>
      </c>
      <c r="C216" s="11" t="s">
        <v>1119</v>
      </c>
      <c r="D216" s="11">
        <v>25</v>
      </c>
      <c r="E216" s="11">
        <v>4</v>
      </c>
      <c r="F216" s="11">
        <v>2</v>
      </c>
      <c r="G216" s="11" t="s">
        <v>1127</v>
      </c>
      <c r="H216" s="11" t="s">
        <v>1115</v>
      </c>
      <c r="I216" s="11">
        <v>27</v>
      </c>
      <c r="J216" s="11" t="s">
        <v>1135</v>
      </c>
      <c r="K216" s="11" t="s">
        <v>1270</v>
      </c>
      <c r="L216" s="11" t="s">
        <v>1118</v>
      </c>
      <c r="M216" s="11">
        <v>2018</v>
      </c>
    </row>
    <row r="217" spans="2:13" x14ac:dyDescent="0.35">
      <c r="B217" s="11">
        <v>24</v>
      </c>
      <c r="C217" s="11" t="s">
        <v>1123</v>
      </c>
      <c r="D217" s="11">
        <v>27</v>
      </c>
      <c r="E217" s="11">
        <v>4</v>
      </c>
      <c r="F217" s="11">
        <v>2</v>
      </c>
      <c r="G217" s="11" t="s">
        <v>1127</v>
      </c>
      <c r="H217" s="11" t="s">
        <v>1115</v>
      </c>
      <c r="I217" s="11">
        <v>34</v>
      </c>
      <c r="J217" s="11" t="s">
        <v>1135</v>
      </c>
      <c r="K217" s="11" t="s">
        <v>1265</v>
      </c>
      <c r="L217" s="11" t="s">
        <v>1118</v>
      </c>
      <c r="M217" s="11">
        <v>2018</v>
      </c>
    </row>
    <row r="218" spans="2:13" x14ac:dyDescent="0.35">
      <c r="B218" s="11">
        <v>21</v>
      </c>
      <c r="C218" s="11" t="s">
        <v>1123</v>
      </c>
      <c r="D218" s="11">
        <v>24</v>
      </c>
      <c r="E218" s="11">
        <v>6</v>
      </c>
      <c r="F218" s="11">
        <v>3</v>
      </c>
      <c r="G218" s="11" t="s">
        <v>1127</v>
      </c>
      <c r="H218" s="11" t="s">
        <v>1115</v>
      </c>
      <c r="I218" s="11">
        <v>30</v>
      </c>
      <c r="J218" s="11" t="s">
        <v>1135</v>
      </c>
      <c r="K218" s="11" t="s">
        <v>1271</v>
      </c>
      <c r="L218" s="11" t="s">
        <v>1118</v>
      </c>
      <c r="M218" s="11">
        <v>2018</v>
      </c>
    </row>
    <row r="219" spans="2:13" x14ac:dyDescent="0.35">
      <c r="B219" s="11">
        <v>20</v>
      </c>
      <c r="C219" s="11" t="s">
        <v>1123</v>
      </c>
      <c r="D219" s="11">
        <v>23</v>
      </c>
      <c r="E219" s="11">
        <v>6</v>
      </c>
      <c r="F219" s="11">
        <v>3</v>
      </c>
      <c r="G219" s="11" t="s">
        <v>1127</v>
      </c>
      <c r="H219" s="11" t="s">
        <v>1115</v>
      </c>
      <c r="I219" s="11">
        <v>29</v>
      </c>
      <c r="J219" s="11" t="s">
        <v>1135</v>
      </c>
      <c r="K219" s="11" t="s">
        <v>1272</v>
      </c>
      <c r="L219" s="11" t="s">
        <v>1118</v>
      </c>
      <c r="M219" s="11">
        <v>2018</v>
      </c>
    </row>
    <row r="220" spans="2:13" x14ac:dyDescent="0.35">
      <c r="B220" s="11">
        <v>21</v>
      </c>
      <c r="C220" s="11" t="s">
        <v>1160</v>
      </c>
      <c r="D220" s="11">
        <v>24</v>
      </c>
      <c r="E220" s="11">
        <v>6</v>
      </c>
      <c r="F220" s="11">
        <v>3</v>
      </c>
      <c r="G220" s="11" t="s">
        <v>1127</v>
      </c>
      <c r="H220" s="11" t="s">
        <v>1115</v>
      </c>
      <c r="I220" s="11">
        <v>30</v>
      </c>
      <c r="J220" s="11" t="s">
        <v>1135</v>
      </c>
      <c r="K220" s="11" t="s">
        <v>1273</v>
      </c>
      <c r="L220" s="11" t="s">
        <v>1118</v>
      </c>
      <c r="M220" s="11">
        <v>2018</v>
      </c>
    </row>
    <row r="221" spans="2:13" x14ac:dyDescent="0.35">
      <c r="B221" s="11">
        <v>21</v>
      </c>
      <c r="C221" s="11" t="s">
        <v>1113</v>
      </c>
      <c r="D221" s="11">
        <v>24</v>
      </c>
      <c r="E221" s="11">
        <v>6</v>
      </c>
      <c r="F221" s="11">
        <v>3</v>
      </c>
      <c r="G221" s="11" t="s">
        <v>1127</v>
      </c>
      <c r="H221" s="11" t="s">
        <v>1115</v>
      </c>
      <c r="I221" s="11">
        <v>30</v>
      </c>
      <c r="J221" s="11" t="s">
        <v>1135</v>
      </c>
      <c r="K221" s="11" t="s">
        <v>1274</v>
      </c>
      <c r="L221" s="11" t="s">
        <v>1118</v>
      </c>
      <c r="M221" s="11">
        <v>2018</v>
      </c>
    </row>
    <row r="222" spans="2:13" x14ac:dyDescent="0.35">
      <c r="B222" s="11">
        <v>17</v>
      </c>
      <c r="C222" s="11" t="s">
        <v>1133</v>
      </c>
      <c r="D222" s="11">
        <v>20</v>
      </c>
      <c r="E222" s="11">
        <v>6</v>
      </c>
      <c r="F222" s="11">
        <v>3.3</v>
      </c>
      <c r="G222" s="11" t="s">
        <v>1127</v>
      </c>
      <c r="H222" s="11" t="s">
        <v>1115</v>
      </c>
      <c r="I222" s="11">
        <v>24</v>
      </c>
      <c r="J222" s="11" t="s">
        <v>1267</v>
      </c>
      <c r="K222" s="11" t="s">
        <v>1268</v>
      </c>
      <c r="L222" s="11" t="s">
        <v>1118</v>
      </c>
      <c r="M222" s="11">
        <v>2018</v>
      </c>
    </row>
    <row r="223" spans="2:13" x14ac:dyDescent="0.35">
      <c r="B223" s="11">
        <v>17</v>
      </c>
      <c r="C223" s="11" t="s">
        <v>1133</v>
      </c>
      <c r="D223" s="11">
        <v>20</v>
      </c>
      <c r="E223" s="11">
        <v>6</v>
      </c>
      <c r="F223" s="11">
        <v>3.3</v>
      </c>
      <c r="G223" s="11" t="s">
        <v>1124</v>
      </c>
      <c r="H223" s="11" t="s">
        <v>1115</v>
      </c>
      <c r="I223" s="11">
        <v>25</v>
      </c>
      <c r="J223" s="11" t="s">
        <v>1267</v>
      </c>
      <c r="K223" s="11" t="s">
        <v>1269</v>
      </c>
      <c r="L223" s="11" t="s">
        <v>1118</v>
      </c>
      <c r="M223" s="11">
        <v>2018</v>
      </c>
    </row>
    <row r="224" spans="2:13" x14ac:dyDescent="0.35">
      <c r="B224" s="11">
        <v>19</v>
      </c>
      <c r="C224" s="11" t="s">
        <v>1119</v>
      </c>
      <c r="D224" s="11">
        <v>21</v>
      </c>
      <c r="E224" s="11">
        <v>6</v>
      </c>
      <c r="F224" s="11">
        <v>3</v>
      </c>
      <c r="G224" s="11" t="s">
        <v>1127</v>
      </c>
      <c r="H224" s="11" t="s">
        <v>1115</v>
      </c>
      <c r="I224" s="11">
        <v>24</v>
      </c>
      <c r="J224" s="11" t="s">
        <v>1135</v>
      </c>
      <c r="K224" s="11" t="s">
        <v>1275</v>
      </c>
      <c r="L224" s="11" t="s">
        <v>1118</v>
      </c>
      <c r="M224" s="11">
        <v>2018</v>
      </c>
    </row>
    <row r="225" spans="2:13" x14ac:dyDescent="0.35">
      <c r="B225" s="11">
        <v>12</v>
      </c>
      <c r="C225" s="11" t="s">
        <v>1156</v>
      </c>
      <c r="D225" s="11">
        <v>15</v>
      </c>
      <c r="E225" s="11">
        <v>12</v>
      </c>
      <c r="F225" s="11">
        <v>6</v>
      </c>
      <c r="G225" s="11" t="s">
        <v>1127</v>
      </c>
      <c r="H225" s="11" t="s">
        <v>1115</v>
      </c>
      <c r="I225" s="11">
        <v>19</v>
      </c>
      <c r="J225" s="11" t="s">
        <v>1207</v>
      </c>
      <c r="K225" s="11" t="s">
        <v>1276</v>
      </c>
      <c r="L225" s="11" t="s">
        <v>1118</v>
      </c>
      <c r="M225" s="11">
        <v>2018</v>
      </c>
    </row>
    <row r="226" spans="2:13" x14ac:dyDescent="0.35">
      <c r="B226" s="11">
        <v>24</v>
      </c>
      <c r="C226" s="11" t="s">
        <v>1123</v>
      </c>
      <c r="D226" s="11">
        <v>27</v>
      </c>
      <c r="E226" s="11">
        <v>4</v>
      </c>
      <c r="F226" s="11">
        <v>2</v>
      </c>
      <c r="G226" s="11" t="s">
        <v>1124</v>
      </c>
      <c r="H226" s="11" t="s">
        <v>1115</v>
      </c>
      <c r="I226" s="11">
        <v>34</v>
      </c>
      <c r="J226" s="11" t="s">
        <v>1232</v>
      </c>
      <c r="K226" s="11" t="s">
        <v>1277</v>
      </c>
      <c r="L226" s="11" t="s">
        <v>1118</v>
      </c>
      <c r="M226" s="11">
        <v>2018</v>
      </c>
    </row>
    <row r="227" spans="2:13" x14ac:dyDescent="0.35">
      <c r="B227" s="11">
        <v>22</v>
      </c>
      <c r="C227" s="11" t="s">
        <v>1123</v>
      </c>
      <c r="D227" s="11">
        <v>26</v>
      </c>
      <c r="E227" s="11">
        <v>4</v>
      </c>
      <c r="F227" s="11">
        <v>2</v>
      </c>
      <c r="G227" s="11" t="s">
        <v>1127</v>
      </c>
      <c r="H227" s="11" t="s">
        <v>1115</v>
      </c>
      <c r="I227" s="11">
        <v>32</v>
      </c>
      <c r="J227" s="11" t="s">
        <v>1232</v>
      </c>
      <c r="K227" s="11" t="s">
        <v>1278</v>
      </c>
      <c r="L227" s="11" t="s">
        <v>1118</v>
      </c>
      <c r="M227" s="11">
        <v>2018</v>
      </c>
    </row>
    <row r="228" spans="2:13" x14ac:dyDescent="0.35">
      <c r="B228" s="11">
        <v>21</v>
      </c>
      <c r="C228" s="11" t="s">
        <v>1123</v>
      </c>
      <c r="D228" s="11">
        <v>24</v>
      </c>
      <c r="E228" s="11">
        <v>6</v>
      </c>
      <c r="F228" s="11">
        <v>3</v>
      </c>
      <c r="G228" s="11" t="s">
        <v>1124</v>
      </c>
      <c r="H228" s="11" t="s">
        <v>1115</v>
      </c>
      <c r="I228" s="11">
        <v>29</v>
      </c>
      <c r="J228" s="11" t="s">
        <v>1232</v>
      </c>
      <c r="K228" s="11" t="s">
        <v>1279</v>
      </c>
      <c r="L228" s="11" t="s">
        <v>1118</v>
      </c>
      <c r="M228" s="11">
        <v>2018</v>
      </c>
    </row>
    <row r="229" spans="2:13" x14ac:dyDescent="0.35">
      <c r="B229" s="11">
        <v>20</v>
      </c>
      <c r="C229" s="11" t="s">
        <v>1123</v>
      </c>
      <c r="D229" s="11">
        <v>23</v>
      </c>
      <c r="E229" s="11">
        <v>6</v>
      </c>
      <c r="F229" s="11">
        <v>3</v>
      </c>
      <c r="G229" s="11" t="s">
        <v>1127</v>
      </c>
      <c r="H229" s="11" t="s">
        <v>1115</v>
      </c>
      <c r="I229" s="11">
        <v>29</v>
      </c>
      <c r="J229" s="11" t="s">
        <v>1232</v>
      </c>
      <c r="K229" s="11" t="s">
        <v>1280</v>
      </c>
      <c r="L229" s="11" t="s">
        <v>1118</v>
      </c>
      <c r="M229" s="11">
        <v>2018</v>
      </c>
    </row>
    <row r="230" spans="2:13" x14ac:dyDescent="0.35">
      <c r="B230" s="11">
        <v>17</v>
      </c>
      <c r="C230" s="11" t="s">
        <v>1123</v>
      </c>
      <c r="D230" s="11">
        <v>20</v>
      </c>
      <c r="E230" s="11">
        <v>6</v>
      </c>
      <c r="F230" s="11">
        <v>3</v>
      </c>
      <c r="G230" s="11" t="s">
        <v>1124</v>
      </c>
      <c r="H230" s="11" t="s">
        <v>1115</v>
      </c>
      <c r="I230" s="11">
        <v>25</v>
      </c>
      <c r="J230" s="11" t="s">
        <v>1232</v>
      </c>
      <c r="K230" s="11" t="s">
        <v>1281</v>
      </c>
      <c r="L230" s="11" t="s">
        <v>1117</v>
      </c>
      <c r="M230" s="11">
        <v>2018</v>
      </c>
    </row>
    <row r="231" spans="2:13" x14ac:dyDescent="0.35">
      <c r="B231" s="11">
        <v>16</v>
      </c>
      <c r="C231" s="11" t="s">
        <v>1123</v>
      </c>
      <c r="D231" s="11">
        <v>19</v>
      </c>
      <c r="E231" s="11">
        <v>6</v>
      </c>
      <c r="F231" s="11">
        <v>3</v>
      </c>
      <c r="G231" s="11" t="s">
        <v>1124</v>
      </c>
      <c r="H231" s="11" t="s">
        <v>1115</v>
      </c>
      <c r="I231" s="11">
        <v>22</v>
      </c>
      <c r="J231" s="11" t="s">
        <v>1232</v>
      </c>
      <c r="K231" s="11" t="s">
        <v>1281</v>
      </c>
      <c r="L231" s="11" t="s">
        <v>1118</v>
      </c>
      <c r="M231" s="11">
        <v>2018</v>
      </c>
    </row>
    <row r="232" spans="2:13" x14ac:dyDescent="0.35">
      <c r="B232" s="11">
        <v>20</v>
      </c>
      <c r="C232" s="11" t="s">
        <v>1123</v>
      </c>
      <c r="D232" s="11">
        <v>23</v>
      </c>
      <c r="E232" s="11">
        <v>6</v>
      </c>
      <c r="F232" s="11">
        <v>3</v>
      </c>
      <c r="G232" s="11" t="s">
        <v>1124</v>
      </c>
      <c r="H232" s="11" t="s">
        <v>1115</v>
      </c>
      <c r="I232" s="11">
        <v>29</v>
      </c>
      <c r="J232" s="11" t="s">
        <v>1232</v>
      </c>
      <c r="K232" s="11" t="s">
        <v>1282</v>
      </c>
      <c r="L232" s="11" t="s">
        <v>1118</v>
      </c>
      <c r="M232" s="11">
        <v>2018</v>
      </c>
    </row>
    <row r="233" spans="2:13" x14ac:dyDescent="0.35">
      <c r="B233" s="11">
        <v>19</v>
      </c>
      <c r="C233" s="11" t="s">
        <v>1123</v>
      </c>
      <c r="D233" s="11">
        <v>22</v>
      </c>
      <c r="E233" s="11">
        <v>6</v>
      </c>
      <c r="F233" s="11">
        <v>3</v>
      </c>
      <c r="G233" s="11" t="s">
        <v>1127</v>
      </c>
      <c r="H233" s="11" t="s">
        <v>1115</v>
      </c>
      <c r="I233" s="11">
        <v>28</v>
      </c>
      <c r="J233" s="11" t="s">
        <v>1232</v>
      </c>
      <c r="K233" s="11" t="s">
        <v>1283</v>
      </c>
      <c r="L233" s="11" t="s">
        <v>1118</v>
      </c>
      <c r="M233" s="11">
        <v>2018</v>
      </c>
    </row>
    <row r="234" spans="2:13" x14ac:dyDescent="0.35">
      <c r="B234" s="11">
        <v>17</v>
      </c>
      <c r="C234" s="11" t="s">
        <v>1123</v>
      </c>
      <c r="D234" s="11">
        <v>20</v>
      </c>
      <c r="E234" s="11">
        <v>8</v>
      </c>
      <c r="F234" s="11">
        <v>4.4000000000000004</v>
      </c>
      <c r="G234" s="11" t="s">
        <v>1124</v>
      </c>
      <c r="H234" s="11" t="s">
        <v>1115</v>
      </c>
      <c r="I234" s="11">
        <v>25</v>
      </c>
      <c r="J234" s="11" t="s">
        <v>1232</v>
      </c>
      <c r="K234" s="11" t="s">
        <v>1284</v>
      </c>
      <c r="L234" s="11" t="s">
        <v>1118</v>
      </c>
      <c r="M234" s="11">
        <v>2018</v>
      </c>
    </row>
    <row r="235" spans="2:13" x14ac:dyDescent="0.35">
      <c r="B235" s="11">
        <v>16</v>
      </c>
      <c r="C235" s="11" t="s">
        <v>1123</v>
      </c>
      <c r="D235" s="11">
        <v>19</v>
      </c>
      <c r="E235" s="11">
        <v>8</v>
      </c>
      <c r="F235" s="11">
        <v>4.4000000000000004</v>
      </c>
      <c r="G235" s="11" t="s">
        <v>1127</v>
      </c>
      <c r="H235" s="11" t="s">
        <v>1115</v>
      </c>
      <c r="I235" s="11">
        <v>25</v>
      </c>
      <c r="J235" s="11" t="s">
        <v>1232</v>
      </c>
      <c r="K235" s="11" t="s">
        <v>1285</v>
      </c>
      <c r="L235" s="11" t="s">
        <v>1118</v>
      </c>
      <c r="M235" s="11">
        <v>2018</v>
      </c>
    </row>
    <row r="236" spans="2:13" x14ac:dyDescent="0.35">
      <c r="B236" s="11">
        <v>15</v>
      </c>
      <c r="C236" s="11" t="s">
        <v>1123</v>
      </c>
      <c r="D236" s="11">
        <v>17</v>
      </c>
      <c r="E236" s="11">
        <v>8</v>
      </c>
      <c r="F236" s="11">
        <v>4.4000000000000004</v>
      </c>
      <c r="G236" s="11" t="s">
        <v>1124</v>
      </c>
      <c r="H236" s="11" t="s">
        <v>1115</v>
      </c>
      <c r="I236" s="11">
        <v>22</v>
      </c>
      <c r="J236" s="11" t="s">
        <v>1232</v>
      </c>
      <c r="K236" s="11" t="s">
        <v>1286</v>
      </c>
      <c r="L236" s="11" t="s">
        <v>1117</v>
      </c>
      <c r="M236" s="11">
        <v>2018</v>
      </c>
    </row>
    <row r="237" spans="2:13" x14ac:dyDescent="0.35">
      <c r="B237" s="11">
        <v>14</v>
      </c>
      <c r="C237" s="11" t="s">
        <v>1123</v>
      </c>
      <c r="D237" s="11">
        <v>16</v>
      </c>
      <c r="E237" s="11">
        <v>8</v>
      </c>
      <c r="F237" s="11">
        <v>4.4000000000000004</v>
      </c>
      <c r="G237" s="11" t="s">
        <v>1124</v>
      </c>
      <c r="H237" s="11" t="s">
        <v>1115</v>
      </c>
      <c r="I237" s="11">
        <v>20</v>
      </c>
      <c r="J237" s="11" t="s">
        <v>1232</v>
      </c>
      <c r="K237" s="11" t="s">
        <v>1286</v>
      </c>
      <c r="L237" s="11" t="s">
        <v>1118</v>
      </c>
      <c r="M237" s="11">
        <v>2018</v>
      </c>
    </row>
    <row r="238" spans="2:13" x14ac:dyDescent="0.35">
      <c r="B238" s="11">
        <v>24</v>
      </c>
      <c r="C238" s="11" t="s">
        <v>1160</v>
      </c>
      <c r="D238" s="11">
        <v>27</v>
      </c>
      <c r="E238" s="11">
        <v>4</v>
      </c>
      <c r="F238" s="11">
        <v>2</v>
      </c>
      <c r="G238" s="11" t="s">
        <v>1124</v>
      </c>
      <c r="H238" s="11" t="s">
        <v>1115</v>
      </c>
      <c r="I238" s="11">
        <v>34</v>
      </c>
      <c r="J238" s="11" t="s">
        <v>1232</v>
      </c>
      <c r="K238" s="11" t="s">
        <v>1287</v>
      </c>
      <c r="L238" s="11" t="s">
        <v>1118</v>
      </c>
      <c r="M238" s="11">
        <v>2018</v>
      </c>
    </row>
    <row r="239" spans="2:13" x14ac:dyDescent="0.35">
      <c r="B239" s="11">
        <v>21</v>
      </c>
      <c r="C239" s="11" t="s">
        <v>1160</v>
      </c>
      <c r="D239" s="11">
        <v>25</v>
      </c>
      <c r="E239" s="11">
        <v>4</v>
      </c>
      <c r="F239" s="11">
        <v>2</v>
      </c>
      <c r="G239" s="11" t="s">
        <v>1124</v>
      </c>
      <c r="H239" s="11" t="s">
        <v>1115</v>
      </c>
      <c r="I239" s="11">
        <v>33</v>
      </c>
      <c r="J239" s="11" t="s">
        <v>1232</v>
      </c>
      <c r="K239" s="11" t="s">
        <v>1287</v>
      </c>
      <c r="L239" s="11" t="s">
        <v>1117</v>
      </c>
      <c r="M239" s="11">
        <v>2018</v>
      </c>
    </row>
    <row r="240" spans="2:13" x14ac:dyDescent="0.35">
      <c r="B240" s="11">
        <v>23</v>
      </c>
      <c r="C240" s="11" t="s">
        <v>1160</v>
      </c>
      <c r="D240" s="11">
        <v>27</v>
      </c>
      <c r="E240" s="11">
        <v>4</v>
      </c>
      <c r="F240" s="11">
        <v>2</v>
      </c>
      <c r="G240" s="11" t="s">
        <v>1127</v>
      </c>
      <c r="H240" s="11" t="s">
        <v>1115</v>
      </c>
      <c r="I240" s="11">
        <v>33</v>
      </c>
      <c r="J240" s="11" t="s">
        <v>1232</v>
      </c>
      <c r="K240" s="11" t="s">
        <v>1288</v>
      </c>
      <c r="L240" s="11" t="s">
        <v>1118</v>
      </c>
      <c r="M240" s="11">
        <v>2018</v>
      </c>
    </row>
    <row r="241" spans="2:13" x14ac:dyDescent="0.35">
      <c r="B241" s="11">
        <v>24</v>
      </c>
      <c r="C241" s="11" t="s">
        <v>1160</v>
      </c>
      <c r="D241" s="11">
        <v>27</v>
      </c>
      <c r="E241" s="11">
        <v>4</v>
      </c>
      <c r="F241" s="11">
        <v>2</v>
      </c>
      <c r="G241" s="11" t="s">
        <v>1124</v>
      </c>
      <c r="H241" s="11" t="s">
        <v>1115</v>
      </c>
      <c r="I241" s="11">
        <v>34</v>
      </c>
      <c r="J241" s="11" t="s">
        <v>1232</v>
      </c>
      <c r="K241" s="11" t="s">
        <v>1289</v>
      </c>
      <c r="L241" s="11" t="s">
        <v>1118</v>
      </c>
      <c r="M241" s="11">
        <v>2018</v>
      </c>
    </row>
    <row r="242" spans="2:13" x14ac:dyDescent="0.35">
      <c r="B242" s="11">
        <v>23</v>
      </c>
      <c r="C242" s="11" t="s">
        <v>1160</v>
      </c>
      <c r="D242" s="11">
        <v>27</v>
      </c>
      <c r="E242" s="11">
        <v>4</v>
      </c>
      <c r="F242" s="11">
        <v>2</v>
      </c>
      <c r="G242" s="11" t="s">
        <v>1127</v>
      </c>
      <c r="H242" s="11" t="s">
        <v>1115</v>
      </c>
      <c r="I242" s="11">
        <v>33</v>
      </c>
      <c r="J242" s="11" t="s">
        <v>1232</v>
      </c>
      <c r="K242" s="11" t="s">
        <v>1290</v>
      </c>
      <c r="L242" s="11" t="s">
        <v>1118</v>
      </c>
      <c r="M242" s="11">
        <v>2018</v>
      </c>
    </row>
    <row r="243" spans="2:13" x14ac:dyDescent="0.35">
      <c r="B243" s="11">
        <v>21</v>
      </c>
      <c r="C243" s="11" t="s">
        <v>1160</v>
      </c>
      <c r="D243" s="11">
        <v>25</v>
      </c>
      <c r="E243" s="11">
        <v>6</v>
      </c>
      <c r="F243" s="11">
        <v>3</v>
      </c>
      <c r="G243" s="11" t="s">
        <v>1124</v>
      </c>
      <c r="H243" s="11" t="s">
        <v>1115</v>
      </c>
      <c r="I243" s="11">
        <v>32</v>
      </c>
      <c r="J243" s="11" t="s">
        <v>1232</v>
      </c>
      <c r="K243" s="11" t="s">
        <v>1291</v>
      </c>
      <c r="L243" s="11" t="s">
        <v>1118</v>
      </c>
      <c r="M243" s="11">
        <v>2018</v>
      </c>
    </row>
    <row r="244" spans="2:13" x14ac:dyDescent="0.35">
      <c r="B244" s="11">
        <v>21</v>
      </c>
      <c r="C244" s="11" t="s">
        <v>1160</v>
      </c>
      <c r="D244" s="11">
        <v>25</v>
      </c>
      <c r="E244" s="11">
        <v>6</v>
      </c>
      <c r="F244" s="11">
        <v>3</v>
      </c>
      <c r="G244" s="11" t="s">
        <v>1127</v>
      </c>
      <c r="H244" s="11" t="s">
        <v>1115</v>
      </c>
      <c r="I244" s="11">
        <v>31</v>
      </c>
      <c r="J244" s="11" t="s">
        <v>1232</v>
      </c>
      <c r="K244" s="11" t="s">
        <v>1292</v>
      </c>
      <c r="L244" s="11" t="s">
        <v>1118</v>
      </c>
      <c r="M244" s="11">
        <v>2018</v>
      </c>
    </row>
    <row r="245" spans="2:13" x14ac:dyDescent="0.35">
      <c r="B245" s="11">
        <v>19</v>
      </c>
      <c r="C245" s="11" t="s">
        <v>1160</v>
      </c>
      <c r="D245" s="11">
        <v>23</v>
      </c>
      <c r="E245" s="11">
        <v>6</v>
      </c>
      <c r="F245" s="11">
        <v>3</v>
      </c>
      <c r="G245" s="11" t="s">
        <v>1127</v>
      </c>
      <c r="H245" s="11" t="s">
        <v>1115</v>
      </c>
      <c r="I245" s="11">
        <v>29</v>
      </c>
      <c r="J245" s="11" t="s">
        <v>1232</v>
      </c>
      <c r="K245" s="11" t="s">
        <v>1292</v>
      </c>
      <c r="L245" s="11" t="s">
        <v>1117</v>
      </c>
      <c r="M245" s="11">
        <v>2018</v>
      </c>
    </row>
    <row r="246" spans="2:13" x14ac:dyDescent="0.35">
      <c r="B246" s="11">
        <v>21</v>
      </c>
      <c r="C246" s="11" t="s">
        <v>1160</v>
      </c>
      <c r="D246" s="11">
        <v>25</v>
      </c>
      <c r="E246" s="11">
        <v>6</v>
      </c>
      <c r="F246" s="11">
        <v>3</v>
      </c>
      <c r="G246" s="11" t="s">
        <v>1124</v>
      </c>
      <c r="H246" s="11" t="s">
        <v>1115</v>
      </c>
      <c r="I246" s="11">
        <v>32</v>
      </c>
      <c r="J246" s="11" t="s">
        <v>1232</v>
      </c>
      <c r="K246" s="11" t="s">
        <v>1293</v>
      </c>
      <c r="L246" s="11" t="s">
        <v>1118</v>
      </c>
      <c r="M246" s="11">
        <v>2018</v>
      </c>
    </row>
    <row r="247" spans="2:13" x14ac:dyDescent="0.35">
      <c r="B247" s="11">
        <v>21</v>
      </c>
      <c r="C247" s="11" t="s">
        <v>1160</v>
      </c>
      <c r="D247" s="11">
        <v>25</v>
      </c>
      <c r="E247" s="11">
        <v>6</v>
      </c>
      <c r="F247" s="11">
        <v>3</v>
      </c>
      <c r="G247" s="11" t="s">
        <v>1127</v>
      </c>
      <c r="H247" s="11" t="s">
        <v>1115</v>
      </c>
      <c r="I247" s="11">
        <v>31</v>
      </c>
      <c r="J247" s="11" t="s">
        <v>1232</v>
      </c>
      <c r="K247" s="11" t="s">
        <v>1294</v>
      </c>
      <c r="L247" s="11" t="s">
        <v>1118</v>
      </c>
      <c r="M247" s="11">
        <v>2018</v>
      </c>
    </row>
    <row r="248" spans="2:13" x14ac:dyDescent="0.35">
      <c r="B248" s="11">
        <v>17</v>
      </c>
      <c r="C248" s="11" t="s">
        <v>1160</v>
      </c>
      <c r="D248" s="11">
        <v>20</v>
      </c>
      <c r="E248" s="11">
        <v>6</v>
      </c>
      <c r="F248" s="11">
        <v>3</v>
      </c>
      <c r="G248" s="11" t="s">
        <v>1124</v>
      </c>
      <c r="H248" s="11" t="s">
        <v>1115</v>
      </c>
      <c r="I248" s="11">
        <v>25</v>
      </c>
      <c r="J248" s="11" t="s">
        <v>1232</v>
      </c>
      <c r="K248" s="11" t="s">
        <v>1295</v>
      </c>
      <c r="L248" s="11" t="s">
        <v>1117</v>
      </c>
      <c r="M248" s="11">
        <v>2018</v>
      </c>
    </row>
    <row r="249" spans="2:13" x14ac:dyDescent="0.35">
      <c r="B249" s="11">
        <v>17</v>
      </c>
      <c r="C249" s="11" t="s">
        <v>1160</v>
      </c>
      <c r="D249" s="11">
        <v>20</v>
      </c>
      <c r="E249" s="11">
        <v>6</v>
      </c>
      <c r="F249" s="11">
        <v>3</v>
      </c>
      <c r="G249" s="11" t="s">
        <v>1124</v>
      </c>
      <c r="H249" s="11" t="s">
        <v>1115</v>
      </c>
      <c r="I249" s="11">
        <v>24</v>
      </c>
      <c r="J249" s="11" t="s">
        <v>1232</v>
      </c>
      <c r="K249" s="11" t="s">
        <v>1295</v>
      </c>
      <c r="L249" s="11" t="s">
        <v>1118</v>
      </c>
      <c r="M249" s="11">
        <v>2018</v>
      </c>
    </row>
    <row r="250" spans="2:13" x14ac:dyDescent="0.35">
      <c r="B250" s="11">
        <v>20</v>
      </c>
      <c r="C250" s="11" t="s">
        <v>1160</v>
      </c>
      <c r="D250" s="11">
        <v>23</v>
      </c>
      <c r="E250" s="11">
        <v>6</v>
      </c>
      <c r="F250" s="11">
        <v>3</v>
      </c>
      <c r="G250" s="11" t="s">
        <v>1124</v>
      </c>
      <c r="H250" s="11" t="s">
        <v>1115</v>
      </c>
      <c r="I250" s="11">
        <v>29</v>
      </c>
      <c r="J250" s="11" t="s">
        <v>1232</v>
      </c>
      <c r="K250" s="11" t="s">
        <v>1296</v>
      </c>
      <c r="L250" s="11" t="s">
        <v>1118</v>
      </c>
      <c r="M250" s="11">
        <v>2018</v>
      </c>
    </row>
    <row r="251" spans="2:13" x14ac:dyDescent="0.35">
      <c r="B251" s="11">
        <v>19</v>
      </c>
      <c r="C251" s="11" t="s">
        <v>1160</v>
      </c>
      <c r="D251" s="11">
        <v>22</v>
      </c>
      <c r="E251" s="11">
        <v>6</v>
      </c>
      <c r="F251" s="11">
        <v>3</v>
      </c>
      <c r="G251" s="11" t="s">
        <v>1127</v>
      </c>
      <c r="H251" s="11" t="s">
        <v>1115</v>
      </c>
      <c r="I251" s="11">
        <v>28</v>
      </c>
      <c r="J251" s="11" t="s">
        <v>1232</v>
      </c>
      <c r="K251" s="11" t="s">
        <v>1297</v>
      </c>
      <c r="L251" s="11" t="s">
        <v>1118</v>
      </c>
      <c r="M251" s="11">
        <v>2018</v>
      </c>
    </row>
    <row r="252" spans="2:13" x14ac:dyDescent="0.35">
      <c r="B252" s="11">
        <v>17</v>
      </c>
      <c r="C252" s="11" t="s">
        <v>1160</v>
      </c>
      <c r="D252" s="11">
        <v>20</v>
      </c>
      <c r="E252" s="11">
        <v>8</v>
      </c>
      <c r="F252" s="11">
        <v>4.4000000000000004</v>
      </c>
      <c r="G252" s="11" t="s">
        <v>1124</v>
      </c>
      <c r="H252" s="11" t="s">
        <v>1115</v>
      </c>
      <c r="I252" s="11">
        <v>25</v>
      </c>
      <c r="J252" s="11" t="s">
        <v>1232</v>
      </c>
      <c r="K252" s="11" t="s">
        <v>1298</v>
      </c>
      <c r="L252" s="11" t="s">
        <v>1118</v>
      </c>
      <c r="M252" s="11">
        <v>2018</v>
      </c>
    </row>
    <row r="253" spans="2:13" x14ac:dyDescent="0.35">
      <c r="B253" s="11">
        <v>16</v>
      </c>
      <c r="C253" s="11" t="s">
        <v>1160</v>
      </c>
      <c r="D253" s="11">
        <v>19</v>
      </c>
      <c r="E253" s="11">
        <v>8</v>
      </c>
      <c r="F253" s="11">
        <v>4.4000000000000004</v>
      </c>
      <c r="G253" s="11" t="s">
        <v>1127</v>
      </c>
      <c r="H253" s="11" t="s">
        <v>1115</v>
      </c>
      <c r="I253" s="11">
        <v>25</v>
      </c>
      <c r="J253" s="11" t="s">
        <v>1232</v>
      </c>
      <c r="K253" s="11" t="s">
        <v>1299</v>
      </c>
      <c r="L253" s="11" t="s">
        <v>1118</v>
      </c>
      <c r="M253" s="11">
        <v>2018</v>
      </c>
    </row>
    <row r="254" spans="2:13" x14ac:dyDescent="0.35">
      <c r="B254" s="11">
        <v>16</v>
      </c>
      <c r="C254" s="11" t="s">
        <v>1160</v>
      </c>
      <c r="D254" s="11">
        <v>19</v>
      </c>
      <c r="E254" s="11">
        <v>8</v>
      </c>
      <c r="F254" s="11">
        <v>4.4000000000000004</v>
      </c>
      <c r="G254" s="11" t="s">
        <v>1127</v>
      </c>
      <c r="H254" s="11" t="s">
        <v>1115</v>
      </c>
      <c r="I254" s="11">
        <v>25</v>
      </c>
      <c r="J254" s="11" t="s">
        <v>1232</v>
      </c>
      <c r="K254" s="11" t="s">
        <v>1300</v>
      </c>
      <c r="L254" s="11" t="s">
        <v>1118</v>
      </c>
      <c r="M254" s="11">
        <v>2018</v>
      </c>
    </row>
    <row r="255" spans="2:13" x14ac:dyDescent="0.35">
      <c r="B255" s="11">
        <v>20</v>
      </c>
      <c r="C255" s="11" t="s">
        <v>1119</v>
      </c>
      <c r="D255" s="11">
        <v>23</v>
      </c>
      <c r="E255" s="11">
        <v>6</v>
      </c>
      <c r="F255" s="11">
        <v>3.2</v>
      </c>
      <c r="G255" s="11" t="s">
        <v>1114</v>
      </c>
      <c r="H255" s="11" t="s">
        <v>1115</v>
      </c>
      <c r="I255" s="11">
        <v>29</v>
      </c>
      <c r="J255" s="11" t="s">
        <v>1151</v>
      </c>
      <c r="K255" s="11" t="s">
        <v>1301</v>
      </c>
      <c r="L255" s="11" t="s">
        <v>1118</v>
      </c>
      <c r="M255" s="11">
        <v>2019</v>
      </c>
    </row>
    <row r="256" spans="2:13" x14ac:dyDescent="0.35">
      <c r="B256" s="11">
        <v>19</v>
      </c>
      <c r="C256" s="11" t="s">
        <v>1119</v>
      </c>
      <c r="D256" s="11">
        <v>22</v>
      </c>
      <c r="E256" s="11">
        <v>6</v>
      </c>
      <c r="F256" s="11">
        <v>3.2</v>
      </c>
      <c r="G256" s="11" t="s">
        <v>1127</v>
      </c>
      <c r="H256" s="11" t="s">
        <v>1115</v>
      </c>
      <c r="I256" s="11">
        <v>27</v>
      </c>
      <c r="J256" s="11" t="s">
        <v>1151</v>
      </c>
      <c r="K256" s="11" t="s">
        <v>1302</v>
      </c>
      <c r="L256" s="11" t="s">
        <v>1118</v>
      </c>
      <c r="M256" s="11">
        <v>2019</v>
      </c>
    </row>
    <row r="257" spans="2:13" x14ac:dyDescent="0.35">
      <c r="B257" s="11">
        <v>18</v>
      </c>
      <c r="C257" s="11" t="s">
        <v>1119</v>
      </c>
      <c r="D257" s="11">
        <v>21</v>
      </c>
      <c r="E257" s="11">
        <v>6</v>
      </c>
      <c r="F257" s="11">
        <v>3.2</v>
      </c>
      <c r="G257" s="11" t="s">
        <v>1121</v>
      </c>
      <c r="H257" s="11" t="s">
        <v>1115</v>
      </c>
      <c r="I257" s="11">
        <v>26</v>
      </c>
      <c r="J257" s="11" t="s">
        <v>1151</v>
      </c>
      <c r="K257" s="11" t="s">
        <v>1303</v>
      </c>
      <c r="L257" s="11" t="s">
        <v>1118</v>
      </c>
      <c r="M257" s="11">
        <v>2019</v>
      </c>
    </row>
    <row r="258" spans="2:13" x14ac:dyDescent="0.35">
      <c r="B258" s="11">
        <v>18</v>
      </c>
      <c r="C258" s="11" t="s">
        <v>1119</v>
      </c>
      <c r="D258" s="11">
        <v>21</v>
      </c>
      <c r="E258" s="11">
        <v>6</v>
      </c>
      <c r="F258" s="11">
        <v>3.2</v>
      </c>
      <c r="G258" s="11" t="s">
        <v>1121</v>
      </c>
      <c r="H258" s="11" t="s">
        <v>1115</v>
      </c>
      <c r="I258" s="11">
        <v>24</v>
      </c>
      <c r="J258" s="11" t="s">
        <v>1151</v>
      </c>
      <c r="K258" s="11" t="s">
        <v>1304</v>
      </c>
      <c r="L258" s="11" t="s">
        <v>1118</v>
      </c>
      <c r="M258" s="11">
        <v>2019</v>
      </c>
    </row>
    <row r="259" spans="2:13" x14ac:dyDescent="0.35">
      <c r="B259" s="11">
        <v>16</v>
      </c>
      <c r="C259" s="11" t="s">
        <v>1141</v>
      </c>
      <c r="D259" s="11">
        <v>19</v>
      </c>
      <c r="E259" s="11">
        <v>8</v>
      </c>
      <c r="F259" s="11">
        <v>6.2</v>
      </c>
      <c r="G259" s="11" t="s">
        <v>1124</v>
      </c>
      <c r="H259" s="11" t="s">
        <v>1115</v>
      </c>
      <c r="I259" s="11">
        <v>25</v>
      </c>
      <c r="J259" s="11" t="s">
        <v>1175</v>
      </c>
      <c r="K259" s="11" t="s">
        <v>1305</v>
      </c>
      <c r="L259" s="11" t="s">
        <v>1117</v>
      </c>
      <c r="M259" s="11">
        <v>2019</v>
      </c>
    </row>
    <row r="260" spans="2:13" x14ac:dyDescent="0.35">
      <c r="B260" s="11">
        <v>15</v>
      </c>
      <c r="C260" s="11" t="s">
        <v>1141</v>
      </c>
      <c r="D260" s="11">
        <v>18</v>
      </c>
      <c r="E260" s="11">
        <v>8</v>
      </c>
      <c r="F260" s="11">
        <v>6.2</v>
      </c>
      <c r="G260" s="11" t="s">
        <v>1124</v>
      </c>
      <c r="H260" s="11" t="s">
        <v>1115</v>
      </c>
      <c r="I260" s="11">
        <v>25</v>
      </c>
      <c r="J260" s="11" t="s">
        <v>1175</v>
      </c>
      <c r="K260" s="11" t="s">
        <v>1305</v>
      </c>
      <c r="L260" s="11" t="s">
        <v>1118</v>
      </c>
      <c r="M260" s="11">
        <v>2019</v>
      </c>
    </row>
    <row r="261" spans="2:13" x14ac:dyDescent="0.35">
      <c r="B261" s="11">
        <v>14</v>
      </c>
      <c r="C261" s="11" t="s">
        <v>1141</v>
      </c>
      <c r="D261" s="11">
        <v>17</v>
      </c>
      <c r="E261" s="11">
        <v>8</v>
      </c>
      <c r="F261" s="11">
        <v>6.2</v>
      </c>
      <c r="G261" s="11" t="s">
        <v>1124</v>
      </c>
      <c r="H261" s="11" t="s">
        <v>1115</v>
      </c>
      <c r="I261" s="11">
        <v>23</v>
      </c>
      <c r="J261" s="11" t="s">
        <v>1175</v>
      </c>
      <c r="K261" s="11" t="s">
        <v>1306</v>
      </c>
      <c r="L261" s="11" t="s">
        <v>1118</v>
      </c>
      <c r="M261" s="11">
        <v>2019</v>
      </c>
    </row>
    <row r="262" spans="2:13" x14ac:dyDescent="0.35">
      <c r="B262" s="11">
        <v>30</v>
      </c>
      <c r="C262" s="11" t="s">
        <v>1160</v>
      </c>
      <c r="D262" s="11">
        <v>34</v>
      </c>
      <c r="E262" s="11">
        <v>4</v>
      </c>
      <c r="F262" s="11">
        <v>1.4</v>
      </c>
      <c r="G262" s="11" t="s">
        <v>1114</v>
      </c>
      <c r="H262" s="11" t="s">
        <v>1115</v>
      </c>
      <c r="I262" s="11">
        <v>40</v>
      </c>
      <c r="J262" s="11" t="s">
        <v>1307</v>
      </c>
      <c r="K262" s="11" t="s">
        <v>1308</v>
      </c>
      <c r="L262" s="11" t="s">
        <v>1118</v>
      </c>
      <c r="M262" s="11">
        <v>2019</v>
      </c>
    </row>
    <row r="263" spans="2:13" x14ac:dyDescent="0.35">
      <c r="B263" s="11">
        <v>30</v>
      </c>
      <c r="C263" s="11" t="s">
        <v>1160</v>
      </c>
      <c r="D263" s="11">
        <v>34</v>
      </c>
      <c r="E263" s="11">
        <v>4</v>
      </c>
      <c r="F263" s="11">
        <v>1.4</v>
      </c>
      <c r="G263" s="11" t="s">
        <v>1114</v>
      </c>
      <c r="H263" s="11" t="s">
        <v>1115</v>
      </c>
      <c r="I263" s="11">
        <v>40</v>
      </c>
      <c r="J263" s="11" t="s">
        <v>1307</v>
      </c>
      <c r="K263" s="11" t="s">
        <v>1308</v>
      </c>
      <c r="L263" s="11" t="s">
        <v>1117</v>
      </c>
      <c r="M263" s="11">
        <v>2019</v>
      </c>
    </row>
    <row r="264" spans="2:13" x14ac:dyDescent="0.35">
      <c r="B264" s="11">
        <v>22</v>
      </c>
      <c r="C264" s="11" t="s">
        <v>1119</v>
      </c>
      <c r="D264" s="11">
        <v>25</v>
      </c>
      <c r="E264" s="11">
        <v>4</v>
      </c>
      <c r="F264" s="11">
        <v>2.4</v>
      </c>
      <c r="G264" s="11" t="s">
        <v>1114</v>
      </c>
      <c r="H264" s="11" t="s">
        <v>1115</v>
      </c>
      <c r="I264" s="11">
        <v>29</v>
      </c>
      <c r="J264" s="11" t="s">
        <v>1137</v>
      </c>
      <c r="K264" s="11" t="s">
        <v>1164</v>
      </c>
      <c r="L264" s="11" t="s">
        <v>1118</v>
      </c>
      <c r="M264" s="11">
        <v>2019</v>
      </c>
    </row>
    <row r="265" spans="2:13" x14ac:dyDescent="0.35">
      <c r="B265" s="11">
        <v>24</v>
      </c>
      <c r="C265" s="11" t="s">
        <v>1119</v>
      </c>
      <c r="D265" s="11">
        <v>27</v>
      </c>
      <c r="E265" s="11">
        <v>4</v>
      </c>
      <c r="F265" s="11">
        <v>2</v>
      </c>
      <c r="G265" s="11" t="s">
        <v>1114</v>
      </c>
      <c r="H265" s="11" t="s">
        <v>1115</v>
      </c>
      <c r="I265" s="11">
        <v>31</v>
      </c>
      <c r="J265" s="11" t="s">
        <v>1309</v>
      </c>
      <c r="K265" s="11" t="s">
        <v>1310</v>
      </c>
      <c r="L265" s="11" t="s">
        <v>1118</v>
      </c>
      <c r="M265" s="11">
        <v>2019</v>
      </c>
    </row>
    <row r="266" spans="2:13" x14ac:dyDescent="0.35">
      <c r="B266" s="11">
        <v>19</v>
      </c>
      <c r="C266" s="11" t="s">
        <v>1119</v>
      </c>
      <c r="D266" s="11">
        <v>22</v>
      </c>
      <c r="E266" s="11">
        <v>6</v>
      </c>
      <c r="F266" s="11">
        <v>3.3</v>
      </c>
      <c r="G266" s="11" t="s">
        <v>1114</v>
      </c>
      <c r="H266" s="11" t="s">
        <v>1115</v>
      </c>
      <c r="I266" s="11">
        <v>26</v>
      </c>
      <c r="J266" s="11" t="s">
        <v>1137</v>
      </c>
      <c r="K266" s="11" t="s">
        <v>1164</v>
      </c>
      <c r="L266" s="11" t="s">
        <v>1118</v>
      </c>
      <c r="M266" s="11">
        <v>2019</v>
      </c>
    </row>
    <row r="267" spans="2:13" x14ac:dyDescent="0.35">
      <c r="B267" s="11">
        <v>24</v>
      </c>
      <c r="C267" s="11" t="s">
        <v>1119</v>
      </c>
      <c r="D267" s="11">
        <v>26</v>
      </c>
      <c r="E267" s="11">
        <v>4</v>
      </c>
      <c r="F267" s="11">
        <v>2</v>
      </c>
      <c r="G267" s="11" t="s">
        <v>1127</v>
      </c>
      <c r="H267" s="11" t="s">
        <v>1115</v>
      </c>
      <c r="I267" s="11">
        <v>30</v>
      </c>
      <c r="J267" s="11" t="s">
        <v>1309</v>
      </c>
      <c r="K267" s="11" t="s">
        <v>1311</v>
      </c>
      <c r="L267" s="11" t="s">
        <v>1118</v>
      </c>
      <c r="M267" s="11">
        <v>2019</v>
      </c>
    </row>
    <row r="268" spans="2:13" x14ac:dyDescent="0.35">
      <c r="B268" s="11">
        <v>21</v>
      </c>
      <c r="C268" s="11" t="s">
        <v>1119</v>
      </c>
      <c r="D268" s="11">
        <v>23</v>
      </c>
      <c r="E268" s="11">
        <v>4</v>
      </c>
      <c r="F268" s="11">
        <v>2.4</v>
      </c>
      <c r="G268" s="11" t="s">
        <v>1127</v>
      </c>
      <c r="H268" s="11" t="s">
        <v>1115</v>
      </c>
      <c r="I268" s="11">
        <v>26</v>
      </c>
      <c r="J268" s="11" t="s">
        <v>1137</v>
      </c>
      <c r="K268" s="11" t="s">
        <v>1165</v>
      </c>
      <c r="L268" s="11" t="s">
        <v>1118</v>
      </c>
      <c r="M268" s="11">
        <v>2019</v>
      </c>
    </row>
    <row r="269" spans="2:13" x14ac:dyDescent="0.35">
      <c r="B269" s="11">
        <v>19</v>
      </c>
      <c r="C269" s="11" t="s">
        <v>1119</v>
      </c>
      <c r="D269" s="11">
        <v>21</v>
      </c>
      <c r="E269" s="11">
        <v>6</v>
      </c>
      <c r="F269" s="11">
        <v>3.3</v>
      </c>
      <c r="G269" s="11" t="s">
        <v>1127</v>
      </c>
      <c r="H269" s="11" t="s">
        <v>1115</v>
      </c>
      <c r="I269" s="11">
        <v>24</v>
      </c>
      <c r="J269" s="11" t="s">
        <v>1137</v>
      </c>
      <c r="K269" s="11" t="s">
        <v>1165</v>
      </c>
      <c r="L269" s="11" t="s">
        <v>1118</v>
      </c>
      <c r="M269" s="11">
        <v>2019</v>
      </c>
    </row>
    <row r="270" spans="2:13" x14ac:dyDescent="0.35">
      <c r="B270" s="11">
        <v>15</v>
      </c>
      <c r="C270" s="11" t="s">
        <v>1141</v>
      </c>
      <c r="D270" s="11">
        <v>17</v>
      </c>
      <c r="E270" s="11">
        <v>8</v>
      </c>
      <c r="F270" s="11">
        <v>6.2</v>
      </c>
      <c r="G270" s="11" t="s">
        <v>1124</v>
      </c>
      <c r="H270" s="11" t="s">
        <v>1115</v>
      </c>
      <c r="I270" s="11">
        <v>22</v>
      </c>
      <c r="J270" s="11" t="s">
        <v>1175</v>
      </c>
      <c r="K270" s="11" t="s">
        <v>1306</v>
      </c>
      <c r="L270" s="11" t="s">
        <v>1117</v>
      </c>
      <c r="M270" s="11">
        <v>2019</v>
      </c>
    </row>
    <row r="271" spans="2:13" x14ac:dyDescent="0.35">
      <c r="B271" s="11">
        <v>18</v>
      </c>
      <c r="C271" s="11" t="s">
        <v>1227</v>
      </c>
      <c r="D271" s="11">
        <v>21</v>
      </c>
      <c r="E271" s="11">
        <v>6</v>
      </c>
      <c r="F271" s="11">
        <v>3.3</v>
      </c>
      <c r="G271" s="11" t="s">
        <v>1114</v>
      </c>
      <c r="H271" s="11" t="s">
        <v>1115</v>
      </c>
      <c r="I271" s="11">
        <v>24</v>
      </c>
      <c r="J271" s="11" t="s">
        <v>1137</v>
      </c>
      <c r="K271" s="11" t="s">
        <v>1228</v>
      </c>
      <c r="L271" s="11" t="s">
        <v>1118</v>
      </c>
      <c r="M271" s="11">
        <v>2019</v>
      </c>
    </row>
    <row r="272" spans="2:13" x14ac:dyDescent="0.35">
      <c r="B272" s="11">
        <v>23</v>
      </c>
      <c r="C272" s="11" t="s">
        <v>1119</v>
      </c>
      <c r="D272" s="11">
        <v>26</v>
      </c>
      <c r="E272" s="11">
        <v>4</v>
      </c>
      <c r="F272" s="11">
        <v>2</v>
      </c>
      <c r="G272" s="11" t="s">
        <v>1114</v>
      </c>
      <c r="H272" s="11" t="s">
        <v>1115</v>
      </c>
      <c r="I272" s="11">
        <v>31</v>
      </c>
      <c r="J272" s="11" t="s">
        <v>1151</v>
      </c>
      <c r="K272" s="11" t="s">
        <v>1301</v>
      </c>
      <c r="L272" s="11" t="s">
        <v>1118</v>
      </c>
      <c r="M272" s="11">
        <v>2019</v>
      </c>
    </row>
    <row r="273" spans="2:13" x14ac:dyDescent="0.35">
      <c r="B273" s="11">
        <v>22</v>
      </c>
      <c r="C273" s="11" t="s">
        <v>1119</v>
      </c>
      <c r="D273" s="11">
        <v>25</v>
      </c>
      <c r="E273" s="11">
        <v>4</v>
      </c>
      <c r="F273" s="11">
        <v>2.4</v>
      </c>
      <c r="G273" s="11" t="s">
        <v>1114</v>
      </c>
      <c r="H273" s="11" t="s">
        <v>1115</v>
      </c>
      <c r="I273" s="11">
        <v>31</v>
      </c>
      <c r="J273" s="11" t="s">
        <v>1151</v>
      </c>
      <c r="K273" s="11" t="s">
        <v>1301</v>
      </c>
      <c r="L273" s="11" t="s">
        <v>1118</v>
      </c>
      <c r="M273" s="11">
        <v>2019</v>
      </c>
    </row>
    <row r="274" spans="2:13" x14ac:dyDescent="0.35">
      <c r="B274" s="11">
        <v>21</v>
      </c>
      <c r="C274" s="11" t="s">
        <v>1119</v>
      </c>
      <c r="D274" s="11">
        <v>24</v>
      </c>
      <c r="E274" s="11">
        <v>4</v>
      </c>
      <c r="F274" s="11">
        <v>2</v>
      </c>
      <c r="G274" s="11" t="s">
        <v>1127</v>
      </c>
      <c r="H274" s="11" t="s">
        <v>1115</v>
      </c>
      <c r="I274" s="11">
        <v>29</v>
      </c>
      <c r="J274" s="11" t="s">
        <v>1151</v>
      </c>
      <c r="K274" s="11" t="s">
        <v>1302</v>
      </c>
      <c r="L274" s="11" t="s">
        <v>1118</v>
      </c>
      <c r="M274" s="11">
        <v>2019</v>
      </c>
    </row>
    <row r="275" spans="2:13" x14ac:dyDescent="0.35">
      <c r="B275" s="11">
        <v>21</v>
      </c>
      <c r="C275" s="11" t="s">
        <v>1119</v>
      </c>
      <c r="D275" s="11">
        <v>24</v>
      </c>
      <c r="E275" s="11">
        <v>4</v>
      </c>
      <c r="F275" s="11">
        <v>2.4</v>
      </c>
      <c r="G275" s="11" t="s">
        <v>1127</v>
      </c>
      <c r="H275" s="11" t="s">
        <v>1115</v>
      </c>
      <c r="I275" s="11">
        <v>29</v>
      </c>
      <c r="J275" s="11" t="s">
        <v>1151</v>
      </c>
      <c r="K275" s="11" t="s">
        <v>1302</v>
      </c>
      <c r="L275" s="11" t="s">
        <v>1118</v>
      </c>
      <c r="M275" s="11">
        <v>2019</v>
      </c>
    </row>
    <row r="276" spans="2:13" x14ac:dyDescent="0.35">
      <c r="B276" s="11">
        <v>20</v>
      </c>
      <c r="C276" s="11" t="s">
        <v>1119</v>
      </c>
      <c r="D276" s="11">
        <v>22</v>
      </c>
      <c r="E276" s="11">
        <v>4</v>
      </c>
      <c r="F276" s="11">
        <v>2</v>
      </c>
      <c r="G276" s="11" t="s">
        <v>1121</v>
      </c>
      <c r="H276" s="11" t="s">
        <v>1115</v>
      </c>
      <c r="I276" s="11">
        <v>26</v>
      </c>
      <c r="J276" s="11" t="s">
        <v>1151</v>
      </c>
      <c r="K276" s="11" t="s">
        <v>1304</v>
      </c>
      <c r="L276" s="11" t="s">
        <v>1118</v>
      </c>
      <c r="M276" s="11">
        <v>2019</v>
      </c>
    </row>
    <row r="277" spans="2:13" x14ac:dyDescent="0.35">
      <c r="B277" s="11">
        <v>20</v>
      </c>
      <c r="C277" s="11" t="s">
        <v>1119</v>
      </c>
      <c r="D277" s="11">
        <v>23</v>
      </c>
      <c r="E277" s="11">
        <v>4</v>
      </c>
      <c r="F277" s="11">
        <v>2</v>
      </c>
      <c r="G277" s="11" t="s">
        <v>1121</v>
      </c>
      <c r="H277" s="11" t="s">
        <v>1115</v>
      </c>
      <c r="I277" s="11">
        <v>27</v>
      </c>
      <c r="J277" s="11" t="s">
        <v>1151</v>
      </c>
      <c r="K277" s="11" t="s">
        <v>1303</v>
      </c>
      <c r="L277" s="11" t="s">
        <v>1118</v>
      </c>
      <c r="M277" s="11">
        <v>2019</v>
      </c>
    </row>
    <row r="278" spans="2:13" x14ac:dyDescent="0.35">
      <c r="B278" s="11">
        <v>17</v>
      </c>
      <c r="C278" s="11" t="s">
        <v>1160</v>
      </c>
      <c r="D278" s="11">
        <v>20</v>
      </c>
      <c r="E278" s="11">
        <v>6</v>
      </c>
      <c r="F278" s="11">
        <v>3.3</v>
      </c>
      <c r="G278" s="11" t="s">
        <v>1127</v>
      </c>
      <c r="H278" s="11" t="s">
        <v>1115</v>
      </c>
      <c r="I278" s="11">
        <v>25</v>
      </c>
      <c r="J278" s="11" t="s">
        <v>1267</v>
      </c>
      <c r="K278" s="11" t="s">
        <v>1312</v>
      </c>
      <c r="L278" s="11" t="s">
        <v>1118</v>
      </c>
      <c r="M278" s="11">
        <v>2019</v>
      </c>
    </row>
    <row r="279" spans="2:13" x14ac:dyDescent="0.35">
      <c r="B279" s="11">
        <v>17</v>
      </c>
      <c r="C279" s="11" t="s">
        <v>1160</v>
      </c>
      <c r="D279" s="11">
        <v>20</v>
      </c>
      <c r="E279" s="11">
        <v>6</v>
      </c>
      <c r="F279" s="11">
        <v>3.3</v>
      </c>
      <c r="G279" s="11" t="s">
        <v>1124</v>
      </c>
      <c r="H279" s="11" t="s">
        <v>1115</v>
      </c>
      <c r="I279" s="11">
        <v>26</v>
      </c>
      <c r="J279" s="11" t="s">
        <v>1267</v>
      </c>
      <c r="K279" s="11" t="s">
        <v>1313</v>
      </c>
      <c r="L279" s="11" t="s">
        <v>1118</v>
      </c>
      <c r="M279" s="11">
        <v>2019</v>
      </c>
    </row>
    <row r="280" spans="2:13" x14ac:dyDescent="0.35">
      <c r="B280" s="11">
        <v>21</v>
      </c>
      <c r="C280" s="11" t="s">
        <v>1160</v>
      </c>
      <c r="D280" s="11">
        <v>23</v>
      </c>
      <c r="E280" s="11">
        <v>4</v>
      </c>
      <c r="F280" s="11">
        <v>2</v>
      </c>
      <c r="G280" s="11" t="s">
        <v>1127</v>
      </c>
      <c r="H280" s="11" t="s">
        <v>1115</v>
      </c>
      <c r="I280" s="11">
        <v>28</v>
      </c>
      <c r="J280" s="11" t="s">
        <v>1267</v>
      </c>
      <c r="K280" s="11" t="s">
        <v>1312</v>
      </c>
      <c r="L280" s="11" t="s">
        <v>1118</v>
      </c>
      <c r="M280" s="11">
        <v>2019</v>
      </c>
    </row>
    <row r="281" spans="2:13" x14ac:dyDescent="0.35">
      <c r="B281" s="11">
        <v>22</v>
      </c>
      <c r="C281" s="11" t="s">
        <v>1160</v>
      </c>
      <c r="D281" s="11">
        <v>25</v>
      </c>
      <c r="E281" s="11">
        <v>4</v>
      </c>
      <c r="F281" s="11">
        <v>2</v>
      </c>
      <c r="G281" s="11" t="s">
        <v>1124</v>
      </c>
      <c r="H281" s="11" t="s">
        <v>1115</v>
      </c>
      <c r="I281" s="11">
        <v>30</v>
      </c>
      <c r="J281" s="11" t="s">
        <v>1267</v>
      </c>
      <c r="K281" s="11" t="s">
        <v>1313</v>
      </c>
      <c r="L281" s="11" t="s">
        <v>1118</v>
      </c>
      <c r="M281" s="11">
        <v>2019</v>
      </c>
    </row>
    <row r="282" spans="2:13" x14ac:dyDescent="0.35">
      <c r="B282" s="11">
        <v>18</v>
      </c>
      <c r="C282" s="11" t="s">
        <v>1160</v>
      </c>
      <c r="D282" s="11">
        <v>22</v>
      </c>
      <c r="E282" s="11">
        <v>4</v>
      </c>
      <c r="F282" s="11">
        <v>2</v>
      </c>
      <c r="G282" s="11" t="s">
        <v>1124</v>
      </c>
      <c r="H282" s="11" t="s">
        <v>1115</v>
      </c>
      <c r="I282" s="11">
        <v>28</v>
      </c>
      <c r="J282" s="11" t="s">
        <v>1267</v>
      </c>
      <c r="K282" s="11" t="s">
        <v>1313</v>
      </c>
      <c r="L282" s="11" t="s">
        <v>1117</v>
      </c>
      <c r="M282" s="11">
        <v>2019</v>
      </c>
    </row>
    <row r="283" spans="2:13" x14ac:dyDescent="0.35">
      <c r="B283" s="11">
        <v>20</v>
      </c>
      <c r="C283" s="11" t="s">
        <v>1119</v>
      </c>
      <c r="D283" s="11">
        <v>22</v>
      </c>
      <c r="E283" s="11">
        <v>4</v>
      </c>
      <c r="F283" s="11">
        <v>2</v>
      </c>
      <c r="G283" s="11" t="s">
        <v>1127</v>
      </c>
      <c r="H283" s="11" t="s">
        <v>1115</v>
      </c>
      <c r="I283" s="11">
        <v>25</v>
      </c>
      <c r="J283" s="11" t="s">
        <v>1314</v>
      </c>
      <c r="K283" s="11" t="s">
        <v>1315</v>
      </c>
      <c r="L283" s="11" t="s">
        <v>1118</v>
      </c>
      <c r="M283" s="11">
        <v>2019</v>
      </c>
    </row>
    <row r="284" spans="2:13" x14ac:dyDescent="0.35">
      <c r="B284" s="11">
        <v>19</v>
      </c>
      <c r="C284" s="11" t="s">
        <v>1316</v>
      </c>
      <c r="D284" s="11">
        <v>22</v>
      </c>
      <c r="E284" s="11">
        <v>6</v>
      </c>
      <c r="F284" s="11">
        <v>3.5</v>
      </c>
      <c r="G284" s="11" t="s">
        <v>1114</v>
      </c>
      <c r="H284" s="11" t="s">
        <v>1115</v>
      </c>
      <c r="I284" s="11">
        <v>26</v>
      </c>
      <c r="J284" s="11" t="s">
        <v>1202</v>
      </c>
      <c r="K284" s="11" t="s">
        <v>1317</v>
      </c>
      <c r="L284" s="11" t="s">
        <v>1118</v>
      </c>
      <c r="M284" s="11">
        <v>2019</v>
      </c>
    </row>
    <row r="285" spans="2:13" x14ac:dyDescent="0.35">
      <c r="B285" s="11">
        <v>18</v>
      </c>
      <c r="C285" s="11" t="s">
        <v>1174</v>
      </c>
      <c r="D285" s="11">
        <v>21</v>
      </c>
      <c r="E285" s="11">
        <v>6</v>
      </c>
      <c r="F285" s="11">
        <v>3.5</v>
      </c>
      <c r="G285" s="11" t="s">
        <v>1127</v>
      </c>
      <c r="H285" s="11" t="s">
        <v>1115</v>
      </c>
      <c r="I285" s="11">
        <v>25</v>
      </c>
      <c r="J285" s="11" t="s">
        <v>1202</v>
      </c>
      <c r="K285" s="11" t="s">
        <v>1318</v>
      </c>
      <c r="L285" s="11" t="s">
        <v>1118</v>
      </c>
      <c r="M285" s="11">
        <v>2019</v>
      </c>
    </row>
    <row r="286" spans="2:13" x14ac:dyDescent="0.35">
      <c r="B286" s="11">
        <v>23</v>
      </c>
      <c r="C286" s="11" t="s">
        <v>1119</v>
      </c>
      <c r="D286" s="11">
        <v>26</v>
      </c>
      <c r="E286" s="11">
        <v>4</v>
      </c>
      <c r="F286" s="11">
        <v>2</v>
      </c>
      <c r="G286" s="11" t="s">
        <v>1127</v>
      </c>
      <c r="H286" s="11" t="s">
        <v>1115</v>
      </c>
      <c r="I286" s="11">
        <v>31</v>
      </c>
      <c r="J286" s="11" t="s">
        <v>1161</v>
      </c>
      <c r="K286" s="11" t="s">
        <v>1319</v>
      </c>
      <c r="L286" s="11" t="s">
        <v>1118</v>
      </c>
      <c r="M286" s="11">
        <v>2019</v>
      </c>
    </row>
    <row r="287" spans="2:13" x14ac:dyDescent="0.35">
      <c r="B287" s="11">
        <v>27</v>
      </c>
      <c r="C287" s="11" t="s">
        <v>1160</v>
      </c>
      <c r="D287" s="11">
        <v>30</v>
      </c>
      <c r="E287" s="11">
        <v>4</v>
      </c>
      <c r="F287" s="11">
        <v>2</v>
      </c>
      <c r="G287" s="11" t="s">
        <v>1114</v>
      </c>
      <c r="H287" s="11" t="s">
        <v>1115</v>
      </c>
      <c r="I287" s="11">
        <v>34</v>
      </c>
      <c r="J287" s="11" t="s">
        <v>1209</v>
      </c>
      <c r="K287" s="11" t="s">
        <v>1210</v>
      </c>
      <c r="L287" s="11" t="s">
        <v>1118</v>
      </c>
      <c r="M287" s="11">
        <v>2019</v>
      </c>
    </row>
    <row r="288" spans="2:13" x14ac:dyDescent="0.35">
      <c r="B288" s="11">
        <v>25</v>
      </c>
      <c r="C288" s="11" t="s">
        <v>1160</v>
      </c>
      <c r="D288" s="11">
        <v>28</v>
      </c>
      <c r="E288" s="11">
        <v>4</v>
      </c>
      <c r="F288" s="11">
        <v>2</v>
      </c>
      <c r="G288" s="11" t="s">
        <v>1114</v>
      </c>
      <c r="H288" s="11" t="s">
        <v>1115</v>
      </c>
      <c r="I288" s="11">
        <v>33</v>
      </c>
      <c r="J288" s="11" t="s">
        <v>1209</v>
      </c>
      <c r="K288" s="11" t="s">
        <v>1210</v>
      </c>
      <c r="L288" s="11" t="s">
        <v>1117</v>
      </c>
      <c r="M288" s="11">
        <v>2019</v>
      </c>
    </row>
    <row r="289" spans="2:13" x14ac:dyDescent="0.35">
      <c r="B289" s="11">
        <v>28</v>
      </c>
      <c r="C289" s="11" t="s">
        <v>1160</v>
      </c>
      <c r="D289" s="11">
        <v>30</v>
      </c>
      <c r="E289" s="11">
        <v>4</v>
      </c>
      <c r="F289" s="11">
        <v>1.6</v>
      </c>
      <c r="G289" s="11" t="s">
        <v>1114</v>
      </c>
      <c r="H289" s="11" t="s">
        <v>1115</v>
      </c>
      <c r="I289" s="11">
        <v>34</v>
      </c>
      <c r="J289" s="11" t="s">
        <v>1209</v>
      </c>
      <c r="K289" s="11" t="s">
        <v>1210</v>
      </c>
      <c r="L289" s="11" t="s">
        <v>1118</v>
      </c>
      <c r="M289" s="11">
        <v>2019</v>
      </c>
    </row>
    <row r="290" spans="2:13" x14ac:dyDescent="0.35">
      <c r="B290" s="11">
        <v>26</v>
      </c>
      <c r="C290" s="11" t="s">
        <v>1160</v>
      </c>
      <c r="D290" s="11">
        <v>29</v>
      </c>
      <c r="E290" s="11">
        <v>4</v>
      </c>
      <c r="F290" s="11">
        <v>1.6</v>
      </c>
      <c r="G290" s="11" t="s">
        <v>1114</v>
      </c>
      <c r="H290" s="11" t="s">
        <v>1115</v>
      </c>
      <c r="I290" s="11">
        <v>33</v>
      </c>
      <c r="J290" s="11" t="s">
        <v>1209</v>
      </c>
      <c r="K290" s="11" t="s">
        <v>1210</v>
      </c>
      <c r="L290" s="11" t="s">
        <v>1117</v>
      </c>
      <c r="M290" s="11">
        <v>2019</v>
      </c>
    </row>
    <row r="291" spans="2:13" x14ac:dyDescent="0.35">
      <c r="B291" s="11">
        <v>15</v>
      </c>
      <c r="C291" s="11" t="s">
        <v>1174</v>
      </c>
      <c r="D291" s="11">
        <v>17</v>
      </c>
      <c r="E291" s="11">
        <v>8</v>
      </c>
      <c r="F291" s="11">
        <v>5.7</v>
      </c>
      <c r="G291" s="11" t="s">
        <v>1124</v>
      </c>
      <c r="H291" s="11" t="s">
        <v>1115</v>
      </c>
      <c r="I291" s="11">
        <v>22</v>
      </c>
      <c r="J291" s="11" t="s">
        <v>1320</v>
      </c>
      <c r="K291" s="11" t="s">
        <v>1321</v>
      </c>
      <c r="L291" s="11" t="s">
        <v>1118</v>
      </c>
      <c r="M291" s="11">
        <v>2019</v>
      </c>
    </row>
    <row r="292" spans="2:13" x14ac:dyDescent="0.35">
      <c r="B292" s="11">
        <v>15</v>
      </c>
      <c r="C292" s="11" t="s">
        <v>1174</v>
      </c>
      <c r="D292" s="11">
        <v>17</v>
      </c>
      <c r="E292" s="11">
        <v>8</v>
      </c>
      <c r="F292" s="11">
        <v>5.7</v>
      </c>
      <c r="G292" s="11" t="s">
        <v>1121</v>
      </c>
      <c r="H292" s="11" t="s">
        <v>1115</v>
      </c>
      <c r="I292" s="11">
        <v>21</v>
      </c>
      <c r="J292" s="11" t="s">
        <v>1320</v>
      </c>
      <c r="K292" s="11" t="s">
        <v>1322</v>
      </c>
      <c r="L292" s="11" t="s">
        <v>1118</v>
      </c>
      <c r="M292" s="11">
        <v>2019</v>
      </c>
    </row>
    <row r="293" spans="2:13" x14ac:dyDescent="0.35">
      <c r="B293" s="11">
        <v>22</v>
      </c>
      <c r="C293" s="11" t="s">
        <v>1119</v>
      </c>
      <c r="D293" s="11">
        <v>25</v>
      </c>
      <c r="E293" s="11">
        <v>4</v>
      </c>
      <c r="F293" s="11">
        <v>2.5</v>
      </c>
      <c r="G293" s="11" t="s">
        <v>1114</v>
      </c>
      <c r="H293" s="11" t="s">
        <v>1115</v>
      </c>
      <c r="I293" s="11">
        <v>29</v>
      </c>
      <c r="J293" s="11" t="s">
        <v>1314</v>
      </c>
      <c r="K293" s="11" t="s">
        <v>1323</v>
      </c>
      <c r="L293" s="11" t="s">
        <v>1118</v>
      </c>
      <c r="M293" s="11">
        <v>2019</v>
      </c>
    </row>
    <row r="294" spans="2:13" x14ac:dyDescent="0.35">
      <c r="B294" s="11">
        <v>21</v>
      </c>
      <c r="C294" s="11" t="s">
        <v>1119</v>
      </c>
      <c r="D294" s="11">
        <v>24</v>
      </c>
      <c r="E294" s="11">
        <v>4</v>
      </c>
      <c r="F294" s="11">
        <v>2.5</v>
      </c>
      <c r="G294" s="11" t="s">
        <v>1127</v>
      </c>
      <c r="H294" s="11" t="s">
        <v>1115</v>
      </c>
      <c r="I294" s="11">
        <v>27</v>
      </c>
      <c r="J294" s="11" t="s">
        <v>1314</v>
      </c>
      <c r="K294" s="11" t="s">
        <v>1315</v>
      </c>
      <c r="L294" s="11" t="s">
        <v>1118</v>
      </c>
      <c r="M294" s="11">
        <v>2019</v>
      </c>
    </row>
    <row r="295" spans="2:13" x14ac:dyDescent="0.35">
      <c r="B295" s="11">
        <v>23</v>
      </c>
      <c r="C295" s="11" t="s">
        <v>1160</v>
      </c>
      <c r="D295" s="11">
        <v>26</v>
      </c>
      <c r="E295" s="11">
        <v>4</v>
      </c>
      <c r="F295" s="11">
        <v>2.4</v>
      </c>
      <c r="G295" s="11" t="s">
        <v>1114</v>
      </c>
      <c r="H295" s="11" t="s">
        <v>1115</v>
      </c>
      <c r="I295" s="11">
        <v>32</v>
      </c>
      <c r="J295" s="11" t="s">
        <v>1217</v>
      </c>
      <c r="K295" s="11" t="s">
        <v>1324</v>
      </c>
      <c r="L295" s="11" t="s">
        <v>1118</v>
      </c>
      <c r="M295" s="11">
        <v>2019</v>
      </c>
    </row>
    <row r="296" spans="2:13" x14ac:dyDescent="0.35">
      <c r="B296" s="11">
        <v>20</v>
      </c>
      <c r="C296" s="11" t="s">
        <v>1160</v>
      </c>
      <c r="D296" s="11">
        <v>23</v>
      </c>
      <c r="E296" s="11">
        <v>6</v>
      </c>
      <c r="F296" s="11">
        <v>3.5</v>
      </c>
      <c r="G296" s="11" t="s">
        <v>1114</v>
      </c>
      <c r="H296" s="11" t="s">
        <v>1115</v>
      </c>
      <c r="I296" s="11">
        <v>30</v>
      </c>
      <c r="J296" s="11" t="s">
        <v>1217</v>
      </c>
      <c r="K296" s="11" t="s">
        <v>1324</v>
      </c>
      <c r="L296" s="11" t="s">
        <v>1118</v>
      </c>
      <c r="M296" s="11">
        <v>2019</v>
      </c>
    </row>
    <row r="297" spans="2:13" x14ac:dyDescent="0.35">
      <c r="B297" s="11">
        <v>20</v>
      </c>
      <c r="C297" s="11" t="s">
        <v>1160</v>
      </c>
      <c r="D297" s="11">
        <v>23</v>
      </c>
      <c r="E297" s="11">
        <v>6</v>
      </c>
      <c r="F297" s="11">
        <v>3.5</v>
      </c>
      <c r="G297" s="11" t="s">
        <v>1127</v>
      </c>
      <c r="H297" s="11" t="s">
        <v>1115</v>
      </c>
      <c r="I297" s="11">
        <v>29</v>
      </c>
      <c r="J297" s="11" t="s">
        <v>1217</v>
      </c>
      <c r="K297" s="11" t="s">
        <v>1325</v>
      </c>
      <c r="L297" s="11" t="s">
        <v>1118</v>
      </c>
      <c r="M297" s="11">
        <v>2019</v>
      </c>
    </row>
    <row r="298" spans="2:13" x14ac:dyDescent="0.35">
      <c r="B298" s="11">
        <v>20</v>
      </c>
      <c r="C298" s="11" t="s">
        <v>1160</v>
      </c>
      <c r="D298" s="11">
        <v>23</v>
      </c>
      <c r="E298" s="11">
        <v>6</v>
      </c>
      <c r="F298" s="11">
        <v>3.5</v>
      </c>
      <c r="G298" s="11" t="s">
        <v>1127</v>
      </c>
      <c r="H298" s="11" t="s">
        <v>1115</v>
      </c>
      <c r="I298" s="11">
        <v>29</v>
      </c>
      <c r="J298" s="11" t="s">
        <v>1217</v>
      </c>
      <c r="K298" s="11" t="s">
        <v>1326</v>
      </c>
      <c r="L298" s="11" t="s">
        <v>1118</v>
      </c>
      <c r="M298" s="11">
        <v>2019</v>
      </c>
    </row>
    <row r="299" spans="2:13" x14ac:dyDescent="0.35">
      <c r="B299" s="11">
        <v>13</v>
      </c>
      <c r="C299" s="11" t="s">
        <v>1141</v>
      </c>
      <c r="D299" s="11">
        <v>15</v>
      </c>
      <c r="E299" s="11">
        <v>8</v>
      </c>
      <c r="F299" s="11">
        <v>6.2</v>
      </c>
      <c r="G299" s="11" t="s">
        <v>1124</v>
      </c>
      <c r="H299" s="11" t="s">
        <v>1115</v>
      </c>
      <c r="I299" s="11">
        <v>19</v>
      </c>
      <c r="J299" s="11" t="s">
        <v>1175</v>
      </c>
      <c r="K299" s="11" t="s">
        <v>1327</v>
      </c>
      <c r="L299" s="11" t="s">
        <v>1117</v>
      </c>
      <c r="M299" s="11">
        <v>2019</v>
      </c>
    </row>
    <row r="300" spans="2:13" x14ac:dyDescent="0.35">
      <c r="B300" s="11">
        <v>12</v>
      </c>
      <c r="C300" s="11" t="s">
        <v>1141</v>
      </c>
      <c r="D300" s="11">
        <v>15</v>
      </c>
      <c r="E300" s="11">
        <v>8</v>
      </c>
      <c r="F300" s="11">
        <v>6.2</v>
      </c>
      <c r="G300" s="11" t="s">
        <v>1124</v>
      </c>
      <c r="H300" s="11" t="s">
        <v>1115</v>
      </c>
      <c r="I300" s="11">
        <v>20</v>
      </c>
      <c r="J300" s="11" t="s">
        <v>1175</v>
      </c>
      <c r="K300" s="11" t="s">
        <v>1327</v>
      </c>
      <c r="L300" s="11" t="s">
        <v>1118</v>
      </c>
      <c r="M300" s="11">
        <v>2019</v>
      </c>
    </row>
    <row r="301" spans="2:13" x14ac:dyDescent="0.35">
      <c r="B301" s="11">
        <v>27</v>
      </c>
      <c r="C301" s="11" t="s">
        <v>1144</v>
      </c>
      <c r="D301" s="11">
        <v>30</v>
      </c>
      <c r="E301" s="11">
        <v>3</v>
      </c>
      <c r="F301" s="11">
        <v>1.5</v>
      </c>
      <c r="G301" s="11" t="s">
        <v>1114</v>
      </c>
      <c r="H301" s="11" t="s">
        <v>1115</v>
      </c>
      <c r="I301" s="11">
        <v>35</v>
      </c>
      <c r="J301" s="11" t="s">
        <v>1260</v>
      </c>
      <c r="K301" s="11" t="s">
        <v>1328</v>
      </c>
      <c r="L301" s="11" t="s">
        <v>1118</v>
      </c>
      <c r="M301" s="11">
        <v>2019</v>
      </c>
    </row>
    <row r="302" spans="2:13" x14ac:dyDescent="0.35">
      <c r="B302" s="11">
        <v>28</v>
      </c>
      <c r="C302" s="11" t="s">
        <v>1144</v>
      </c>
      <c r="D302" s="11">
        <v>31</v>
      </c>
      <c r="E302" s="11">
        <v>3</v>
      </c>
      <c r="F302" s="11">
        <v>1.5</v>
      </c>
      <c r="G302" s="11" t="s">
        <v>1114</v>
      </c>
      <c r="H302" s="11" t="s">
        <v>1115</v>
      </c>
      <c r="I302" s="11">
        <v>37</v>
      </c>
      <c r="J302" s="11" t="s">
        <v>1260</v>
      </c>
      <c r="K302" s="11" t="s">
        <v>1328</v>
      </c>
      <c r="L302" s="11" t="s">
        <v>1117</v>
      </c>
      <c r="M302" s="11">
        <v>2019</v>
      </c>
    </row>
    <row r="303" spans="2:13" x14ac:dyDescent="0.35">
      <c r="B303" s="11">
        <v>25</v>
      </c>
      <c r="C303" s="11" t="s">
        <v>1144</v>
      </c>
      <c r="D303" s="11">
        <v>28</v>
      </c>
      <c r="E303" s="11">
        <v>4</v>
      </c>
      <c r="F303" s="11">
        <v>2</v>
      </c>
      <c r="G303" s="11" t="s">
        <v>1114</v>
      </c>
      <c r="H303" s="11" t="s">
        <v>1115</v>
      </c>
      <c r="I303" s="11">
        <v>33</v>
      </c>
      <c r="J303" s="11" t="s">
        <v>1260</v>
      </c>
      <c r="K303" s="11" t="s">
        <v>1329</v>
      </c>
      <c r="L303" s="11" t="s">
        <v>1118</v>
      </c>
      <c r="M303" s="11">
        <v>2019</v>
      </c>
    </row>
    <row r="304" spans="2:13" x14ac:dyDescent="0.35">
      <c r="B304" s="11">
        <v>23</v>
      </c>
      <c r="C304" s="11" t="s">
        <v>1144</v>
      </c>
      <c r="D304" s="11">
        <v>26</v>
      </c>
      <c r="E304" s="11">
        <v>4</v>
      </c>
      <c r="F304" s="11">
        <v>2</v>
      </c>
      <c r="G304" s="11" t="s">
        <v>1114</v>
      </c>
      <c r="H304" s="11" t="s">
        <v>1115</v>
      </c>
      <c r="I304" s="11">
        <v>32</v>
      </c>
      <c r="J304" s="11" t="s">
        <v>1260</v>
      </c>
      <c r="K304" s="11" t="s">
        <v>1329</v>
      </c>
      <c r="L304" s="11" t="s">
        <v>1117</v>
      </c>
      <c r="M304" s="11">
        <v>2019</v>
      </c>
    </row>
    <row r="305" spans="2:13" x14ac:dyDescent="0.35">
      <c r="B305" s="11">
        <v>31</v>
      </c>
      <c r="C305" s="11" t="s">
        <v>1160</v>
      </c>
      <c r="D305" s="11">
        <v>34</v>
      </c>
      <c r="E305" s="11">
        <v>4</v>
      </c>
      <c r="F305" s="11">
        <v>2</v>
      </c>
      <c r="G305" s="11" t="s">
        <v>1114</v>
      </c>
      <c r="H305" s="11" t="s">
        <v>1115</v>
      </c>
      <c r="I305" s="11">
        <v>40</v>
      </c>
      <c r="J305" s="11" t="s">
        <v>1330</v>
      </c>
      <c r="K305" s="11" t="s">
        <v>1331</v>
      </c>
      <c r="L305" s="11" t="s">
        <v>1118</v>
      </c>
      <c r="M305" s="11">
        <v>2020</v>
      </c>
    </row>
    <row r="306" spans="2:13" x14ac:dyDescent="0.35">
      <c r="B306" s="11">
        <v>53</v>
      </c>
      <c r="C306" s="11" t="s">
        <v>1160</v>
      </c>
      <c r="D306" s="11">
        <v>52</v>
      </c>
      <c r="E306" s="11">
        <v>4</v>
      </c>
      <c r="F306" s="11">
        <v>1.8</v>
      </c>
      <c r="G306" s="11" t="s">
        <v>1114</v>
      </c>
      <c r="H306" s="11" t="s">
        <v>1115</v>
      </c>
      <c r="I306" s="11">
        <v>52</v>
      </c>
      <c r="J306" s="11" t="s">
        <v>1330</v>
      </c>
      <c r="K306" s="11" t="s">
        <v>1332</v>
      </c>
      <c r="L306" s="11" t="s">
        <v>1118</v>
      </c>
      <c r="M306" s="11">
        <v>2020</v>
      </c>
    </row>
    <row r="307" spans="2:13" x14ac:dyDescent="0.35">
      <c r="B307" s="11">
        <v>29</v>
      </c>
      <c r="C307" s="11" t="s">
        <v>1160</v>
      </c>
      <c r="D307" s="11">
        <v>32</v>
      </c>
      <c r="E307" s="11">
        <v>4</v>
      </c>
      <c r="F307" s="11">
        <v>2</v>
      </c>
      <c r="G307" s="11" t="s">
        <v>1114</v>
      </c>
      <c r="H307" s="11" t="s">
        <v>1115</v>
      </c>
      <c r="I307" s="11">
        <v>36</v>
      </c>
      <c r="J307" s="11" t="s">
        <v>1330</v>
      </c>
      <c r="K307" s="11" t="s">
        <v>1331</v>
      </c>
      <c r="L307" s="11" t="s">
        <v>1117</v>
      </c>
      <c r="M307" s="11">
        <v>2020</v>
      </c>
    </row>
    <row r="308" spans="2:13" x14ac:dyDescent="0.35">
      <c r="B308" s="11">
        <v>31</v>
      </c>
      <c r="C308" s="11" t="s">
        <v>1160</v>
      </c>
      <c r="D308" s="11">
        <v>34</v>
      </c>
      <c r="E308" s="11">
        <v>4</v>
      </c>
      <c r="F308" s="11">
        <v>2</v>
      </c>
      <c r="G308" s="11" t="s">
        <v>1114</v>
      </c>
      <c r="H308" s="11" t="s">
        <v>1115</v>
      </c>
      <c r="I308" s="11">
        <v>38</v>
      </c>
      <c r="J308" s="11" t="s">
        <v>1330</v>
      </c>
      <c r="K308" s="11" t="s">
        <v>1333</v>
      </c>
      <c r="L308" s="11" t="s">
        <v>1118</v>
      </c>
      <c r="M308" s="11">
        <v>2020</v>
      </c>
    </row>
    <row r="309" spans="2:13" x14ac:dyDescent="0.35">
      <c r="B309" s="11">
        <v>30</v>
      </c>
      <c r="C309" s="11" t="s">
        <v>1160</v>
      </c>
      <c r="D309" s="11">
        <v>33</v>
      </c>
      <c r="E309" s="11">
        <v>4</v>
      </c>
      <c r="F309" s="11">
        <v>1.8</v>
      </c>
      <c r="G309" s="11" t="s">
        <v>1114</v>
      </c>
      <c r="H309" s="11" t="s">
        <v>1115</v>
      </c>
      <c r="I309" s="11">
        <v>38</v>
      </c>
      <c r="J309" s="11" t="s">
        <v>1330</v>
      </c>
      <c r="K309" s="11" t="s">
        <v>1331</v>
      </c>
      <c r="L309" s="11" t="s">
        <v>1118</v>
      </c>
      <c r="M309" s="11">
        <v>2020</v>
      </c>
    </row>
    <row r="310" spans="2:13" x14ac:dyDescent="0.35">
      <c r="B310" s="11">
        <v>29</v>
      </c>
      <c r="C310" s="11" t="s">
        <v>1160</v>
      </c>
      <c r="D310" s="11">
        <v>33</v>
      </c>
      <c r="E310" s="11">
        <v>4</v>
      </c>
      <c r="F310" s="11">
        <v>1.8</v>
      </c>
      <c r="G310" s="11" t="s">
        <v>1114</v>
      </c>
      <c r="H310" s="11" t="s">
        <v>1115</v>
      </c>
      <c r="I310" s="11">
        <v>39</v>
      </c>
      <c r="J310" s="11" t="s">
        <v>1330</v>
      </c>
      <c r="K310" s="11" t="s">
        <v>1331</v>
      </c>
      <c r="L310" s="11" t="s">
        <v>1117</v>
      </c>
      <c r="M310" s="11">
        <v>2020</v>
      </c>
    </row>
    <row r="311" spans="2:13" x14ac:dyDescent="0.35">
      <c r="B311" s="11">
        <v>29</v>
      </c>
      <c r="C311" s="11" t="s">
        <v>1160</v>
      </c>
      <c r="D311" s="11">
        <v>32</v>
      </c>
      <c r="E311" s="11">
        <v>4</v>
      </c>
      <c r="F311" s="11">
        <v>1.8</v>
      </c>
      <c r="G311" s="11" t="s">
        <v>1114</v>
      </c>
      <c r="H311" s="11" t="s">
        <v>1115</v>
      </c>
      <c r="I311" s="11">
        <v>37</v>
      </c>
      <c r="J311" s="11" t="s">
        <v>1330</v>
      </c>
      <c r="K311" s="11" t="s">
        <v>1334</v>
      </c>
      <c r="L311" s="11" t="s">
        <v>1118</v>
      </c>
      <c r="M311" s="11">
        <v>2020</v>
      </c>
    </row>
    <row r="312" spans="2:13" x14ac:dyDescent="0.35">
      <c r="B312" s="11">
        <v>27</v>
      </c>
      <c r="C312" s="11" t="s">
        <v>1172</v>
      </c>
      <c r="D312" s="11">
        <v>30</v>
      </c>
      <c r="E312" s="11">
        <v>4</v>
      </c>
      <c r="F312" s="11">
        <v>2</v>
      </c>
      <c r="G312" s="11" t="s">
        <v>1114</v>
      </c>
      <c r="H312" s="11" t="s">
        <v>1115</v>
      </c>
      <c r="I312" s="11">
        <v>33</v>
      </c>
      <c r="J312" s="11" t="s">
        <v>1137</v>
      </c>
      <c r="K312" s="11" t="s">
        <v>1335</v>
      </c>
      <c r="L312" s="11" t="s">
        <v>1118</v>
      </c>
      <c r="M312" s="11">
        <v>2020</v>
      </c>
    </row>
    <row r="313" spans="2:13" x14ac:dyDescent="0.35">
      <c r="B313" s="11">
        <v>29</v>
      </c>
      <c r="C313" s="11" t="s">
        <v>1172</v>
      </c>
      <c r="D313" s="11">
        <v>31</v>
      </c>
      <c r="E313" s="11">
        <v>4</v>
      </c>
      <c r="F313" s="11">
        <v>2</v>
      </c>
      <c r="G313" s="11" t="s">
        <v>1114</v>
      </c>
      <c r="H313" s="11" t="s">
        <v>1115</v>
      </c>
      <c r="I313" s="11">
        <v>35</v>
      </c>
      <c r="J313" s="11" t="s">
        <v>1137</v>
      </c>
      <c r="K313" s="11" t="s">
        <v>1336</v>
      </c>
      <c r="L313" s="11" t="s">
        <v>1118</v>
      </c>
      <c r="M313" s="11">
        <v>2020</v>
      </c>
    </row>
    <row r="314" spans="2:13" x14ac:dyDescent="0.35">
      <c r="B314" s="11">
        <v>25</v>
      </c>
      <c r="C314" s="11" t="s">
        <v>1172</v>
      </c>
      <c r="D314" s="11">
        <v>27</v>
      </c>
      <c r="E314" s="11">
        <v>4</v>
      </c>
      <c r="F314" s="11">
        <v>2</v>
      </c>
      <c r="G314" s="11" t="s">
        <v>1114</v>
      </c>
      <c r="H314" s="11" t="s">
        <v>1115</v>
      </c>
      <c r="I314" s="11">
        <v>31</v>
      </c>
      <c r="J314" s="11" t="s">
        <v>1137</v>
      </c>
      <c r="K314" s="11" t="s">
        <v>1335</v>
      </c>
      <c r="L314" s="11" t="s">
        <v>1117</v>
      </c>
      <c r="M314" s="11">
        <v>2020</v>
      </c>
    </row>
    <row r="315" spans="2:13" x14ac:dyDescent="0.35">
      <c r="B315" s="11">
        <v>27</v>
      </c>
      <c r="C315" s="11" t="s">
        <v>1172</v>
      </c>
      <c r="D315" s="11">
        <v>29</v>
      </c>
      <c r="E315" s="11">
        <v>4</v>
      </c>
      <c r="F315" s="11">
        <v>1.6</v>
      </c>
      <c r="G315" s="11" t="s">
        <v>1114</v>
      </c>
      <c r="H315" s="11" t="s">
        <v>1115</v>
      </c>
      <c r="I315" s="11">
        <v>32</v>
      </c>
      <c r="J315" s="11" t="s">
        <v>1137</v>
      </c>
      <c r="K315" s="11" t="s">
        <v>1335</v>
      </c>
      <c r="L315" s="11" t="s">
        <v>1118</v>
      </c>
      <c r="M315" s="11">
        <v>2020</v>
      </c>
    </row>
    <row r="316" spans="2:13" x14ac:dyDescent="0.35">
      <c r="B316" s="11">
        <v>23</v>
      </c>
      <c r="C316" s="11" t="s">
        <v>1119</v>
      </c>
      <c r="D316" s="11">
        <v>26</v>
      </c>
      <c r="E316" s="11">
        <v>4</v>
      </c>
      <c r="F316" s="11">
        <v>2.4</v>
      </c>
      <c r="G316" s="11" t="s">
        <v>1114</v>
      </c>
      <c r="H316" s="11" t="s">
        <v>1115</v>
      </c>
      <c r="I316" s="11">
        <v>30</v>
      </c>
      <c r="J316" s="11" t="s">
        <v>1137</v>
      </c>
      <c r="K316" s="11" t="s">
        <v>1245</v>
      </c>
      <c r="L316" s="11" t="s">
        <v>1118</v>
      </c>
      <c r="M316" s="11">
        <v>2020</v>
      </c>
    </row>
    <row r="317" spans="2:13" x14ac:dyDescent="0.35">
      <c r="B317" s="11">
        <v>20</v>
      </c>
      <c r="C317" s="11" t="s">
        <v>1119</v>
      </c>
      <c r="D317" s="11">
        <v>23</v>
      </c>
      <c r="E317" s="11">
        <v>4</v>
      </c>
      <c r="F317" s="11">
        <v>2</v>
      </c>
      <c r="G317" s="11" t="s">
        <v>1114</v>
      </c>
      <c r="H317" s="11" t="s">
        <v>1115</v>
      </c>
      <c r="I317" s="11">
        <v>28</v>
      </c>
      <c r="J317" s="11" t="s">
        <v>1137</v>
      </c>
      <c r="K317" s="11" t="s">
        <v>1245</v>
      </c>
      <c r="L317" s="11" t="s">
        <v>1118</v>
      </c>
      <c r="M317" s="11">
        <v>2020</v>
      </c>
    </row>
    <row r="318" spans="2:13" x14ac:dyDescent="0.35">
      <c r="B318" s="11">
        <v>20</v>
      </c>
      <c r="C318" s="11" t="s">
        <v>1119</v>
      </c>
      <c r="D318" s="11">
        <v>23</v>
      </c>
      <c r="E318" s="11">
        <v>6</v>
      </c>
      <c r="F318" s="11">
        <v>3.8</v>
      </c>
      <c r="G318" s="11" t="s">
        <v>1114</v>
      </c>
      <c r="H318" s="11" t="s">
        <v>1115</v>
      </c>
      <c r="I318" s="11">
        <v>26</v>
      </c>
      <c r="J318" s="11" t="s">
        <v>1137</v>
      </c>
      <c r="K318" s="11" t="s">
        <v>1337</v>
      </c>
      <c r="L318" s="11" t="s">
        <v>1118</v>
      </c>
      <c r="M318" s="11">
        <v>2020</v>
      </c>
    </row>
    <row r="319" spans="2:13" x14ac:dyDescent="0.35">
      <c r="B319" s="11">
        <v>22</v>
      </c>
      <c r="C319" s="11" t="s">
        <v>1119</v>
      </c>
      <c r="D319" s="11">
        <v>23</v>
      </c>
      <c r="E319" s="11">
        <v>4</v>
      </c>
      <c r="F319" s="11">
        <v>2.4</v>
      </c>
      <c r="G319" s="11" t="s">
        <v>1127</v>
      </c>
      <c r="H319" s="11" t="s">
        <v>1115</v>
      </c>
      <c r="I319" s="11">
        <v>26</v>
      </c>
      <c r="J319" s="11" t="s">
        <v>1137</v>
      </c>
      <c r="K319" s="11" t="s">
        <v>1247</v>
      </c>
      <c r="L319" s="11" t="s">
        <v>1118</v>
      </c>
      <c r="M319" s="11">
        <v>2020</v>
      </c>
    </row>
    <row r="320" spans="2:13" x14ac:dyDescent="0.35">
      <c r="B320" s="11">
        <v>19</v>
      </c>
      <c r="C320" s="11" t="s">
        <v>1119</v>
      </c>
      <c r="D320" s="11">
        <v>21</v>
      </c>
      <c r="E320" s="11">
        <v>4</v>
      </c>
      <c r="F320" s="11">
        <v>2</v>
      </c>
      <c r="G320" s="11" t="s">
        <v>1127</v>
      </c>
      <c r="H320" s="11" t="s">
        <v>1115</v>
      </c>
      <c r="I320" s="11">
        <v>24</v>
      </c>
      <c r="J320" s="11" t="s">
        <v>1137</v>
      </c>
      <c r="K320" s="11" t="s">
        <v>1247</v>
      </c>
      <c r="L320" s="11" t="s">
        <v>1118</v>
      </c>
      <c r="M320" s="11">
        <v>2020</v>
      </c>
    </row>
    <row r="321" spans="2:13" x14ac:dyDescent="0.35">
      <c r="B321" s="11">
        <v>19</v>
      </c>
      <c r="C321" s="11" t="s">
        <v>1119</v>
      </c>
      <c r="D321" s="11">
        <v>21</v>
      </c>
      <c r="E321" s="11">
        <v>6</v>
      </c>
      <c r="F321" s="11">
        <v>3.8</v>
      </c>
      <c r="G321" s="11" t="s">
        <v>1127</v>
      </c>
      <c r="H321" s="11" t="s">
        <v>1115</v>
      </c>
      <c r="I321" s="11">
        <v>24</v>
      </c>
      <c r="J321" s="11" t="s">
        <v>1137</v>
      </c>
      <c r="K321" s="11" t="s">
        <v>1338</v>
      </c>
      <c r="L321" s="11" t="s">
        <v>1118</v>
      </c>
      <c r="M321" s="11">
        <v>2020</v>
      </c>
    </row>
    <row r="322" spans="2:13" x14ac:dyDescent="0.35">
      <c r="B322" s="11">
        <v>19</v>
      </c>
      <c r="C322" s="11" t="s">
        <v>1119</v>
      </c>
      <c r="D322" s="11">
        <v>22</v>
      </c>
      <c r="E322" s="11">
        <v>4</v>
      </c>
      <c r="F322" s="11">
        <v>2</v>
      </c>
      <c r="G322" s="11" t="s">
        <v>1121</v>
      </c>
      <c r="H322" s="11" t="s">
        <v>1115</v>
      </c>
      <c r="I322" s="11">
        <v>26</v>
      </c>
      <c r="J322" s="11" t="s">
        <v>1339</v>
      </c>
      <c r="K322" s="11" t="s">
        <v>1340</v>
      </c>
      <c r="L322" s="11" t="s">
        <v>1118</v>
      </c>
      <c r="M322" s="11">
        <v>2020</v>
      </c>
    </row>
    <row r="323" spans="2:13" x14ac:dyDescent="0.35">
      <c r="B323" s="11">
        <v>19</v>
      </c>
      <c r="C323" s="11" t="s">
        <v>1156</v>
      </c>
      <c r="D323" s="11">
        <v>21</v>
      </c>
      <c r="E323" s="11">
        <v>6</v>
      </c>
      <c r="F323" s="11">
        <v>3</v>
      </c>
      <c r="G323" s="11" t="s">
        <v>1121</v>
      </c>
      <c r="H323" s="11" t="s">
        <v>1115</v>
      </c>
      <c r="I323" s="11">
        <v>24</v>
      </c>
      <c r="J323" s="11" t="s">
        <v>1339</v>
      </c>
      <c r="K323" s="11" t="s">
        <v>1341</v>
      </c>
      <c r="L323" s="11" t="s">
        <v>1118</v>
      </c>
      <c r="M323" s="11">
        <v>2020</v>
      </c>
    </row>
    <row r="324" spans="2:13" x14ac:dyDescent="0.35">
      <c r="B324" s="11">
        <v>23</v>
      </c>
      <c r="C324" s="11" t="s">
        <v>1141</v>
      </c>
      <c r="D324" s="11">
        <v>26</v>
      </c>
      <c r="E324" s="11">
        <v>4</v>
      </c>
      <c r="F324" s="11">
        <v>2</v>
      </c>
      <c r="G324" s="11" t="s">
        <v>1124</v>
      </c>
      <c r="H324" s="11" t="s">
        <v>1115</v>
      </c>
      <c r="I324" s="11">
        <v>30</v>
      </c>
      <c r="J324" s="11" t="s">
        <v>1194</v>
      </c>
      <c r="K324" s="11" t="s">
        <v>1198</v>
      </c>
      <c r="L324" s="11" t="s">
        <v>1118</v>
      </c>
      <c r="M324" s="11">
        <v>2020</v>
      </c>
    </row>
    <row r="325" spans="2:13" x14ac:dyDescent="0.35">
      <c r="B325" s="11">
        <v>23</v>
      </c>
      <c r="C325" s="11" t="s">
        <v>1141</v>
      </c>
      <c r="D325" s="11">
        <v>26</v>
      </c>
      <c r="E325" s="11">
        <v>4</v>
      </c>
      <c r="F325" s="11">
        <v>2</v>
      </c>
      <c r="G325" s="11" t="s">
        <v>1124</v>
      </c>
      <c r="H325" s="11" t="s">
        <v>1115</v>
      </c>
      <c r="I325" s="11">
        <v>30</v>
      </c>
      <c r="J325" s="11" t="s">
        <v>1194</v>
      </c>
      <c r="K325" s="11" t="s">
        <v>1197</v>
      </c>
      <c r="L325" s="11" t="s">
        <v>1118</v>
      </c>
      <c r="M325" s="11">
        <v>2020</v>
      </c>
    </row>
    <row r="326" spans="2:13" x14ac:dyDescent="0.35">
      <c r="B326" s="11">
        <v>25</v>
      </c>
      <c r="C326" s="11" t="s">
        <v>1160</v>
      </c>
      <c r="D326" s="11">
        <v>28</v>
      </c>
      <c r="E326" s="11">
        <v>4</v>
      </c>
      <c r="F326" s="11">
        <v>2</v>
      </c>
      <c r="G326" s="11" t="s">
        <v>1124</v>
      </c>
      <c r="H326" s="11" t="s">
        <v>1115</v>
      </c>
      <c r="I326" s="11">
        <v>34</v>
      </c>
      <c r="J326" s="11" t="s">
        <v>1194</v>
      </c>
      <c r="K326" s="11" t="s">
        <v>1342</v>
      </c>
      <c r="L326" s="11" t="s">
        <v>1118</v>
      </c>
      <c r="M326" s="11">
        <v>2020</v>
      </c>
    </row>
    <row r="327" spans="2:13" x14ac:dyDescent="0.35">
      <c r="B327" s="11">
        <v>24</v>
      </c>
      <c r="C327" s="11" t="s">
        <v>1160</v>
      </c>
      <c r="D327" s="11">
        <v>27</v>
      </c>
      <c r="E327" s="11">
        <v>4</v>
      </c>
      <c r="F327" s="11">
        <v>2</v>
      </c>
      <c r="G327" s="11" t="s">
        <v>1124</v>
      </c>
      <c r="H327" s="11" t="s">
        <v>1115</v>
      </c>
      <c r="I327" s="11">
        <v>32</v>
      </c>
      <c r="J327" s="11" t="s">
        <v>1194</v>
      </c>
      <c r="K327" s="11" t="s">
        <v>1343</v>
      </c>
      <c r="L327" s="11" t="s">
        <v>1118</v>
      </c>
      <c r="M327" s="11">
        <v>2020</v>
      </c>
    </row>
    <row r="328" spans="2:13" x14ac:dyDescent="0.35">
      <c r="B328" s="11">
        <v>24</v>
      </c>
      <c r="C328" s="11" t="s">
        <v>1160</v>
      </c>
      <c r="D328" s="11">
        <v>28</v>
      </c>
      <c r="E328" s="11">
        <v>4</v>
      </c>
      <c r="F328" s="11">
        <v>2</v>
      </c>
      <c r="G328" s="11" t="s">
        <v>1127</v>
      </c>
      <c r="H328" s="11" t="s">
        <v>1115</v>
      </c>
      <c r="I328" s="11">
        <v>34</v>
      </c>
      <c r="J328" s="11" t="s">
        <v>1194</v>
      </c>
      <c r="K328" s="11" t="s">
        <v>1344</v>
      </c>
      <c r="L328" s="11" t="s">
        <v>1118</v>
      </c>
      <c r="M328" s="11">
        <v>2020</v>
      </c>
    </row>
    <row r="329" spans="2:13" x14ac:dyDescent="0.35">
      <c r="B329" s="11">
        <v>22</v>
      </c>
      <c r="C329" s="11" t="s">
        <v>1160</v>
      </c>
      <c r="D329" s="11">
        <v>25</v>
      </c>
      <c r="E329" s="11">
        <v>4</v>
      </c>
      <c r="F329" s="11">
        <v>2</v>
      </c>
      <c r="G329" s="11" t="s">
        <v>1127</v>
      </c>
      <c r="H329" s="11" t="s">
        <v>1115</v>
      </c>
      <c r="I329" s="11">
        <v>30</v>
      </c>
      <c r="J329" s="11" t="s">
        <v>1194</v>
      </c>
      <c r="K329" s="11" t="s">
        <v>1345</v>
      </c>
      <c r="L329" s="11" t="s">
        <v>1118</v>
      </c>
      <c r="M329" s="11">
        <v>2020</v>
      </c>
    </row>
    <row r="330" spans="2:13" x14ac:dyDescent="0.35">
      <c r="B330" s="11">
        <v>25</v>
      </c>
      <c r="C330" s="11" t="s">
        <v>1113</v>
      </c>
      <c r="D330" s="11">
        <v>28</v>
      </c>
      <c r="E330" s="11">
        <v>4</v>
      </c>
      <c r="F330" s="11">
        <v>2</v>
      </c>
      <c r="G330" s="11" t="s">
        <v>1124</v>
      </c>
      <c r="H330" s="11" t="s">
        <v>1115</v>
      </c>
      <c r="I330" s="11">
        <v>34</v>
      </c>
      <c r="J330" s="11" t="s">
        <v>1194</v>
      </c>
      <c r="K330" s="11" t="s">
        <v>1346</v>
      </c>
      <c r="L330" s="11" t="s">
        <v>1118</v>
      </c>
      <c r="M330" s="11">
        <v>2020</v>
      </c>
    </row>
    <row r="331" spans="2:13" x14ac:dyDescent="0.35">
      <c r="B331" s="11">
        <v>23</v>
      </c>
      <c r="C331" s="11" t="s">
        <v>1113</v>
      </c>
      <c r="D331" s="11">
        <v>26</v>
      </c>
      <c r="E331" s="11">
        <v>4</v>
      </c>
      <c r="F331" s="11">
        <v>2</v>
      </c>
      <c r="G331" s="11" t="s">
        <v>1124</v>
      </c>
      <c r="H331" s="11" t="s">
        <v>1115</v>
      </c>
      <c r="I331" s="11">
        <v>31</v>
      </c>
      <c r="J331" s="11" t="s">
        <v>1194</v>
      </c>
      <c r="K331" s="11" t="s">
        <v>1347</v>
      </c>
      <c r="L331" s="11" t="s">
        <v>1118</v>
      </c>
      <c r="M331" s="11">
        <v>2020</v>
      </c>
    </row>
    <row r="332" spans="2:13" x14ac:dyDescent="0.35">
      <c r="B332" s="11">
        <v>23</v>
      </c>
      <c r="C332" s="11" t="s">
        <v>1113</v>
      </c>
      <c r="D332" s="11">
        <v>27</v>
      </c>
      <c r="E332" s="11">
        <v>4</v>
      </c>
      <c r="F332" s="11">
        <v>2</v>
      </c>
      <c r="G332" s="11" t="s">
        <v>1127</v>
      </c>
      <c r="H332" s="11" t="s">
        <v>1115</v>
      </c>
      <c r="I332" s="11">
        <v>33</v>
      </c>
      <c r="J332" s="11" t="s">
        <v>1194</v>
      </c>
      <c r="K332" s="11" t="s">
        <v>1348</v>
      </c>
      <c r="L332" s="11" t="s">
        <v>1118</v>
      </c>
      <c r="M332" s="11">
        <v>2020</v>
      </c>
    </row>
    <row r="333" spans="2:13" x14ac:dyDescent="0.35">
      <c r="B333" s="11">
        <v>22</v>
      </c>
      <c r="C333" s="11" t="s">
        <v>1113</v>
      </c>
      <c r="D333" s="11">
        <v>25</v>
      </c>
      <c r="E333" s="11">
        <v>4</v>
      </c>
      <c r="F333" s="11">
        <v>2</v>
      </c>
      <c r="G333" s="11" t="s">
        <v>1127</v>
      </c>
      <c r="H333" s="11" t="s">
        <v>1115</v>
      </c>
      <c r="I333" s="11">
        <v>31</v>
      </c>
      <c r="J333" s="11" t="s">
        <v>1194</v>
      </c>
      <c r="K333" s="11" t="s">
        <v>1349</v>
      </c>
      <c r="L333" s="11" t="s">
        <v>1118</v>
      </c>
      <c r="M333" s="11">
        <v>2020</v>
      </c>
    </row>
    <row r="334" spans="2:13" x14ac:dyDescent="0.35">
      <c r="B334" s="11">
        <v>21</v>
      </c>
      <c r="C334" s="11" t="s">
        <v>1350</v>
      </c>
      <c r="D334" s="11">
        <v>24</v>
      </c>
      <c r="E334" s="11">
        <v>4</v>
      </c>
      <c r="F334" s="11">
        <v>2</v>
      </c>
      <c r="G334" s="11" t="s">
        <v>1127</v>
      </c>
      <c r="H334" s="11" t="s">
        <v>1115</v>
      </c>
      <c r="I334" s="11">
        <v>28</v>
      </c>
      <c r="J334" s="11" t="s">
        <v>1194</v>
      </c>
      <c r="K334" s="11" t="s">
        <v>1351</v>
      </c>
      <c r="L334" s="11" t="s">
        <v>1118</v>
      </c>
      <c r="M334" s="11">
        <v>2020</v>
      </c>
    </row>
    <row r="335" spans="2:13" x14ac:dyDescent="0.35">
      <c r="B335" s="11">
        <v>21</v>
      </c>
      <c r="C335" s="11" t="s">
        <v>1119</v>
      </c>
      <c r="D335" s="11">
        <v>24</v>
      </c>
      <c r="E335" s="11">
        <v>4</v>
      </c>
      <c r="F335" s="11">
        <v>2</v>
      </c>
      <c r="G335" s="11" t="s">
        <v>1127</v>
      </c>
      <c r="H335" s="11" t="s">
        <v>1115</v>
      </c>
      <c r="I335" s="11">
        <v>28</v>
      </c>
      <c r="J335" s="11" t="s">
        <v>1194</v>
      </c>
      <c r="K335" s="11" t="s">
        <v>1352</v>
      </c>
      <c r="L335" s="11" t="s">
        <v>1118</v>
      </c>
      <c r="M335" s="11">
        <v>2020</v>
      </c>
    </row>
    <row r="336" spans="2:13" x14ac:dyDescent="0.35">
      <c r="B336" s="11">
        <v>21</v>
      </c>
      <c r="C336" s="11" t="s">
        <v>1119</v>
      </c>
      <c r="D336" s="11">
        <v>23</v>
      </c>
      <c r="E336" s="11">
        <v>4</v>
      </c>
      <c r="F336" s="11">
        <v>2</v>
      </c>
      <c r="G336" s="11" t="s">
        <v>1127</v>
      </c>
      <c r="H336" s="11" t="s">
        <v>1115</v>
      </c>
      <c r="I336" s="11">
        <v>27</v>
      </c>
      <c r="J336" s="11" t="s">
        <v>1194</v>
      </c>
      <c r="K336" s="11" t="s">
        <v>1353</v>
      </c>
      <c r="L336" s="11" t="s">
        <v>1118</v>
      </c>
      <c r="M336" s="11">
        <v>2020</v>
      </c>
    </row>
    <row r="337" spans="2:13" x14ac:dyDescent="0.35">
      <c r="B337" s="11">
        <v>22</v>
      </c>
      <c r="C337" s="11" t="s">
        <v>1119</v>
      </c>
      <c r="D337" s="11">
        <v>24</v>
      </c>
      <c r="E337" s="11">
        <v>4</v>
      </c>
      <c r="F337" s="11">
        <v>2</v>
      </c>
      <c r="G337" s="11" t="s">
        <v>1127</v>
      </c>
      <c r="H337" s="11" t="s">
        <v>1115</v>
      </c>
      <c r="I337" s="11">
        <v>27</v>
      </c>
      <c r="J337" s="11" t="s">
        <v>1194</v>
      </c>
      <c r="K337" s="11" t="s">
        <v>1354</v>
      </c>
      <c r="L337" s="11" t="s">
        <v>1118</v>
      </c>
      <c r="M337" s="11">
        <v>2020</v>
      </c>
    </row>
    <row r="338" spans="2:13" x14ac:dyDescent="0.35">
      <c r="B338" s="11">
        <v>22</v>
      </c>
      <c r="C338" s="11" t="s">
        <v>1119</v>
      </c>
      <c r="D338" s="11">
        <v>24</v>
      </c>
      <c r="E338" s="11">
        <v>4</v>
      </c>
      <c r="F338" s="11">
        <v>2</v>
      </c>
      <c r="G338" s="11" t="s">
        <v>1127</v>
      </c>
      <c r="H338" s="11" t="s">
        <v>1115</v>
      </c>
      <c r="I338" s="11">
        <v>27</v>
      </c>
      <c r="J338" s="11" t="s">
        <v>1194</v>
      </c>
      <c r="K338" s="11" t="s">
        <v>1355</v>
      </c>
      <c r="L338" s="11" t="s">
        <v>1118</v>
      </c>
      <c r="M338" s="11">
        <v>2020</v>
      </c>
    </row>
    <row r="339" spans="2:13" x14ac:dyDescent="0.35">
      <c r="B339" s="11">
        <v>21</v>
      </c>
      <c r="C339" s="11" t="s">
        <v>1119</v>
      </c>
      <c r="D339" s="11">
        <v>23</v>
      </c>
      <c r="E339" s="11">
        <v>4</v>
      </c>
      <c r="F339" s="11">
        <v>2</v>
      </c>
      <c r="G339" s="11" t="s">
        <v>1127</v>
      </c>
      <c r="H339" s="11" t="s">
        <v>1115</v>
      </c>
      <c r="I339" s="11">
        <v>27</v>
      </c>
      <c r="J339" s="11" t="s">
        <v>1356</v>
      </c>
      <c r="K339" s="11" t="s">
        <v>1357</v>
      </c>
      <c r="L339" s="11" t="s">
        <v>1118</v>
      </c>
      <c r="M339" s="11">
        <v>2020</v>
      </c>
    </row>
    <row r="340" spans="2:13" x14ac:dyDescent="0.35">
      <c r="B340" s="11">
        <v>20</v>
      </c>
      <c r="C340" s="11" t="s">
        <v>1119</v>
      </c>
      <c r="D340" s="11">
        <v>22</v>
      </c>
      <c r="E340" s="11">
        <v>4</v>
      </c>
      <c r="F340" s="11">
        <v>2</v>
      </c>
      <c r="G340" s="11" t="s">
        <v>1127</v>
      </c>
      <c r="H340" s="11" t="s">
        <v>1115</v>
      </c>
      <c r="I340" s="11">
        <v>26</v>
      </c>
      <c r="J340" s="11" t="s">
        <v>1356</v>
      </c>
      <c r="K340" s="11" t="s">
        <v>1358</v>
      </c>
      <c r="L340" s="11" t="s">
        <v>1118</v>
      </c>
      <c r="M340" s="11">
        <v>2020</v>
      </c>
    </row>
    <row r="341" spans="2:13" x14ac:dyDescent="0.35">
      <c r="B341" s="11">
        <v>20</v>
      </c>
      <c r="C341" s="11" t="s">
        <v>1141</v>
      </c>
      <c r="D341" s="11">
        <v>23</v>
      </c>
      <c r="E341" s="11">
        <v>6</v>
      </c>
      <c r="F341" s="11">
        <v>3</v>
      </c>
      <c r="G341" s="11" t="s">
        <v>1124</v>
      </c>
      <c r="H341" s="11" t="s">
        <v>1115</v>
      </c>
      <c r="I341" s="11">
        <v>28</v>
      </c>
      <c r="J341" s="11" t="s">
        <v>1194</v>
      </c>
      <c r="K341" s="11" t="s">
        <v>1198</v>
      </c>
      <c r="L341" s="11" t="s">
        <v>1118</v>
      </c>
      <c r="M341" s="11">
        <v>2020</v>
      </c>
    </row>
    <row r="342" spans="2:13" x14ac:dyDescent="0.35">
      <c r="B342" s="11">
        <v>20</v>
      </c>
      <c r="C342" s="11" t="s">
        <v>1141</v>
      </c>
      <c r="D342" s="11">
        <v>23</v>
      </c>
      <c r="E342" s="11">
        <v>6</v>
      </c>
      <c r="F342" s="11">
        <v>3</v>
      </c>
      <c r="G342" s="11" t="s">
        <v>1124</v>
      </c>
      <c r="H342" s="11" t="s">
        <v>1115</v>
      </c>
      <c r="I342" s="11">
        <v>28</v>
      </c>
      <c r="J342" s="11" t="s">
        <v>1194</v>
      </c>
      <c r="K342" s="11" t="s">
        <v>1197</v>
      </c>
      <c r="L342" s="11" t="s">
        <v>1118</v>
      </c>
      <c r="M342" s="11">
        <v>2020</v>
      </c>
    </row>
    <row r="343" spans="2:13" x14ac:dyDescent="0.35">
      <c r="B343" s="11">
        <v>19</v>
      </c>
      <c r="C343" s="11" t="s">
        <v>1141</v>
      </c>
      <c r="D343" s="11">
        <v>22</v>
      </c>
      <c r="E343" s="11">
        <v>6</v>
      </c>
      <c r="F343" s="11">
        <v>3</v>
      </c>
      <c r="G343" s="11" t="s">
        <v>1124</v>
      </c>
      <c r="H343" s="11" t="s">
        <v>1115</v>
      </c>
      <c r="I343" s="11">
        <v>27</v>
      </c>
      <c r="J343" s="11" t="s">
        <v>1194</v>
      </c>
      <c r="K343" s="11" t="s">
        <v>1205</v>
      </c>
      <c r="L343" s="11" t="s">
        <v>1118</v>
      </c>
      <c r="M343" s="11">
        <v>2020</v>
      </c>
    </row>
    <row r="344" spans="2:13" x14ac:dyDescent="0.35">
      <c r="B344" s="11">
        <v>19</v>
      </c>
      <c r="C344" s="11" t="s">
        <v>1141</v>
      </c>
      <c r="D344" s="11">
        <v>22</v>
      </c>
      <c r="E344" s="11">
        <v>6</v>
      </c>
      <c r="F344" s="11">
        <v>3</v>
      </c>
      <c r="G344" s="11" t="s">
        <v>1124</v>
      </c>
      <c r="H344" s="11" t="s">
        <v>1115</v>
      </c>
      <c r="I344" s="11">
        <v>27</v>
      </c>
      <c r="J344" s="11" t="s">
        <v>1194</v>
      </c>
      <c r="K344" s="11" t="s">
        <v>1206</v>
      </c>
      <c r="L344" s="11" t="s">
        <v>1118</v>
      </c>
      <c r="M344" s="11">
        <v>2020</v>
      </c>
    </row>
    <row r="345" spans="2:13" x14ac:dyDescent="0.35">
      <c r="B345" s="11">
        <v>18</v>
      </c>
      <c r="C345" s="11" t="s">
        <v>1141</v>
      </c>
      <c r="D345" s="11">
        <v>21</v>
      </c>
      <c r="E345" s="11">
        <v>6</v>
      </c>
      <c r="F345" s="11">
        <v>3</v>
      </c>
      <c r="G345" s="11" t="s">
        <v>1127</v>
      </c>
      <c r="H345" s="11" t="s">
        <v>1115</v>
      </c>
      <c r="I345" s="11">
        <v>26</v>
      </c>
      <c r="J345" s="11" t="s">
        <v>1194</v>
      </c>
      <c r="K345" s="11" t="s">
        <v>1215</v>
      </c>
      <c r="L345" s="11" t="s">
        <v>1118</v>
      </c>
      <c r="M345" s="11">
        <v>2020</v>
      </c>
    </row>
    <row r="346" spans="2:13" x14ac:dyDescent="0.35">
      <c r="B346" s="11">
        <v>18</v>
      </c>
      <c r="C346" s="11" t="s">
        <v>1141</v>
      </c>
      <c r="D346" s="11">
        <v>21</v>
      </c>
      <c r="E346" s="11">
        <v>6</v>
      </c>
      <c r="F346" s="11">
        <v>3</v>
      </c>
      <c r="G346" s="11" t="s">
        <v>1127</v>
      </c>
      <c r="H346" s="11" t="s">
        <v>1115</v>
      </c>
      <c r="I346" s="11">
        <v>26</v>
      </c>
      <c r="J346" s="11" t="s">
        <v>1194</v>
      </c>
      <c r="K346" s="11" t="s">
        <v>1216</v>
      </c>
      <c r="L346" s="11" t="s">
        <v>1118</v>
      </c>
      <c r="M346" s="11">
        <v>2020</v>
      </c>
    </row>
    <row r="347" spans="2:13" x14ac:dyDescent="0.35">
      <c r="B347" s="11">
        <v>20</v>
      </c>
      <c r="C347" s="11" t="s">
        <v>1113</v>
      </c>
      <c r="D347" s="11">
        <v>23</v>
      </c>
      <c r="E347" s="11">
        <v>6</v>
      </c>
      <c r="F347" s="11">
        <v>3</v>
      </c>
      <c r="G347" s="11" t="s">
        <v>1127</v>
      </c>
      <c r="H347" s="11" t="s">
        <v>1115</v>
      </c>
      <c r="I347" s="11">
        <v>28</v>
      </c>
      <c r="J347" s="11" t="s">
        <v>1194</v>
      </c>
      <c r="K347" s="11" t="s">
        <v>1348</v>
      </c>
      <c r="L347" s="11" t="s">
        <v>1118</v>
      </c>
      <c r="M347" s="11">
        <v>2020</v>
      </c>
    </row>
    <row r="348" spans="2:13" x14ac:dyDescent="0.35">
      <c r="B348" s="11">
        <v>18</v>
      </c>
      <c r="C348" s="11" t="s">
        <v>1350</v>
      </c>
      <c r="D348" s="11">
        <v>21</v>
      </c>
      <c r="E348" s="11">
        <v>6</v>
      </c>
      <c r="F348" s="11">
        <v>3</v>
      </c>
      <c r="G348" s="11" t="s">
        <v>1127</v>
      </c>
      <c r="H348" s="11" t="s">
        <v>1115</v>
      </c>
      <c r="I348" s="11">
        <v>25</v>
      </c>
      <c r="J348" s="11" t="s">
        <v>1194</v>
      </c>
      <c r="K348" s="11" t="s">
        <v>1351</v>
      </c>
      <c r="L348" s="11" t="s">
        <v>1118</v>
      </c>
      <c r="M348" s="11">
        <v>2020</v>
      </c>
    </row>
    <row r="349" spans="2:13" x14ac:dyDescent="0.35">
      <c r="B349" s="11">
        <v>18</v>
      </c>
      <c r="C349" s="11" t="s">
        <v>1119</v>
      </c>
      <c r="D349" s="11">
        <v>20</v>
      </c>
      <c r="E349" s="11">
        <v>6</v>
      </c>
      <c r="F349" s="11">
        <v>3</v>
      </c>
      <c r="G349" s="11" t="s">
        <v>1127</v>
      </c>
      <c r="H349" s="11" t="s">
        <v>1115</v>
      </c>
      <c r="I349" s="11">
        <v>23</v>
      </c>
      <c r="J349" s="11" t="s">
        <v>1194</v>
      </c>
      <c r="K349" s="11" t="s">
        <v>1354</v>
      </c>
      <c r="L349" s="11" t="s">
        <v>1118</v>
      </c>
      <c r="M349" s="11">
        <v>2020</v>
      </c>
    </row>
    <row r="350" spans="2:13" x14ac:dyDescent="0.35">
      <c r="B350" s="11">
        <v>16</v>
      </c>
      <c r="C350" s="11" t="s">
        <v>1119</v>
      </c>
      <c r="D350" s="11">
        <v>18</v>
      </c>
      <c r="E350" s="11">
        <v>8</v>
      </c>
      <c r="F350" s="11">
        <v>5</v>
      </c>
      <c r="G350" s="11" t="s">
        <v>1127</v>
      </c>
      <c r="H350" s="11" t="s">
        <v>1115</v>
      </c>
      <c r="I350" s="11">
        <v>21</v>
      </c>
      <c r="J350" s="11" t="s">
        <v>1194</v>
      </c>
      <c r="K350" s="11" t="s">
        <v>1354</v>
      </c>
      <c r="L350" s="11" t="s">
        <v>1118</v>
      </c>
      <c r="M350" s="11">
        <v>2020</v>
      </c>
    </row>
    <row r="351" spans="2:13" x14ac:dyDescent="0.35">
      <c r="B351" s="11">
        <v>20</v>
      </c>
      <c r="C351" s="11" t="s">
        <v>1119</v>
      </c>
      <c r="D351" s="11">
        <v>23</v>
      </c>
      <c r="E351" s="11">
        <v>4</v>
      </c>
      <c r="F351" s="11">
        <v>2</v>
      </c>
      <c r="G351" s="11" t="s">
        <v>1127</v>
      </c>
      <c r="H351" s="11" t="s">
        <v>1115</v>
      </c>
      <c r="I351" s="11">
        <v>27</v>
      </c>
      <c r="J351" s="11" t="s">
        <v>1356</v>
      </c>
      <c r="K351" s="11" t="s">
        <v>1359</v>
      </c>
      <c r="L351" s="11" t="s">
        <v>1118</v>
      </c>
      <c r="M351" s="11">
        <v>2020</v>
      </c>
    </row>
    <row r="352" spans="2:13" x14ac:dyDescent="0.35">
      <c r="B352" s="11">
        <v>19</v>
      </c>
      <c r="C352" s="11" t="s">
        <v>1156</v>
      </c>
      <c r="D352" s="11">
        <v>21</v>
      </c>
      <c r="E352" s="11">
        <v>6</v>
      </c>
      <c r="F352" s="11">
        <v>3.8</v>
      </c>
      <c r="G352" s="11" t="s">
        <v>1127</v>
      </c>
      <c r="H352" s="11" t="s">
        <v>1115</v>
      </c>
      <c r="I352" s="11">
        <v>24</v>
      </c>
      <c r="J352" s="11" t="s">
        <v>1209</v>
      </c>
      <c r="K352" s="11" t="s">
        <v>1360</v>
      </c>
      <c r="L352" s="11" t="s">
        <v>1118</v>
      </c>
      <c r="M352" s="11">
        <v>2020</v>
      </c>
    </row>
    <row r="353" spans="2:13" x14ac:dyDescent="0.35">
      <c r="B353" s="11">
        <v>24</v>
      </c>
      <c r="C353" s="11" t="s">
        <v>1123</v>
      </c>
      <c r="D353" s="11">
        <v>27</v>
      </c>
      <c r="E353" s="11">
        <v>4</v>
      </c>
      <c r="F353" s="11">
        <v>2</v>
      </c>
      <c r="G353" s="11" t="s">
        <v>1124</v>
      </c>
      <c r="H353" s="11" t="s">
        <v>1115</v>
      </c>
      <c r="I353" s="11">
        <v>32</v>
      </c>
      <c r="J353" s="11" t="s">
        <v>1232</v>
      </c>
      <c r="K353" s="11" t="s">
        <v>1361</v>
      </c>
      <c r="L353" s="11" t="s">
        <v>1118</v>
      </c>
      <c r="M353" s="11">
        <v>2020</v>
      </c>
    </row>
    <row r="354" spans="2:13" x14ac:dyDescent="0.35">
      <c r="B354" s="11">
        <v>30</v>
      </c>
      <c r="C354" s="11" t="s">
        <v>1113</v>
      </c>
      <c r="D354" s="11">
        <v>34</v>
      </c>
      <c r="E354" s="11">
        <v>4</v>
      </c>
      <c r="F354" s="11">
        <v>2</v>
      </c>
      <c r="G354" s="11" t="s">
        <v>1114</v>
      </c>
      <c r="H354" s="11" t="s">
        <v>1115</v>
      </c>
      <c r="I354" s="11">
        <v>40</v>
      </c>
      <c r="J354" s="11" t="s">
        <v>1209</v>
      </c>
      <c r="K354" s="11" t="s">
        <v>1240</v>
      </c>
      <c r="L354" s="11" t="s">
        <v>1118</v>
      </c>
      <c r="M354" s="11">
        <v>2020</v>
      </c>
    </row>
    <row r="355" spans="2:13" x14ac:dyDescent="0.35">
      <c r="B355" s="11">
        <v>29</v>
      </c>
      <c r="C355" s="11" t="s">
        <v>1119</v>
      </c>
      <c r="D355" s="11">
        <v>31</v>
      </c>
      <c r="E355" s="11">
        <v>4</v>
      </c>
      <c r="F355" s="11">
        <v>2</v>
      </c>
      <c r="G355" s="11" t="s">
        <v>1114</v>
      </c>
      <c r="H355" s="11" t="s">
        <v>1115</v>
      </c>
      <c r="I355" s="11">
        <v>34</v>
      </c>
      <c r="J355" s="11" t="s">
        <v>1137</v>
      </c>
      <c r="K355" s="11" t="s">
        <v>1362</v>
      </c>
      <c r="L355" s="11" t="s">
        <v>1118</v>
      </c>
      <c r="M355" s="11">
        <v>2021</v>
      </c>
    </row>
    <row r="356" spans="2:13" x14ac:dyDescent="0.35">
      <c r="B356" s="11">
        <v>25</v>
      </c>
      <c r="C356" s="11" t="s">
        <v>1119</v>
      </c>
      <c r="D356" s="11">
        <v>27</v>
      </c>
      <c r="E356" s="11">
        <v>4</v>
      </c>
      <c r="F356" s="11">
        <v>1.6</v>
      </c>
      <c r="G356" s="11" t="s">
        <v>1127</v>
      </c>
      <c r="H356" s="11" t="s">
        <v>1115</v>
      </c>
      <c r="I356" s="11">
        <v>30</v>
      </c>
      <c r="J356" s="11" t="s">
        <v>1137</v>
      </c>
      <c r="K356" s="11" t="s">
        <v>1363</v>
      </c>
      <c r="L356" s="11" t="s">
        <v>1118</v>
      </c>
      <c r="M356" s="11">
        <v>2021</v>
      </c>
    </row>
    <row r="357" spans="2:13" x14ac:dyDescent="0.35">
      <c r="B357" s="11">
        <v>27</v>
      </c>
      <c r="C357" s="11" t="s">
        <v>1119</v>
      </c>
      <c r="D357" s="11">
        <v>29</v>
      </c>
      <c r="E357" s="11">
        <v>4</v>
      </c>
      <c r="F357" s="11">
        <v>2</v>
      </c>
      <c r="G357" s="11" t="s">
        <v>1127</v>
      </c>
      <c r="H357" s="11" t="s">
        <v>1115</v>
      </c>
      <c r="I357" s="11">
        <v>31</v>
      </c>
      <c r="J357" s="11" t="s">
        <v>1137</v>
      </c>
      <c r="K357" s="11" t="s">
        <v>1363</v>
      </c>
      <c r="L357" s="11" t="s">
        <v>1118</v>
      </c>
      <c r="M357" s="11">
        <v>2021</v>
      </c>
    </row>
    <row r="358" spans="2:13" x14ac:dyDescent="0.35">
      <c r="B358" s="11">
        <v>19</v>
      </c>
      <c r="C358" s="11" t="s">
        <v>1141</v>
      </c>
      <c r="D358" s="11">
        <v>22</v>
      </c>
      <c r="E358" s="11">
        <v>6</v>
      </c>
      <c r="F358" s="11">
        <v>3</v>
      </c>
      <c r="G358" s="11" t="s">
        <v>1124</v>
      </c>
      <c r="H358" s="11" t="s">
        <v>1115</v>
      </c>
      <c r="I358" s="11">
        <v>27</v>
      </c>
      <c r="J358" s="11" t="s">
        <v>1194</v>
      </c>
      <c r="K358" s="11" t="s">
        <v>1205</v>
      </c>
      <c r="L358" s="11" t="s">
        <v>1118</v>
      </c>
      <c r="M358" s="11">
        <v>2021</v>
      </c>
    </row>
    <row r="359" spans="2:13" x14ac:dyDescent="0.35">
      <c r="B359" s="11">
        <v>19</v>
      </c>
      <c r="C359" s="11" t="s">
        <v>1141</v>
      </c>
      <c r="D359" s="11">
        <v>22</v>
      </c>
      <c r="E359" s="11">
        <v>6</v>
      </c>
      <c r="F359" s="11">
        <v>3</v>
      </c>
      <c r="G359" s="11" t="s">
        <v>1124</v>
      </c>
      <c r="H359" s="11" t="s">
        <v>1115</v>
      </c>
      <c r="I359" s="11">
        <v>27</v>
      </c>
      <c r="J359" s="11" t="s">
        <v>1194</v>
      </c>
      <c r="K359" s="11" t="s">
        <v>1206</v>
      </c>
      <c r="L359" s="11" t="s">
        <v>1118</v>
      </c>
      <c r="M359" s="11">
        <v>2021</v>
      </c>
    </row>
    <row r="360" spans="2:13" x14ac:dyDescent="0.35">
      <c r="B360" s="11">
        <v>18</v>
      </c>
      <c r="C360" s="11" t="s">
        <v>1141</v>
      </c>
      <c r="D360" s="11">
        <v>21</v>
      </c>
      <c r="E360" s="11">
        <v>6</v>
      </c>
      <c r="F360" s="11">
        <v>3</v>
      </c>
      <c r="G360" s="11" t="s">
        <v>1127</v>
      </c>
      <c r="H360" s="11" t="s">
        <v>1115</v>
      </c>
      <c r="I360" s="11">
        <v>26</v>
      </c>
      <c r="J360" s="11" t="s">
        <v>1194</v>
      </c>
      <c r="K360" s="11" t="s">
        <v>1215</v>
      </c>
      <c r="L360" s="11" t="s">
        <v>1118</v>
      </c>
      <c r="M360" s="11">
        <v>2021</v>
      </c>
    </row>
    <row r="361" spans="2:13" x14ac:dyDescent="0.35">
      <c r="B361" s="11">
        <v>18</v>
      </c>
      <c r="C361" s="11" t="s">
        <v>1141</v>
      </c>
      <c r="D361" s="11">
        <v>21</v>
      </c>
      <c r="E361" s="11">
        <v>6</v>
      </c>
      <c r="F361" s="11">
        <v>3</v>
      </c>
      <c r="G361" s="11" t="s">
        <v>1127</v>
      </c>
      <c r="H361" s="11" t="s">
        <v>1115</v>
      </c>
      <c r="I361" s="11">
        <v>26</v>
      </c>
      <c r="J361" s="11" t="s">
        <v>1194</v>
      </c>
      <c r="K361" s="11" t="s">
        <v>1216</v>
      </c>
      <c r="L361" s="11" t="s">
        <v>1118</v>
      </c>
      <c r="M361" s="11">
        <v>2021</v>
      </c>
    </row>
    <row r="362" spans="2:13" x14ac:dyDescent="0.35">
      <c r="B362" s="11">
        <v>16</v>
      </c>
      <c r="C362" s="11" t="s">
        <v>1141</v>
      </c>
      <c r="D362" s="11">
        <v>18</v>
      </c>
      <c r="E362" s="11">
        <v>8</v>
      </c>
      <c r="F362" s="11">
        <v>5</v>
      </c>
      <c r="G362" s="11" t="s">
        <v>1127</v>
      </c>
      <c r="H362" s="11" t="s">
        <v>1115</v>
      </c>
      <c r="I362" s="11">
        <v>24</v>
      </c>
      <c r="J362" s="11" t="s">
        <v>1194</v>
      </c>
      <c r="K362" s="11" t="s">
        <v>1220</v>
      </c>
      <c r="L362" s="11" t="s">
        <v>1118</v>
      </c>
      <c r="M362" s="11">
        <v>2021</v>
      </c>
    </row>
    <row r="363" spans="2:13" x14ac:dyDescent="0.35">
      <c r="B363" s="11">
        <v>16</v>
      </c>
      <c r="C363" s="11" t="s">
        <v>1141</v>
      </c>
      <c r="D363" s="11">
        <v>18</v>
      </c>
      <c r="E363" s="11">
        <v>8</v>
      </c>
      <c r="F363" s="11">
        <v>5</v>
      </c>
      <c r="G363" s="11" t="s">
        <v>1127</v>
      </c>
      <c r="H363" s="11" t="s">
        <v>1115</v>
      </c>
      <c r="I363" s="11">
        <v>24</v>
      </c>
      <c r="J363" s="11" t="s">
        <v>1194</v>
      </c>
      <c r="K363" s="11" t="s">
        <v>1221</v>
      </c>
      <c r="L363" s="11" t="s">
        <v>1118</v>
      </c>
      <c r="M363" s="11">
        <v>2021</v>
      </c>
    </row>
    <row r="364" spans="2:13" x14ac:dyDescent="0.35">
      <c r="B364" s="11">
        <v>17</v>
      </c>
      <c r="C364" s="11" t="s">
        <v>1119</v>
      </c>
      <c r="D364" s="11">
        <v>19</v>
      </c>
      <c r="E364" s="11">
        <v>6</v>
      </c>
      <c r="F364" s="11">
        <v>3.6</v>
      </c>
      <c r="G364" s="11" t="s">
        <v>1114</v>
      </c>
      <c r="H364" s="11" t="s">
        <v>1115</v>
      </c>
      <c r="I364" s="11">
        <v>23</v>
      </c>
      <c r="J364" s="11" t="s">
        <v>1307</v>
      </c>
      <c r="K364" s="11" t="s">
        <v>1364</v>
      </c>
      <c r="L364" s="11" t="s">
        <v>1118</v>
      </c>
      <c r="M364" s="11">
        <v>2021</v>
      </c>
    </row>
    <row r="365" spans="2:13" x14ac:dyDescent="0.35">
      <c r="B365" s="11">
        <v>16</v>
      </c>
      <c r="C365" s="11" t="s">
        <v>1156</v>
      </c>
      <c r="D365" s="11">
        <v>18</v>
      </c>
      <c r="E365" s="11">
        <v>6</v>
      </c>
      <c r="F365" s="11">
        <v>3.6</v>
      </c>
      <c r="G365" s="11" t="s">
        <v>1127</v>
      </c>
      <c r="H365" s="11" t="s">
        <v>1115</v>
      </c>
      <c r="I365" s="11">
        <v>22</v>
      </c>
      <c r="J365" s="11" t="s">
        <v>1307</v>
      </c>
      <c r="K365" s="11" t="s">
        <v>1365</v>
      </c>
      <c r="L365" s="11" t="s">
        <v>1118</v>
      </c>
      <c r="M365" s="11">
        <v>2021</v>
      </c>
    </row>
    <row r="366" spans="2:13" x14ac:dyDescent="0.35">
      <c r="B366" s="11">
        <v>20</v>
      </c>
      <c r="C366" s="11" t="s">
        <v>1160</v>
      </c>
      <c r="D366" s="11">
        <v>23</v>
      </c>
      <c r="E366" s="11">
        <v>4</v>
      </c>
      <c r="F366" s="11">
        <v>2</v>
      </c>
      <c r="G366" s="11" t="s">
        <v>1127</v>
      </c>
      <c r="H366" s="11" t="s">
        <v>1115</v>
      </c>
      <c r="I366" s="11">
        <v>27</v>
      </c>
      <c r="J366" s="11" t="s">
        <v>1267</v>
      </c>
      <c r="K366" s="11" t="s">
        <v>1312</v>
      </c>
      <c r="L366" s="11" t="s">
        <v>1118</v>
      </c>
      <c r="M366" s="11">
        <v>2021</v>
      </c>
    </row>
    <row r="367" spans="2:13" x14ac:dyDescent="0.35">
      <c r="B367" s="11">
        <v>22</v>
      </c>
      <c r="C367" s="11" t="s">
        <v>1160</v>
      </c>
      <c r="D367" s="11">
        <v>25</v>
      </c>
      <c r="E367" s="11">
        <v>4</v>
      </c>
      <c r="F367" s="11">
        <v>2</v>
      </c>
      <c r="G367" s="11" t="s">
        <v>1124</v>
      </c>
      <c r="H367" s="11" t="s">
        <v>1115</v>
      </c>
      <c r="I367" s="11">
        <v>30</v>
      </c>
      <c r="J367" s="11" t="s">
        <v>1267</v>
      </c>
      <c r="K367" s="11" t="s">
        <v>1313</v>
      </c>
      <c r="L367" s="11" t="s">
        <v>1118</v>
      </c>
      <c r="M367" s="11">
        <v>2021</v>
      </c>
    </row>
    <row r="368" spans="2:13" x14ac:dyDescent="0.35">
      <c r="B368" s="11">
        <v>18</v>
      </c>
      <c r="C368" s="11" t="s">
        <v>1160</v>
      </c>
      <c r="D368" s="11">
        <v>22</v>
      </c>
      <c r="E368" s="11">
        <v>4</v>
      </c>
      <c r="F368" s="11">
        <v>2</v>
      </c>
      <c r="G368" s="11" t="s">
        <v>1124</v>
      </c>
      <c r="H368" s="11" t="s">
        <v>1115</v>
      </c>
      <c r="I368" s="11">
        <v>28</v>
      </c>
      <c r="J368" s="11" t="s">
        <v>1267</v>
      </c>
      <c r="K368" s="11" t="s">
        <v>1313</v>
      </c>
      <c r="L368" s="11" t="s">
        <v>1117</v>
      </c>
      <c r="M368" s="11">
        <v>2021</v>
      </c>
    </row>
    <row r="369" spans="2:13" x14ac:dyDescent="0.35">
      <c r="B369" s="11">
        <v>28</v>
      </c>
      <c r="C369" s="11" t="s">
        <v>1172</v>
      </c>
      <c r="D369" s="11">
        <v>30</v>
      </c>
      <c r="E369" s="11">
        <v>4</v>
      </c>
      <c r="F369" s="11">
        <v>2</v>
      </c>
      <c r="G369" s="11" t="s">
        <v>1114</v>
      </c>
      <c r="H369" s="11" t="s">
        <v>1115</v>
      </c>
      <c r="I369" s="11">
        <v>33</v>
      </c>
      <c r="J369" s="11" t="s">
        <v>1137</v>
      </c>
      <c r="K369" s="11" t="s">
        <v>1335</v>
      </c>
      <c r="L369" s="11" t="s">
        <v>1118</v>
      </c>
      <c r="M369" s="11">
        <v>2021</v>
      </c>
    </row>
    <row r="370" spans="2:13" x14ac:dyDescent="0.35">
      <c r="B370" s="11">
        <v>29</v>
      </c>
      <c r="C370" s="11" t="s">
        <v>1172</v>
      </c>
      <c r="D370" s="11">
        <v>31</v>
      </c>
      <c r="E370" s="11">
        <v>4</v>
      </c>
      <c r="F370" s="11">
        <v>2</v>
      </c>
      <c r="G370" s="11" t="s">
        <v>1114</v>
      </c>
      <c r="H370" s="11" t="s">
        <v>1115</v>
      </c>
      <c r="I370" s="11">
        <v>35</v>
      </c>
      <c r="J370" s="11" t="s">
        <v>1137</v>
      </c>
      <c r="K370" s="11" t="s">
        <v>1336</v>
      </c>
      <c r="L370" s="11" t="s">
        <v>1118</v>
      </c>
      <c r="M370" s="11">
        <v>2021</v>
      </c>
    </row>
    <row r="371" spans="2:13" x14ac:dyDescent="0.35">
      <c r="B371" s="11">
        <v>25</v>
      </c>
      <c r="C371" s="11" t="s">
        <v>1172</v>
      </c>
      <c r="D371" s="11">
        <v>27</v>
      </c>
      <c r="E371" s="11">
        <v>4</v>
      </c>
      <c r="F371" s="11">
        <v>2</v>
      </c>
      <c r="G371" s="11" t="s">
        <v>1114</v>
      </c>
      <c r="H371" s="11" t="s">
        <v>1115</v>
      </c>
      <c r="I371" s="11">
        <v>31</v>
      </c>
      <c r="J371" s="11" t="s">
        <v>1137</v>
      </c>
      <c r="K371" s="11" t="s">
        <v>1335</v>
      </c>
      <c r="L371" s="11" t="s">
        <v>1117</v>
      </c>
      <c r="M371" s="11">
        <v>2021</v>
      </c>
    </row>
    <row r="372" spans="2:13" x14ac:dyDescent="0.35">
      <c r="B372" s="11">
        <v>27</v>
      </c>
      <c r="C372" s="11" t="s">
        <v>1172</v>
      </c>
      <c r="D372" s="11">
        <v>29</v>
      </c>
      <c r="E372" s="11">
        <v>4</v>
      </c>
      <c r="F372" s="11">
        <v>1.6</v>
      </c>
      <c r="G372" s="11" t="s">
        <v>1114</v>
      </c>
      <c r="H372" s="11" t="s">
        <v>1115</v>
      </c>
      <c r="I372" s="11">
        <v>32</v>
      </c>
      <c r="J372" s="11" t="s">
        <v>1137</v>
      </c>
      <c r="K372" s="11" t="s">
        <v>1335</v>
      </c>
      <c r="L372" s="11" t="s">
        <v>1118</v>
      </c>
      <c r="M372" s="11">
        <v>2021</v>
      </c>
    </row>
    <row r="373" spans="2:13" x14ac:dyDescent="0.35">
      <c r="B373" s="11">
        <v>21</v>
      </c>
      <c r="C373" s="11" t="s">
        <v>1119</v>
      </c>
      <c r="D373" s="11">
        <v>22</v>
      </c>
      <c r="E373" s="11">
        <v>4</v>
      </c>
      <c r="F373" s="11">
        <v>2</v>
      </c>
      <c r="G373" s="11" t="s">
        <v>1114</v>
      </c>
      <c r="H373" s="11" t="s">
        <v>1115</v>
      </c>
      <c r="I373" s="11">
        <v>24</v>
      </c>
      <c r="J373" s="11" t="s">
        <v>1307</v>
      </c>
      <c r="K373" s="11" t="s">
        <v>1364</v>
      </c>
      <c r="L373" s="11" t="s">
        <v>1118</v>
      </c>
      <c r="M373" s="11">
        <v>2021</v>
      </c>
    </row>
    <row r="374" spans="2:13" x14ac:dyDescent="0.35">
      <c r="B374" s="11">
        <v>26</v>
      </c>
      <c r="C374" s="11" t="s">
        <v>1119</v>
      </c>
      <c r="D374" s="11">
        <v>28</v>
      </c>
      <c r="E374" s="11">
        <v>3</v>
      </c>
      <c r="F374" s="11">
        <v>1.3</v>
      </c>
      <c r="G374" s="11" t="s">
        <v>1127</v>
      </c>
      <c r="H374" s="11" t="s">
        <v>1115</v>
      </c>
      <c r="I374" s="11">
        <v>30</v>
      </c>
      <c r="J374" s="11" t="s">
        <v>1175</v>
      </c>
      <c r="K374" s="11" t="s">
        <v>1366</v>
      </c>
      <c r="L374" s="11" t="s">
        <v>1118</v>
      </c>
      <c r="M374" s="11">
        <v>2021</v>
      </c>
    </row>
    <row r="375" spans="2:13" x14ac:dyDescent="0.35">
      <c r="B375" s="11">
        <v>17</v>
      </c>
      <c r="C375" s="11" t="s">
        <v>1160</v>
      </c>
      <c r="D375" s="11">
        <v>20</v>
      </c>
      <c r="E375" s="11">
        <v>6</v>
      </c>
      <c r="F375" s="11">
        <v>3.3</v>
      </c>
      <c r="G375" s="11" t="s">
        <v>1127</v>
      </c>
      <c r="H375" s="11" t="s">
        <v>1115</v>
      </c>
      <c r="I375" s="11">
        <v>25</v>
      </c>
      <c r="J375" s="11" t="s">
        <v>1267</v>
      </c>
      <c r="K375" s="11" t="s">
        <v>1312</v>
      </c>
      <c r="L375" s="11" t="s">
        <v>1118</v>
      </c>
      <c r="M375" s="11">
        <v>2021</v>
      </c>
    </row>
    <row r="376" spans="2:13" x14ac:dyDescent="0.35">
      <c r="B376" s="11">
        <v>17</v>
      </c>
      <c r="C376" s="11" t="s">
        <v>1160</v>
      </c>
      <c r="D376" s="11">
        <v>20</v>
      </c>
      <c r="E376" s="11">
        <v>6</v>
      </c>
      <c r="F376" s="11">
        <v>3.3</v>
      </c>
      <c r="G376" s="11" t="s">
        <v>1124</v>
      </c>
      <c r="H376" s="11" t="s">
        <v>1115</v>
      </c>
      <c r="I376" s="11">
        <v>26</v>
      </c>
      <c r="J376" s="11" t="s">
        <v>1267</v>
      </c>
      <c r="K376" s="11" t="s">
        <v>1313</v>
      </c>
      <c r="L376" s="11" t="s">
        <v>1118</v>
      </c>
      <c r="M376" s="11">
        <v>2021</v>
      </c>
    </row>
    <row r="377" spans="2:13" x14ac:dyDescent="0.35">
      <c r="B377" s="11">
        <v>28</v>
      </c>
      <c r="C377" s="11" t="s">
        <v>1119</v>
      </c>
      <c r="D377" s="11">
        <v>29</v>
      </c>
      <c r="E377" s="11">
        <v>3</v>
      </c>
      <c r="F377" s="11">
        <v>1.2</v>
      </c>
      <c r="G377" s="11" t="s">
        <v>1114</v>
      </c>
      <c r="H377" s="11" t="s">
        <v>1115</v>
      </c>
      <c r="I377" s="11">
        <v>31</v>
      </c>
      <c r="J377" s="11" t="s">
        <v>1314</v>
      </c>
      <c r="K377" s="11" t="s">
        <v>1367</v>
      </c>
      <c r="L377" s="11" t="s">
        <v>1118</v>
      </c>
      <c r="M377" s="11">
        <v>2021</v>
      </c>
    </row>
    <row r="378" spans="2:13" x14ac:dyDescent="0.35">
      <c r="B378" s="11">
        <v>29</v>
      </c>
      <c r="C378" s="11" t="s">
        <v>1119</v>
      </c>
      <c r="D378" s="11">
        <v>31</v>
      </c>
      <c r="E378" s="11">
        <v>3</v>
      </c>
      <c r="F378" s="11">
        <v>1.3</v>
      </c>
      <c r="G378" s="11" t="s">
        <v>1114</v>
      </c>
      <c r="H378" s="11" t="s">
        <v>1115</v>
      </c>
      <c r="I378" s="11">
        <v>33</v>
      </c>
      <c r="J378" s="11" t="s">
        <v>1175</v>
      </c>
      <c r="K378" s="11" t="s">
        <v>1368</v>
      </c>
      <c r="L378" s="11" t="s">
        <v>1118</v>
      </c>
      <c r="M378" s="11">
        <v>2021</v>
      </c>
    </row>
    <row r="379" spans="2:13" x14ac:dyDescent="0.35">
      <c r="B379" s="11">
        <v>28</v>
      </c>
      <c r="C379" s="11" t="s">
        <v>1119</v>
      </c>
      <c r="D379" s="11">
        <v>29</v>
      </c>
      <c r="E379" s="11">
        <v>3</v>
      </c>
      <c r="F379" s="11">
        <v>1.2</v>
      </c>
      <c r="G379" s="11" t="s">
        <v>1114</v>
      </c>
      <c r="H379" s="11" t="s">
        <v>1115</v>
      </c>
      <c r="I379" s="11">
        <v>31</v>
      </c>
      <c r="J379" s="11" t="s">
        <v>1175</v>
      </c>
      <c r="K379" s="11" t="s">
        <v>1368</v>
      </c>
      <c r="L379" s="11" t="s">
        <v>1118</v>
      </c>
      <c r="M379" s="11">
        <v>2021</v>
      </c>
    </row>
    <row r="380" spans="2:13" x14ac:dyDescent="0.35">
      <c r="B380" s="11">
        <v>28</v>
      </c>
      <c r="C380" s="11" t="s">
        <v>1144</v>
      </c>
      <c r="D380" s="11">
        <v>31</v>
      </c>
      <c r="E380" s="11">
        <v>3</v>
      </c>
      <c r="F380" s="11">
        <v>1.5</v>
      </c>
      <c r="G380" s="11" t="s">
        <v>1114</v>
      </c>
      <c r="H380" s="11" t="s">
        <v>1115</v>
      </c>
      <c r="I380" s="11">
        <v>37</v>
      </c>
      <c r="J380" s="11" t="s">
        <v>1260</v>
      </c>
      <c r="K380" s="11" t="s">
        <v>1328</v>
      </c>
      <c r="L380" s="11" t="s">
        <v>1118</v>
      </c>
      <c r="M380" s="11">
        <v>2021</v>
      </c>
    </row>
    <row r="381" spans="2:13" x14ac:dyDescent="0.35">
      <c r="B381" s="11">
        <v>26</v>
      </c>
      <c r="C381" s="11" t="s">
        <v>1144</v>
      </c>
      <c r="D381" s="11">
        <v>29</v>
      </c>
      <c r="E381" s="11">
        <v>4</v>
      </c>
      <c r="F381" s="11">
        <v>2</v>
      </c>
      <c r="G381" s="11" t="s">
        <v>1114</v>
      </c>
      <c r="H381" s="11" t="s">
        <v>1115</v>
      </c>
      <c r="I381" s="11">
        <v>34</v>
      </c>
      <c r="J381" s="11" t="s">
        <v>1260</v>
      </c>
      <c r="K381" s="11" t="s">
        <v>1329</v>
      </c>
      <c r="L381" s="11" t="s">
        <v>1118</v>
      </c>
      <c r="M381" s="11">
        <v>2021</v>
      </c>
    </row>
    <row r="382" spans="2:13" x14ac:dyDescent="0.35">
      <c r="B382" s="11">
        <v>23</v>
      </c>
      <c r="C382" s="11" t="s">
        <v>1144</v>
      </c>
      <c r="D382" s="11">
        <v>26</v>
      </c>
      <c r="E382" s="11">
        <v>4</v>
      </c>
      <c r="F382" s="11">
        <v>2</v>
      </c>
      <c r="G382" s="11" t="s">
        <v>1114</v>
      </c>
      <c r="H382" s="11" t="s">
        <v>1115</v>
      </c>
      <c r="I382" s="11">
        <v>32</v>
      </c>
      <c r="J382" s="11" t="s">
        <v>1260</v>
      </c>
      <c r="K382" s="11" t="s">
        <v>1329</v>
      </c>
      <c r="L382" s="11" t="s">
        <v>1117</v>
      </c>
      <c r="M382" s="11">
        <v>2021</v>
      </c>
    </row>
    <row r="383" spans="2:13" x14ac:dyDescent="0.35">
      <c r="B383" s="11">
        <v>25</v>
      </c>
      <c r="C383" s="11" t="s">
        <v>1144</v>
      </c>
      <c r="D383" s="11">
        <v>28</v>
      </c>
      <c r="E383" s="11">
        <v>4</v>
      </c>
      <c r="F383" s="11">
        <v>2</v>
      </c>
      <c r="G383" s="11" t="s">
        <v>1114</v>
      </c>
      <c r="H383" s="11" t="s">
        <v>1115</v>
      </c>
      <c r="I383" s="11">
        <v>33</v>
      </c>
      <c r="J383" s="11" t="s">
        <v>1260</v>
      </c>
      <c r="K383" s="11" t="s">
        <v>1261</v>
      </c>
      <c r="L383" s="11" t="s">
        <v>1118</v>
      </c>
      <c r="M383" s="11">
        <v>2021</v>
      </c>
    </row>
    <row r="384" spans="2:13" x14ac:dyDescent="0.35">
      <c r="B384" s="11">
        <v>28</v>
      </c>
      <c r="C384" s="11" t="s">
        <v>1123</v>
      </c>
      <c r="D384" s="11">
        <v>31</v>
      </c>
      <c r="E384" s="11">
        <v>3</v>
      </c>
      <c r="F384" s="11">
        <v>1.5</v>
      </c>
      <c r="G384" s="11" t="s">
        <v>1114</v>
      </c>
      <c r="H384" s="11" t="s">
        <v>1115</v>
      </c>
      <c r="I384" s="11">
        <v>37</v>
      </c>
      <c r="J384" s="11" t="s">
        <v>1260</v>
      </c>
      <c r="K384" s="11" t="s">
        <v>1369</v>
      </c>
      <c r="L384" s="11" t="s">
        <v>1118</v>
      </c>
      <c r="M384" s="11">
        <v>2021</v>
      </c>
    </row>
    <row r="385" spans="2:13" x14ac:dyDescent="0.35">
      <c r="B385" s="11">
        <v>28</v>
      </c>
      <c r="C385" s="11" t="s">
        <v>1123</v>
      </c>
      <c r="D385" s="11">
        <v>31</v>
      </c>
      <c r="E385" s="11">
        <v>3</v>
      </c>
      <c r="F385" s="11">
        <v>1.5</v>
      </c>
      <c r="G385" s="11" t="s">
        <v>1114</v>
      </c>
      <c r="H385" s="11" t="s">
        <v>1115</v>
      </c>
      <c r="I385" s="11">
        <v>37</v>
      </c>
      <c r="J385" s="11" t="s">
        <v>1260</v>
      </c>
      <c r="K385" s="11" t="s">
        <v>1370</v>
      </c>
      <c r="L385" s="11" t="s">
        <v>1118</v>
      </c>
      <c r="M385" s="11">
        <v>2021</v>
      </c>
    </row>
    <row r="386" spans="2:13" x14ac:dyDescent="0.35">
      <c r="B386" s="11">
        <v>23</v>
      </c>
      <c r="C386" s="11" t="s">
        <v>1123</v>
      </c>
      <c r="D386" s="11">
        <v>27</v>
      </c>
      <c r="E386" s="11">
        <v>4</v>
      </c>
      <c r="F386" s="11">
        <v>2</v>
      </c>
      <c r="G386" s="11" t="s">
        <v>1114</v>
      </c>
      <c r="H386" s="11" t="s">
        <v>1115</v>
      </c>
      <c r="I386" s="11">
        <v>33</v>
      </c>
      <c r="J386" s="11" t="s">
        <v>1260</v>
      </c>
      <c r="K386" s="11" t="s">
        <v>1371</v>
      </c>
      <c r="L386" s="11" t="s">
        <v>1117</v>
      </c>
      <c r="M386" s="11">
        <v>2021</v>
      </c>
    </row>
    <row r="387" spans="2:13" x14ac:dyDescent="0.35">
      <c r="B387" s="11">
        <v>23</v>
      </c>
      <c r="C387" s="11" t="s">
        <v>1123</v>
      </c>
      <c r="D387" s="11">
        <v>27</v>
      </c>
      <c r="E387" s="11">
        <v>4</v>
      </c>
      <c r="F387" s="11">
        <v>2</v>
      </c>
      <c r="G387" s="11" t="s">
        <v>1114</v>
      </c>
      <c r="H387" s="11" t="s">
        <v>1115</v>
      </c>
      <c r="I387" s="11">
        <v>33</v>
      </c>
      <c r="J387" s="11" t="s">
        <v>1260</v>
      </c>
      <c r="K387" s="11" t="s">
        <v>1372</v>
      </c>
      <c r="L387" s="11" t="s">
        <v>1117</v>
      </c>
      <c r="M387" s="11">
        <v>2021</v>
      </c>
    </row>
    <row r="388" spans="2:13" x14ac:dyDescent="0.35">
      <c r="B388" s="11">
        <v>26</v>
      </c>
      <c r="C388" s="11" t="s">
        <v>1123</v>
      </c>
      <c r="D388" s="11">
        <v>29</v>
      </c>
      <c r="E388" s="11">
        <v>4</v>
      </c>
      <c r="F388" s="11">
        <v>2</v>
      </c>
      <c r="G388" s="11" t="s">
        <v>1114</v>
      </c>
      <c r="H388" s="11" t="s">
        <v>1115</v>
      </c>
      <c r="I388" s="11">
        <v>34</v>
      </c>
      <c r="J388" s="11" t="s">
        <v>1260</v>
      </c>
      <c r="K388" s="11" t="s">
        <v>1373</v>
      </c>
      <c r="L388" s="11" t="s">
        <v>1118</v>
      </c>
      <c r="M388" s="11">
        <v>2021</v>
      </c>
    </row>
    <row r="389" spans="2:13" x14ac:dyDescent="0.35">
      <c r="B389" s="11">
        <v>23</v>
      </c>
      <c r="C389" s="11" t="s">
        <v>1123</v>
      </c>
      <c r="D389" s="11">
        <v>27</v>
      </c>
      <c r="E389" s="11">
        <v>4</v>
      </c>
      <c r="F389" s="11">
        <v>2</v>
      </c>
      <c r="G389" s="11" t="s">
        <v>1114</v>
      </c>
      <c r="H389" s="11" t="s">
        <v>1115</v>
      </c>
      <c r="I389" s="11">
        <v>33</v>
      </c>
      <c r="J389" s="11" t="s">
        <v>1260</v>
      </c>
      <c r="K389" s="11" t="s">
        <v>1373</v>
      </c>
      <c r="L389" s="11" t="s">
        <v>1117</v>
      </c>
      <c r="M389" s="11">
        <v>2021</v>
      </c>
    </row>
    <row r="390" spans="2:13" x14ac:dyDescent="0.35">
      <c r="B390" s="11">
        <v>24</v>
      </c>
      <c r="C390" s="11" t="s">
        <v>1123</v>
      </c>
      <c r="D390" s="11">
        <v>26</v>
      </c>
      <c r="E390" s="11">
        <v>4</v>
      </c>
      <c r="F390" s="11">
        <v>2</v>
      </c>
      <c r="G390" s="11" t="s">
        <v>1114</v>
      </c>
      <c r="H390" s="11" t="s">
        <v>1115</v>
      </c>
      <c r="I390" s="11">
        <v>30</v>
      </c>
      <c r="J390" s="11" t="s">
        <v>1260</v>
      </c>
      <c r="K390" s="11" t="s">
        <v>1374</v>
      </c>
      <c r="L390" s="11" t="s">
        <v>1118</v>
      </c>
      <c r="M390" s="11">
        <v>2021</v>
      </c>
    </row>
    <row r="391" spans="2:13" x14ac:dyDescent="0.35">
      <c r="B391" s="11">
        <v>51</v>
      </c>
      <c r="C391" s="11" t="s">
        <v>1160</v>
      </c>
      <c r="D391" s="11">
        <v>48</v>
      </c>
      <c r="E391" s="11">
        <v>4</v>
      </c>
      <c r="F391" s="11">
        <v>1.5</v>
      </c>
      <c r="G391" s="11" t="s">
        <v>1114</v>
      </c>
      <c r="H391" s="11" t="s">
        <v>1115</v>
      </c>
      <c r="I391" s="11">
        <v>45</v>
      </c>
      <c r="J391" s="11" t="s">
        <v>1202</v>
      </c>
      <c r="K391" s="11" t="s">
        <v>1375</v>
      </c>
      <c r="L391" s="11" t="s">
        <v>1118</v>
      </c>
      <c r="M391" s="11">
        <v>2021</v>
      </c>
    </row>
    <row r="392" spans="2:13" x14ac:dyDescent="0.35">
      <c r="B392" s="11">
        <v>27</v>
      </c>
      <c r="C392" s="11" t="s">
        <v>1160</v>
      </c>
      <c r="D392" s="11">
        <v>30</v>
      </c>
      <c r="E392" s="11">
        <v>4</v>
      </c>
      <c r="F392" s="11">
        <v>2</v>
      </c>
      <c r="G392" s="11" t="s">
        <v>1114</v>
      </c>
      <c r="H392" s="11" t="s">
        <v>1115</v>
      </c>
      <c r="I392" s="11">
        <v>34</v>
      </c>
      <c r="J392" s="11" t="s">
        <v>1209</v>
      </c>
      <c r="K392" s="11" t="s">
        <v>1210</v>
      </c>
      <c r="L392" s="11" t="s">
        <v>1118</v>
      </c>
      <c r="M392" s="11">
        <v>2021</v>
      </c>
    </row>
    <row r="393" spans="2:13" x14ac:dyDescent="0.35">
      <c r="B393" s="11">
        <v>25</v>
      </c>
      <c r="C393" s="11" t="s">
        <v>1160</v>
      </c>
      <c r="D393" s="11">
        <v>28</v>
      </c>
      <c r="E393" s="11">
        <v>4</v>
      </c>
      <c r="F393" s="11">
        <v>2</v>
      </c>
      <c r="G393" s="11" t="s">
        <v>1114</v>
      </c>
      <c r="H393" s="11" t="s">
        <v>1115</v>
      </c>
      <c r="I393" s="11">
        <v>33</v>
      </c>
      <c r="J393" s="11" t="s">
        <v>1209</v>
      </c>
      <c r="K393" s="11" t="s">
        <v>1210</v>
      </c>
      <c r="L393" s="11" t="s">
        <v>1117</v>
      </c>
      <c r="M393" s="11">
        <v>2021</v>
      </c>
    </row>
    <row r="394" spans="2:13" x14ac:dyDescent="0.35">
      <c r="B394" s="11">
        <v>28</v>
      </c>
      <c r="C394" s="11" t="s">
        <v>1160</v>
      </c>
      <c r="D394" s="11">
        <v>30</v>
      </c>
      <c r="E394" s="11">
        <v>4</v>
      </c>
      <c r="F394" s="11">
        <v>1.6</v>
      </c>
      <c r="G394" s="11" t="s">
        <v>1114</v>
      </c>
      <c r="H394" s="11" t="s">
        <v>1115</v>
      </c>
      <c r="I394" s="11">
        <v>34</v>
      </c>
      <c r="J394" s="11" t="s">
        <v>1209</v>
      </c>
      <c r="K394" s="11" t="s">
        <v>1210</v>
      </c>
      <c r="L394" s="11" t="s">
        <v>1118</v>
      </c>
      <c r="M394" s="11">
        <v>2021</v>
      </c>
    </row>
    <row r="395" spans="2:13" x14ac:dyDescent="0.35">
      <c r="B395" s="11">
        <v>26</v>
      </c>
      <c r="C395" s="11" t="s">
        <v>1160</v>
      </c>
      <c r="D395" s="11">
        <v>29</v>
      </c>
      <c r="E395" s="11">
        <v>4</v>
      </c>
      <c r="F395" s="11">
        <v>1.6</v>
      </c>
      <c r="G395" s="11" t="s">
        <v>1114</v>
      </c>
      <c r="H395" s="11" t="s">
        <v>1115</v>
      </c>
      <c r="I395" s="11">
        <v>33</v>
      </c>
      <c r="J395" s="11" t="s">
        <v>1209</v>
      </c>
      <c r="K395" s="11" t="s">
        <v>1210</v>
      </c>
      <c r="L395" s="11" t="s">
        <v>1117</v>
      </c>
      <c r="M395" s="11">
        <v>2021</v>
      </c>
    </row>
    <row r="396" spans="2:13" x14ac:dyDescent="0.35">
      <c r="B396" s="11">
        <v>55</v>
      </c>
      <c r="C396" s="11" t="s">
        <v>1113</v>
      </c>
      <c r="D396" s="11">
        <v>52</v>
      </c>
      <c r="E396" s="11">
        <v>4</v>
      </c>
      <c r="F396" s="11">
        <v>1.5</v>
      </c>
      <c r="G396" s="11" t="s">
        <v>1114</v>
      </c>
      <c r="H396" s="11" t="s">
        <v>1115</v>
      </c>
      <c r="I396" s="11">
        <v>49</v>
      </c>
      <c r="J396" s="11" t="s">
        <v>1202</v>
      </c>
      <c r="K396" s="11" t="s">
        <v>1376</v>
      </c>
      <c r="L396" s="11" t="s">
        <v>1118</v>
      </c>
      <c r="M396" s="11">
        <v>2021</v>
      </c>
    </row>
    <row r="397" spans="2:13" x14ac:dyDescent="0.35">
      <c r="B397" s="11">
        <v>17</v>
      </c>
      <c r="C397" s="11" t="s">
        <v>1133</v>
      </c>
      <c r="D397" s="11">
        <v>19</v>
      </c>
      <c r="E397" s="11">
        <v>8</v>
      </c>
      <c r="F397" s="11">
        <v>4.4000000000000004</v>
      </c>
      <c r="G397" s="11" t="s">
        <v>1127</v>
      </c>
      <c r="H397" s="11" t="s">
        <v>1115</v>
      </c>
      <c r="I397" s="11">
        <v>24</v>
      </c>
      <c r="J397" s="11" t="s">
        <v>1232</v>
      </c>
      <c r="K397" s="11" t="s">
        <v>1377</v>
      </c>
      <c r="L397" s="11" t="s">
        <v>1118</v>
      </c>
      <c r="M397" s="11">
        <v>2021</v>
      </c>
    </row>
    <row r="398" spans="2:13" x14ac:dyDescent="0.35">
      <c r="B398" s="11">
        <v>17</v>
      </c>
      <c r="C398" s="11" t="s">
        <v>1133</v>
      </c>
      <c r="D398" s="11">
        <v>19</v>
      </c>
      <c r="E398" s="11">
        <v>8</v>
      </c>
      <c r="F398" s="11">
        <v>4.4000000000000004</v>
      </c>
      <c r="G398" s="11" t="s">
        <v>1127</v>
      </c>
      <c r="H398" s="11" t="s">
        <v>1115</v>
      </c>
      <c r="I398" s="11">
        <v>24</v>
      </c>
      <c r="J398" s="11" t="s">
        <v>1232</v>
      </c>
      <c r="K398" s="11" t="s">
        <v>1378</v>
      </c>
      <c r="L398" s="11" t="s">
        <v>1118</v>
      </c>
      <c r="M398" s="11">
        <v>2021</v>
      </c>
    </row>
    <row r="399" spans="2:13" x14ac:dyDescent="0.35">
      <c r="B399" s="11">
        <v>19</v>
      </c>
      <c r="C399" s="11" t="s">
        <v>1316</v>
      </c>
      <c r="D399" s="11">
        <v>22</v>
      </c>
      <c r="E399" s="11">
        <v>4</v>
      </c>
      <c r="F399" s="11">
        <v>2.5</v>
      </c>
      <c r="G399" s="11" t="s">
        <v>1124</v>
      </c>
      <c r="H399" s="11" t="s">
        <v>1115</v>
      </c>
      <c r="I399" s="11">
        <v>25</v>
      </c>
      <c r="J399" s="11" t="s">
        <v>1175</v>
      </c>
      <c r="K399" s="11" t="s">
        <v>1379</v>
      </c>
      <c r="L399" s="11" t="s">
        <v>1118</v>
      </c>
      <c r="M399" s="11">
        <v>2021</v>
      </c>
    </row>
    <row r="400" spans="2:13" x14ac:dyDescent="0.35">
      <c r="B400" s="11">
        <v>18</v>
      </c>
      <c r="C400" s="11" t="s">
        <v>1316</v>
      </c>
      <c r="D400" s="11">
        <v>21</v>
      </c>
      <c r="E400" s="11">
        <v>6</v>
      </c>
      <c r="F400" s="11">
        <v>3.6</v>
      </c>
      <c r="G400" s="11" t="s">
        <v>1124</v>
      </c>
      <c r="H400" s="11" t="s">
        <v>1115</v>
      </c>
      <c r="I400" s="11">
        <v>25</v>
      </c>
      <c r="J400" s="11" t="s">
        <v>1175</v>
      </c>
      <c r="K400" s="11" t="s">
        <v>1379</v>
      </c>
      <c r="L400" s="11" t="s">
        <v>1118</v>
      </c>
      <c r="M400" s="11">
        <v>2021</v>
      </c>
    </row>
    <row r="401" spans="2:13" x14ac:dyDescent="0.35">
      <c r="B401" s="11">
        <v>19</v>
      </c>
      <c r="C401" s="11" t="s">
        <v>1316</v>
      </c>
      <c r="D401" s="11">
        <v>22</v>
      </c>
      <c r="E401" s="11">
        <v>4</v>
      </c>
      <c r="F401" s="11">
        <v>2.5</v>
      </c>
      <c r="G401" s="11" t="s">
        <v>1124</v>
      </c>
      <c r="H401" s="11" t="s">
        <v>1115</v>
      </c>
      <c r="I401" s="11">
        <v>25</v>
      </c>
      <c r="J401" s="11" t="s">
        <v>1177</v>
      </c>
      <c r="K401" s="11" t="s">
        <v>1380</v>
      </c>
      <c r="L401" s="11" t="s">
        <v>1118</v>
      </c>
      <c r="M401" s="11">
        <v>2021</v>
      </c>
    </row>
    <row r="402" spans="2:13" x14ac:dyDescent="0.35">
      <c r="B402" s="11">
        <v>18</v>
      </c>
      <c r="C402" s="11" t="s">
        <v>1316</v>
      </c>
      <c r="D402" s="11">
        <v>21</v>
      </c>
      <c r="E402" s="11">
        <v>6</v>
      </c>
      <c r="F402" s="11">
        <v>3.6</v>
      </c>
      <c r="G402" s="11" t="s">
        <v>1124</v>
      </c>
      <c r="H402" s="11" t="s">
        <v>1115</v>
      </c>
      <c r="I402" s="11">
        <v>25</v>
      </c>
      <c r="J402" s="11" t="s">
        <v>1177</v>
      </c>
      <c r="K402" s="11" t="s">
        <v>1380</v>
      </c>
      <c r="L402" s="11" t="s">
        <v>1118</v>
      </c>
      <c r="M402" s="11">
        <v>2021</v>
      </c>
    </row>
    <row r="403" spans="2:13" x14ac:dyDescent="0.35">
      <c r="B403" s="11">
        <v>19</v>
      </c>
      <c r="C403" s="11" t="s">
        <v>1316</v>
      </c>
      <c r="D403" s="11">
        <v>21</v>
      </c>
      <c r="E403" s="11">
        <v>4</v>
      </c>
      <c r="F403" s="11">
        <v>2.5</v>
      </c>
      <c r="G403" s="11" t="s">
        <v>1121</v>
      </c>
      <c r="H403" s="11" t="s">
        <v>1115</v>
      </c>
      <c r="I403" s="11">
        <v>24</v>
      </c>
      <c r="J403" s="11" t="s">
        <v>1175</v>
      </c>
      <c r="K403" s="11" t="s">
        <v>1381</v>
      </c>
      <c r="L403" s="11" t="s">
        <v>1118</v>
      </c>
      <c r="M403" s="11">
        <v>2021</v>
      </c>
    </row>
    <row r="404" spans="2:13" x14ac:dyDescent="0.35">
      <c r="B404" s="11">
        <v>17</v>
      </c>
      <c r="C404" s="11" t="s">
        <v>1316</v>
      </c>
      <c r="D404" s="11">
        <v>19</v>
      </c>
      <c r="E404" s="11">
        <v>6</v>
      </c>
      <c r="F404" s="11">
        <v>3.6</v>
      </c>
      <c r="G404" s="11" t="s">
        <v>1121</v>
      </c>
      <c r="H404" s="11" t="s">
        <v>1115</v>
      </c>
      <c r="I404" s="11">
        <v>24</v>
      </c>
      <c r="J404" s="11" t="s">
        <v>1175</v>
      </c>
      <c r="K404" s="11" t="s">
        <v>1381</v>
      </c>
      <c r="L404" s="11" t="s">
        <v>1118</v>
      </c>
      <c r="M404" s="11">
        <v>2021</v>
      </c>
    </row>
    <row r="405" spans="2:13" x14ac:dyDescent="0.35">
      <c r="B405" s="11">
        <v>19</v>
      </c>
      <c r="C405" s="11" t="s">
        <v>1227</v>
      </c>
      <c r="D405" s="11">
        <v>22</v>
      </c>
      <c r="E405" s="11">
        <v>6</v>
      </c>
      <c r="F405" s="11">
        <v>3.5</v>
      </c>
      <c r="G405" s="11" t="s">
        <v>1114</v>
      </c>
      <c r="H405" s="11" t="s">
        <v>1115</v>
      </c>
      <c r="I405" s="11">
        <v>28</v>
      </c>
      <c r="J405" s="11" t="s">
        <v>1202</v>
      </c>
      <c r="K405" s="11" t="s">
        <v>1382</v>
      </c>
      <c r="L405" s="11" t="s">
        <v>1118</v>
      </c>
      <c r="M405" s="11">
        <v>2022</v>
      </c>
    </row>
    <row r="406" spans="2:13" x14ac:dyDescent="0.35">
      <c r="B406" s="11">
        <v>21</v>
      </c>
      <c r="C406" s="11" t="s">
        <v>1113</v>
      </c>
      <c r="D406" s="11">
        <v>24</v>
      </c>
      <c r="E406" s="11">
        <v>4</v>
      </c>
      <c r="F406" s="11">
        <v>2.5</v>
      </c>
      <c r="G406" s="11" t="s">
        <v>1127</v>
      </c>
      <c r="H406" s="11" t="s">
        <v>1115</v>
      </c>
      <c r="I406" s="11">
        <v>29</v>
      </c>
      <c r="J406" s="11" t="s">
        <v>1137</v>
      </c>
      <c r="K406" s="11" t="s">
        <v>1383</v>
      </c>
      <c r="L406" s="11" t="s">
        <v>1118</v>
      </c>
      <c r="M406" s="11">
        <v>2022</v>
      </c>
    </row>
    <row r="407" spans="2:13" x14ac:dyDescent="0.35">
      <c r="B407" s="11">
        <v>22</v>
      </c>
      <c r="C407" s="11" t="s">
        <v>1113</v>
      </c>
      <c r="D407" s="11">
        <v>25</v>
      </c>
      <c r="E407" s="11">
        <v>4</v>
      </c>
      <c r="F407" s="11">
        <v>2.5</v>
      </c>
      <c r="G407" s="11" t="s">
        <v>1124</v>
      </c>
      <c r="H407" s="11" t="s">
        <v>1115</v>
      </c>
      <c r="I407" s="11">
        <v>32</v>
      </c>
      <c r="J407" s="11" t="s">
        <v>1137</v>
      </c>
      <c r="K407" s="11" t="s">
        <v>1384</v>
      </c>
      <c r="L407" s="11" t="s">
        <v>1118</v>
      </c>
      <c r="M407" s="11">
        <v>2022</v>
      </c>
    </row>
    <row r="408" spans="2:13" x14ac:dyDescent="0.35">
      <c r="B408" s="11">
        <v>17</v>
      </c>
      <c r="C408" s="11" t="s">
        <v>1113</v>
      </c>
      <c r="D408" s="11">
        <v>20</v>
      </c>
      <c r="E408" s="11">
        <v>6</v>
      </c>
      <c r="F408" s="11">
        <v>3.3</v>
      </c>
      <c r="G408" s="11" t="s">
        <v>1127</v>
      </c>
      <c r="H408" s="11" t="s">
        <v>1115</v>
      </c>
      <c r="I408" s="11">
        <v>24</v>
      </c>
      <c r="J408" s="11" t="s">
        <v>1137</v>
      </c>
      <c r="K408" s="11" t="s">
        <v>1383</v>
      </c>
      <c r="L408" s="11" t="s">
        <v>1118</v>
      </c>
      <c r="M408" s="11">
        <v>2022</v>
      </c>
    </row>
    <row r="409" spans="2:13" x14ac:dyDescent="0.35">
      <c r="B409" s="11">
        <v>18</v>
      </c>
      <c r="C409" s="11" t="s">
        <v>1113</v>
      </c>
      <c r="D409" s="11">
        <v>20</v>
      </c>
      <c r="E409" s="11">
        <v>6</v>
      </c>
      <c r="F409" s="11">
        <v>3.3</v>
      </c>
      <c r="G409" s="11" t="s">
        <v>1124</v>
      </c>
      <c r="H409" s="11" t="s">
        <v>1115</v>
      </c>
      <c r="I409" s="11">
        <v>25</v>
      </c>
      <c r="J409" s="11" t="s">
        <v>1137</v>
      </c>
      <c r="K409" s="11" t="s">
        <v>1384</v>
      </c>
      <c r="L409" s="11" t="s">
        <v>1118</v>
      </c>
      <c r="M409" s="11">
        <v>2022</v>
      </c>
    </row>
    <row r="410" spans="2:13" x14ac:dyDescent="0.35">
      <c r="B410" s="11">
        <v>19</v>
      </c>
      <c r="C410" s="11" t="s">
        <v>1227</v>
      </c>
      <c r="D410" s="11">
        <v>22</v>
      </c>
      <c r="E410" s="11">
        <v>6</v>
      </c>
      <c r="F410" s="11">
        <v>3.5</v>
      </c>
      <c r="G410" s="11" t="s">
        <v>1114</v>
      </c>
      <c r="H410" s="11" t="s">
        <v>1115</v>
      </c>
      <c r="I410" s="11">
        <v>26</v>
      </c>
      <c r="J410" s="11" t="s">
        <v>1137</v>
      </c>
      <c r="K410" s="11" t="s">
        <v>1385</v>
      </c>
      <c r="L410" s="11" t="s">
        <v>1118</v>
      </c>
      <c r="M410" s="11">
        <v>2022</v>
      </c>
    </row>
    <row r="411" spans="2:13" x14ac:dyDescent="0.35">
      <c r="B411" s="11">
        <v>19</v>
      </c>
      <c r="C411" s="11" t="s">
        <v>1119</v>
      </c>
      <c r="D411" s="11">
        <v>22</v>
      </c>
      <c r="E411" s="11">
        <v>6</v>
      </c>
      <c r="F411" s="11">
        <v>3.5</v>
      </c>
      <c r="G411" s="11" t="s">
        <v>1114</v>
      </c>
      <c r="H411" s="11" t="s">
        <v>1115</v>
      </c>
      <c r="I411" s="11">
        <v>26</v>
      </c>
      <c r="J411" s="11" t="s">
        <v>1217</v>
      </c>
      <c r="K411" s="11" t="s">
        <v>1386</v>
      </c>
      <c r="L411" s="11" t="s">
        <v>1118</v>
      </c>
      <c r="M411" s="11">
        <v>2022</v>
      </c>
    </row>
    <row r="412" spans="2:13" x14ac:dyDescent="0.35">
      <c r="B412" s="11">
        <v>26</v>
      </c>
      <c r="C412" s="11" t="s">
        <v>1119</v>
      </c>
      <c r="D412" s="11">
        <v>29</v>
      </c>
      <c r="E412" s="11">
        <v>4</v>
      </c>
      <c r="F412" s="11">
        <v>2.5</v>
      </c>
      <c r="G412" s="11" t="s">
        <v>1114</v>
      </c>
      <c r="H412" s="11" t="s">
        <v>1115</v>
      </c>
      <c r="I412" s="11">
        <v>33</v>
      </c>
      <c r="J412" s="11" t="s">
        <v>1209</v>
      </c>
      <c r="K412" s="11" t="s">
        <v>1387</v>
      </c>
      <c r="L412" s="11" t="s">
        <v>1118</v>
      </c>
      <c r="M412" s="11">
        <v>2022</v>
      </c>
    </row>
    <row r="413" spans="2:13" x14ac:dyDescent="0.35">
      <c r="B413" s="11">
        <v>25</v>
      </c>
      <c r="C413" s="11" t="s">
        <v>1119</v>
      </c>
      <c r="D413" s="11">
        <v>26</v>
      </c>
      <c r="E413" s="11">
        <v>4</v>
      </c>
      <c r="F413" s="11">
        <v>1.5</v>
      </c>
      <c r="G413" s="11" t="s">
        <v>1114</v>
      </c>
      <c r="H413" s="11" t="s">
        <v>1115</v>
      </c>
      <c r="I413" s="11">
        <v>28</v>
      </c>
      <c r="J413" s="11" t="s">
        <v>1213</v>
      </c>
      <c r="K413" s="11" t="s">
        <v>1388</v>
      </c>
      <c r="L413" s="11" t="s">
        <v>1118</v>
      </c>
      <c r="M413" s="11">
        <v>2022</v>
      </c>
    </row>
    <row r="414" spans="2:13" x14ac:dyDescent="0.35">
      <c r="B414" s="11">
        <v>26</v>
      </c>
      <c r="C414" s="11" t="s">
        <v>1119</v>
      </c>
      <c r="D414" s="11">
        <v>27</v>
      </c>
      <c r="E414" s="11">
        <v>4</v>
      </c>
      <c r="F414" s="11">
        <v>1.5</v>
      </c>
      <c r="G414" s="11" t="s">
        <v>1114</v>
      </c>
      <c r="H414" s="11" t="s">
        <v>1115</v>
      </c>
      <c r="I414" s="11">
        <v>29</v>
      </c>
      <c r="J414" s="11" t="s">
        <v>1213</v>
      </c>
      <c r="K414" s="11" t="s">
        <v>1389</v>
      </c>
      <c r="L414" s="11" t="s">
        <v>1118</v>
      </c>
      <c r="M414" s="11">
        <v>2022</v>
      </c>
    </row>
    <row r="415" spans="2:13" x14ac:dyDescent="0.35">
      <c r="B415" s="11">
        <v>19</v>
      </c>
      <c r="C415" s="11" t="s">
        <v>1119</v>
      </c>
      <c r="D415" s="11">
        <v>21</v>
      </c>
      <c r="E415" s="11">
        <v>6</v>
      </c>
      <c r="F415" s="11">
        <v>3.5</v>
      </c>
      <c r="G415" s="11" t="s">
        <v>1127</v>
      </c>
      <c r="H415" s="11" t="s">
        <v>1115</v>
      </c>
      <c r="I415" s="11">
        <v>25</v>
      </c>
      <c r="J415" s="11" t="s">
        <v>1217</v>
      </c>
      <c r="K415" s="11" t="s">
        <v>1390</v>
      </c>
      <c r="L415" s="11" t="s">
        <v>1118</v>
      </c>
      <c r="M415" s="11">
        <v>2022</v>
      </c>
    </row>
    <row r="416" spans="2:13" x14ac:dyDescent="0.35">
      <c r="B416" s="11">
        <v>25</v>
      </c>
      <c r="C416" s="11" t="s">
        <v>1119</v>
      </c>
      <c r="D416" s="11">
        <v>25</v>
      </c>
      <c r="E416" s="11">
        <v>4</v>
      </c>
      <c r="F416" s="11">
        <v>1.5</v>
      </c>
      <c r="G416" s="11" t="s">
        <v>1121</v>
      </c>
      <c r="H416" s="11" t="s">
        <v>1115</v>
      </c>
      <c r="I416" s="11">
        <v>26</v>
      </c>
      <c r="J416" s="11" t="s">
        <v>1213</v>
      </c>
      <c r="K416" s="11" t="s">
        <v>1391</v>
      </c>
      <c r="L416" s="11" t="s">
        <v>1118</v>
      </c>
      <c r="M416" s="11">
        <v>2022</v>
      </c>
    </row>
    <row r="417" spans="2:13" x14ac:dyDescent="0.35">
      <c r="B417" s="11">
        <v>25</v>
      </c>
      <c r="C417" s="11" t="s">
        <v>1119</v>
      </c>
      <c r="D417" s="11">
        <v>26</v>
      </c>
      <c r="E417" s="11">
        <v>4</v>
      </c>
      <c r="F417" s="11">
        <v>1.5</v>
      </c>
      <c r="G417" s="11" t="s">
        <v>1121</v>
      </c>
      <c r="H417" s="11" t="s">
        <v>1115</v>
      </c>
      <c r="I417" s="11">
        <v>28</v>
      </c>
      <c r="J417" s="11" t="s">
        <v>1213</v>
      </c>
      <c r="K417" s="11" t="s">
        <v>1392</v>
      </c>
      <c r="L417" s="11" t="s">
        <v>1118</v>
      </c>
      <c r="M417" s="11">
        <v>2022</v>
      </c>
    </row>
    <row r="418" spans="2:13" x14ac:dyDescent="0.35">
      <c r="B418" s="11">
        <v>18</v>
      </c>
      <c r="C418" s="11" t="s">
        <v>1160</v>
      </c>
      <c r="D418" s="11">
        <v>21</v>
      </c>
      <c r="E418" s="11">
        <v>6</v>
      </c>
      <c r="F418" s="11">
        <v>3.3</v>
      </c>
      <c r="G418" s="11" t="s">
        <v>1124</v>
      </c>
      <c r="H418" s="11" t="s">
        <v>1115</v>
      </c>
      <c r="I418" s="11">
        <v>27</v>
      </c>
      <c r="J418" s="11" t="s">
        <v>1267</v>
      </c>
      <c r="K418" s="11" t="s">
        <v>1313</v>
      </c>
      <c r="L418" s="11" t="s">
        <v>1118</v>
      </c>
      <c r="M418" s="11">
        <v>2022</v>
      </c>
    </row>
    <row r="419" spans="2:13" x14ac:dyDescent="0.35">
      <c r="B419" s="11">
        <v>20</v>
      </c>
      <c r="C419" s="11" t="s">
        <v>1119</v>
      </c>
      <c r="D419" s="11">
        <v>23</v>
      </c>
      <c r="E419" s="11">
        <v>4</v>
      </c>
      <c r="F419" s="11">
        <v>2</v>
      </c>
      <c r="G419" s="11" t="s">
        <v>1114</v>
      </c>
      <c r="H419" s="11" t="s">
        <v>1115</v>
      </c>
      <c r="I419" s="11">
        <v>28</v>
      </c>
      <c r="J419" s="11" t="s">
        <v>1137</v>
      </c>
      <c r="K419" s="11" t="s">
        <v>1245</v>
      </c>
      <c r="L419" s="11" t="s">
        <v>1118</v>
      </c>
      <c r="M419" s="11">
        <v>2022</v>
      </c>
    </row>
    <row r="420" spans="2:13" x14ac:dyDescent="0.35">
      <c r="B420" s="11">
        <v>23</v>
      </c>
      <c r="C420" s="11" t="s">
        <v>1119</v>
      </c>
      <c r="D420" s="11">
        <v>26</v>
      </c>
      <c r="E420" s="11">
        <v>4</v>
      </c>
      <c r="F420" s="11">
        <v>2.4</v>
      </c>
      <c r="G420" s="11" t="s">
        <v>1114</v>
      </c>
      <c r="H420" s="11" t="s">
        <v>1115</v>
      </c>
      <c r="I420" s="11">
        <v>30</v>
      </c>
      <c r="J420" s="11" t="s">
        <v>1137</v>
      </c>
      <c r="K420" s="11" t="s">
        <v>1245</v>
      </c>
      <c r="L420" s="11" t="s">
        <v>1118</v>
      </c>
      <c r="M420" s="11">
        <v>2022</v>
      </c>
    </row>
    <row r="421" spans="2:13" x14ac:dyDescent="0.35">
      <c r="B421" s="11">
        <v>24</v>
      </c>
      <c r="C421" s="11" t="s">
        <v>1119</v>
      </c>
      <c r="D421" s="11">
        <v>27</v>
      </c>
      <c r="E421" s="11">
        <v>4</v>
      </c>
      <c r="F421" s="11">
        <v>2.5</v>
      </c>
      <c r="G421" s="11" t="s">
        <v>1114</v>
      </c>
      <c r="H421" s="11" t="s">
        <v>1115</v>
      </c>
      <c r="I421" s="11">
        <v>31</v>
      </c>
      <c r="J421" s="11" t="s">
        <v>1213</v>
      </c>
      <c r="K421" s="11" t="s">
        <v>1393</v>
      </c>
      <c r="L421" s="11" t="s">
        <v>1118</v>
      </c>
      <c r="M421" s="11">
        <v>2022</v>
      </c>
    </row>
    <row r="422" spans="2:13" x14ac:dyDescent="0.35">
      <c r="B422" s="11">
        <v>19</v>
      </c>
      <c r="C422" s="11" t="s">
        <v>1119</v>
      </c>
      <c r="D422" s="11">
        <v>21</v>
      </c>
      <c r="E422" s="11">
        <v>6</v>
      </c>
      <c r="F422" s="11">
        <v>3.5</v>
      </c>
      <c r="G422" s="11" t="s">
        <v>1127</v>
      </c>
      <c r="H422" s="11" t="s">
        <v>1115</v>
      </c>
      <c r="I422" s="11">
        <v>25</v>
      </c>
      <c r="J422" s="11" t="s">
        <v>1267</v>
      </c>
      <c r="K422" s="11" t="s">
        <v>1394</v>
      </c>
      <c r="L422" s="11" t="s">
        <v>1118</v>
      </c>
      <c r="M422" s="11">
        <v>2022</v>
      </c>
    </row>
    <row r="423" spans="2:13" x14ac:dyDescent="0.35">
      <c r="B423" s="11">
        <v>24</v>
      </c>
      <c r="C423" s="11" t="s">
        <v>1119</v>
      </c>
      <c r="D423" s="11">
        <v>26</v>
      </c>
      <c r="E423" s="11">
        <v>4</v>
      </c>
      <c r="F423" s="11">
        <v>2.5</v>
      </c>
      <c r="G423" s="11" t="s">
        <v>1127</v>
      </c>
      <c r="H423" s="11" t="s">
        <v>1115</v>
      </c>
      <c r="I423" s="11">
        <v>29</v>
      </c>
      <c r="J423" s="11" t="s">
        <v>1209</v>
      </c>
      <c r="K423" s="11" t="s">
        <v>1395</v>
      </c>
      <c r="L423" s="11" t="s">
        <v>1118</v>
      </c>
      <c r="M423" s="11">
        <v>2022</v>
      </c>
    </row>
    <row r="424" spans="2:13" x14ac:dyDescent="0.35">
      <c r="B424" s="11">
        <v>19</v>
      </c>
      <c r="C424" s="11" t="s">
        <v>1119</v>
      </c>
      <c r="D424" s="11">
        <v>21</v>
      </c>
      <c r="E424" s="11">
        <v>4</v>
      </c>
      <c r="F424" s="11">
        <v>2</v>
      </c>
      <c r="G424" s="11" t="s">
        <v>1127</v>
      </c>
      <c r="H424" s="11" t="s">
        <v>1115</v>
      </c>
      <c r="I424" s="11">
        <v>24</v>
      </c>
      <c r="J424" s="11" t="s">
        <v>1137</v>
      </c>
      <c r="K424" s="11" t="s">
        <v>1247</v>
      </c>
      <c r="L424" s="11" t="s">
        <v>1118</v>
      </c>
      <c r="M424" s="11">
        <v>2022</v>
      </c>
    </row>
    <row r="425" spans="2:13" x14ac:dyDescent="0.35">
      <c r="B425" s="11">
        <v>22</v>
      </c>
      <c r="C425" s="11" t="s">
        <v>1119</v>
      </c>
      <c r="D425" s="11">
        <v>23</v>
      </c>
      <c r="E425" s="11">
        <v>4</v>
      </c>
      <c r="F425" s="11">
        <v>2.4</v>
      </c>
      <c r="G425" s="11" t="s">
        <v>1127</v>
      </c>
      <c r="H425" s="11" t="s">
        <v>1115</v>
      </c>
      <c r="I425" s="11">
        <v>26</v>
      </c>
      <c r="J425" s="11" t="s">
        <v>1137</v>
      </c>
      <c r="K425" s="11" t="s">
        <v>1247</v>
      </c>
      <c r="L425" s="11" t="s">
        <v>1118</v>
      </c>
      <c r="M425" s="11">
        <v>2022</v>
      </c>
    </row>
    <row r="426" spans="2:13" x14ac:dyDescent="0.35">
      <c r="B426" s="11">
        <v>24</v>
      </c>
      <c r="C426" s="11" t="s">
        <v>1119</v>
      </c>
      <c r="D426" s="11">
        <v>26</v>
      </c>
      <c r="E426" s="11">
        <v>4</v>
      </c>
      <c r="F426" s="11">
        <v>2.5</v>
      </c>
      <c r="G426" s="11" t="s">
        <v>1121</v>
      </c>
      <c r="H426" s="11" t="s">
        <v>1115</v>
      </c>
      <c r="I426" s="11">
        <v>30</v>
      </c>
      <c r="J426" s="11" t="s">
        <v>1213</v>
      </c>
      <c r="K426" s="11" t="s">
        <v>1396</v>
      </c>
      <c r="L426" s="11" t="s">
        <v>1118</v>
      </c>
      <c r="M426" s="11">
        <v>2022</v>
      </c>
    </row>
    <row r="427" spans="2:13" x14ac:dyDescent="0.35">
      <c r="B427" s="11">
        <v>29</v>
      </c>
      <c r="C427" s="11" t="s">
        <v>1119</v>
      </c>
      <c r="D427" s="11">
        <v>32</v>
      </c>
      <c r="E427" s="11">
        <v>4</v>
      </c>
      <c r="F427" s="11">
        <v>1.6</v>
      </c>
      <c r="G427" s="11" t="s">
        <v>1114</v>
      </c>
      <c r="H427" s="11" t="s">
        <v>1115</v>
      </c>
      <c r="I427" s="11">
        <v>35</v>
      </c>
      <c r="J427" s="11" t="s">
        <v>1209</v>
      </c>
      <c r="K427" s="11" t="s">
        <v>1397</v>
      </c>
      <c r="L427" s="11" t="s">
        <v>1118</v>
      </c>
      <c r="M427" s="11">
        <v>2022</v>
      </c>
    </row>
    <row r="428" spans="2:13" x14ac:dyDescent="0.35">
      <c r="B428" s="11">
        <v>30</v>
      </c>
      <c r="C428" s="11" t="s">
        <v>1119</v>
      </c>
      <c r="D428" s="11">
        <v>32</v>
      </c>
      <c r="E428" s="11">
        <v>4</v>
      </c>
      <c r="F428" s="11">
        <v>2</v>
      </c>
      <c r="G428" s="11" t="s">
        <v>1114</v>
      </c>
      <c r="H428" s="11" t="s">
        <v>1115</v>
      </c>
      <c r="I428" s="11">
        <v>35</v>
      </c>
      <c r="J428" s="11" t="s">
        <v>1209</v>
      </c>
      <c r="K428" s="11" t="s">
        <v>1397</v>
      </c>
      <c r="L428" s="11" t="s">
        <v>1118</v>
      </c>
      <c r="M428" s="11">
        <v>2022</v>
      </c>
    </row>
    <row r="429" spans="2:13" x14ac:dyDescent="0.35">
      <c r="B429" s="11">
        <v>27</v>
      </c>
      <c r="C429" s="11" t="s">
        <v>1119</v>
      </c>
      <c r="D429" s="11">
        <v>29</v>
      </c>
      <c r="E429" s="11">
        <v>4</v>
      </c>
      <c r="F429" s="11">
        <v>1.6</v>
      </c>
      <c r="G429" s="11" t="s">
        <v>1127</v>
      </c>
      <c r="H429" s="11" t="s">
        <v>1115</v>
      </c>
      <c r="I429" s="11">
        <v>32</v>
      </c>
      <c r="J429" s="11" t="s">
        <v>1209</v>
      </c>
      <c r="K429" s="11" t="s">
        <v>1398</v>
      </c>
      <c r="L429" s="11" t="s">
        <v>1118</v>
      </c>
      <c r="M429" s="11">
        <v>2022</v>
      </c>
    </row>
    <row r="430" spans="2:13" x14ac:dyDescent="0.35">
      <c r="B430" s="11">
        <v>28</v>
      </c>
      <c r="C430" s="11" t="s">
        <v>1119</v>
      </c>
      <c r="D430" s="11">
        <v>30</v>
      </c>
      <c r="E430" s="11">
        <v>4</v>
      </c>
      <c r="F430" s="11">
        <v>2</v>
      </c>
      <c r="G430" s="11" t="s">
        <v>1127</v>
      </c>
      <c r="H430" s="11" t="s">
        <v>1115</v>
      </c>
      <c r="I430" s="11">
        <v>33</v>
      </c>
      <c r="J430" s="11" t="s">
        <v>1209</v>
      </c>
      <c r="K430" s="11" t="s">
        <v>1398</v>
      </c>
      <c r="L430" s="11" t="s">
        <v>1118</v>
      </c>
      <c r="M430" s="11">
        <v>2022</v>
      </c>
    </row>
    <row r="431" spans="2:13" x14ac:dyDescent="0.35">
      <c r="B431" s="11">
        <v>29</v>
      </c>
      <c r="C431" s="11" t="s">
        <v>1144</v>
      </c>
      <c r="D431" s="11">
        <v>32</v>
      </c>
      <c r="E431" s="11">
        <v>3</v>
      </c>
      <c r="F431" s="11">
        <v>1.5</v>
      </c>
      <c r="G431" s="11" t="s">
        <v>1114</v>
      </c>
      <c r="H431" s="11" t="s">
        <v>1115</v>
      </c>
      <c r="I431" s="11">
        <v>38</v>
      </c>
      <c r="J431" s="11" t="s">
        <v>1260</v>
      </c>
      <c r="K431" s="11" t="s">
        <v>1328</v>
      </c>
      <c r="L431" s="11" t="s">
        <v>1118</v>
      </c>
      <c r="M431" s="11">
        <v>2022</v>
      </c>
    </row>
    <row r="432" spans="2:13" x14ac:dyDescent="0.35">
      <c r="B432" s="11">
        <v>27</v>
      </c>
      <c r="C432" s="11" t="s">
        <v>1144</v>
      </c>
      <c r="D432" s="11">
        <v>31</v>
      </c>
      <c r="E432" s="11">
        <v>3</v>
      </c>
      <c r="F432" s="11">
        <v>1.5</v>
      </c>
      <c r="G432" s="11" t="s">
        <v>1114</v>
      </c>
      <c r="H432" s="11" t="s">
        <v>1115</v>
      </c>
      <c r="I432" s="11">
        <v>37</v>
      </c>
      <c r="J432" s="11" t="s">
        <v>1260</v>
      </c>
      <c r="K432" s="11" t="s">
        <v>1328</v>
      </c>
      <c r="L432" s="11" t="s">
        <v>1117</v>
      </c>
      <c r="M432" s="11">
        <v>2022</v>
      </c>
    </row>
    <row r="433" spans="2:13" x14ac:dyDescent="0.35">
      <c r="B433" s="11">
        <v>23</v>
      </c>
      <c r="C433" s="11" t="s">
        <v>1144</v>
      </c>
      <c r="D433" s="11">
        <v>26</v>
      </c>
      <c r="E433" s="11">
        <v>4</v>
      </c>
      <c r="F433" s="11">
        <v>2</v>
      </c>
      <c r="G433" s="11" t="s">
        <v>1114</v>
      </c>
      <c r="H433" s="11" t="s">
        <v>1115</v>
      </c>
      <c r="I433" s="11">
        <v>33</v>
      </c>
      <c r="J433" s="11" t="s">
        <v>1260</v>
      </c>
      <c r="K433" s="11" t="s">
        <v>1329</v>
      </c>
      <c r="L433" s="11" t="s">
        <v>1117</v>
      </c>
      <c r="M433" s="11">
        <v>2022</v>
      </c>
    </row>
    <row r="434" spans="2:13" x14ac:dyDescent="0.35">
      <c r="B434" s="11">
        <v>15</v>
      </c>
      <c r="C434" s="11" t="s">
        <v>1123</v>
      </c>
      <c r="D434" s="11">
        <v>17</v>
      </c>
      <c r="E434" s="11">
        <v>8</v>
      </c>
      <c r="F434" s="11">
        <v>4.4000000000000004</v>
      </c>
      <c r="G434" s="11" t="s">
        <v>1127</v>
      </c>
      <c r="H434" s="11" t="s">
        <v>1115</v>
      </c>
      <c r="I434" s="11">
        <v>21</v>
      </c>
      <c r="J434" s="11" t="s">
        <v>1232</v>
      </c>
      <c r="K434" s="11" t="s">
        <v>1399</v>
      </c>
      <c r="L434" s="11" t="s">
        <v>1118</v>
      </c>
      <c r="M434" s="11">
        <v>2022</v>
      </c>
    </row>
    <row r="435" spans="2:13" x14ac:dyDescent="0.35">
      <c r="B435" s="11">
        <v>15</v>
      </c>
      <c r="C435" s="11" t="s">
        <v>1123</v>
      </c>
      <c r="D435" s="11">
        <v>17</v>
      </c>
      <c r="E435" s="11">
        <v>8</v>
      </c>
      <c r="F435" s="11">
        <v>4.4000000000000004</v>
      </c>
      <c r="G435" s="11" t="s">
        <v>1127</v>
      </c>
      <c r="H435" s="11" t="s">
        <v>1115</v>
      </c>
      <c r="I435" s="11">
        <v>21</v>
      </c>
      <c r="J435" s="11" t="s">
        <v>1232</v>
      </c>
      <c r="K435" s="11" t="s">
        <v>1400</v>
      </c>
      <c r="L435" s="11" t="s">
        <v>1118</v>
      </c>
      <c r="M435" s="11">
        <v>2022</v>
      </c>
    </row>
    <row r="436" spans="2:13" x14ac:dyDescent="0.35">
      <c r="B436" s="11">
        <v>29</v>
      </c>
      <c r="C436" s="11" t="s">
        <v>1123</v>
      </c>
      <c r="D436" s="11">
        <v>32</v>
      </c>
      <c r="E436" s="11">
        <v>3</v>
      </c>
      <c r="F436" s="11">
        <v>1.5</v>
      </c>
      <c r="G436" s="11" t="s">
        <v>1114</v>
      </c>
      <c r="H436" s="11" t="s">
        <v>1115</v>
      </c>
      <c r="I436" s="11">
        <v>38</v>
      </c>
      <c r="J436" s="11" t="s">
        <v>1260</v>
      </c>
      <c r="K436" s="11" t="s">
        <v>1369</v>
      </c>
      <c r="L436" s="11" t="s">
        <v>1118</v>
      </c>
      <c r="M436" s="11">
        <v>2022</v>
      </c>
    </row>
    <row r="437" spans="2:13" x14ac:dyDescent="0.35">
      <c r="B437" s="11">
        <v>27</v>
      </c>
      <c r="C437" s="11" t="s">
        <v>1123</v>
      </c>
      <c r="D437" s="11">
        <v>31</v>
      </c>
      <c r="E437" s="11">
        <v>3</v>
      </c>
      <c r="F437" s="11">
        <v>1.5</v>
      </c>
      <c r="G437" s="11" t="s">
        <v>1114</v>
      </c>
      <c r="H437" s="11" t="s">
        <v>1115</v>
      </c>
      <c r="I437" s="11">
        <v>37</v>
      </c>
      <c r="J437" s="11" t="s">
        <v>1260</v>
      </c>
      <c r="K437" s="11" t="s">
        <v>1369</v>
      </c>
      <c r="L437" s="11" t="s">
        <v>1117</v>
      </c>
      <c r="M437" s="11">
        <v>2022</v>
      </c>
    </row>
    <row r="438" spans="2:13" x14ac:dyDescent="0.35">
      <c r="B438" s="11">
        <v>29</v>
      </c>
      <c r="C438" s="11" t="s">
        <v>1123</v>
      </c>
      <c r="D438" s="11">
        <v>32</v>
      </c>
      <c r="E438" s="11">
        <v>3</v>
      </c>
      <c r="F438" s="11">
        <v>1.5</v>
      </c>
      <c r="G438" s="11" t="s">
        <v>1114</v>
      </c>
      <c r="H438" s="11" t="s">
        <v>1115</v>
      </c>
      <c r="I438" s="11">
        <v>38</v>
      </c>
      <c r="J438" s="11" t="s">
        <v>1260</v>
      </c>
      <c r="K438" s="11" t="s">
        <v>1370</v>
      </c>
      <c r="L438" s="11" t="s">
        <v>1118</v>
      </c>
      <c r="M438" s="11">
        <v>2022</v>
      </c>
    </row>
    <row r="439" spans="2:13" x14ac:dyDescent="0.35">
      <c r="B439" s="11">
        <v>27</v>
      </c>
      <c r="C439" s="11" t="s">
        <v>1123</v>
      </c>
      <c r="D439" s="11">
        <v>31</v>
      </c>
      <c r="E439" s="11">
        <v>3</v>
      </c>
      <c r="F439" s="11">
        <v>1.5</v>
      </c>
      <c r="G439" s="11" t="s">
        <v>1114</v>
      </c>
      <c r="H439" s="11" t="s">
        <v>1115</v>
      </c>
      <c r="I439" s="11">
        <v>37</v>
      </c>
      <c r="J439" s="11" t="s">
        <v>1260</v>
      </c>
      <c r="K439" s="11" t="s">
        <v>1370</v>
      </c>
      <c r="L439" s="11" t="s">
        <v>1117</v>
      </c>
      <c r="M439" s="11">
        <v>2022</v>
      </c>
    </row>
    <row r="440" spans="2:13" x14ac:dyDescent="0.35">
      <c r="B440" s="11">
        <v>23</v>
      </c>
      <c r="C440" s="11" t="s">
        <v>1123</v>
      </c>
      <c r="D440" s="11">
        <v>27</v>
      </c>
      <c r="E440" s="11">
        <v>4</v>
      </c>
      <c r="F440" s="11">
        <v>2</v>
      </c>
      <c r="G440" s="11" t="s">
        <v>1114</v>
      </c>
      <c r="H440" s="11" t="s">
        <v>1115</v>
      </c>
      <c r="I440" s="11">
        <v>33</v>
      </c>
      <c r="J440" s="11" t="s">
        <v>1260</v>
      </c>
      <c r="K440" s="11" t="s">
        <v>1371</v>
      </c>
      <c r="L440" s="11" t="s">
        <v>1117</v>
      </c>
      <c r="M440" s="11">
        <v>2022</v>
      </c>
    </row>
    <row r="441" spans="2:13" x14ac:dyDescent="0.35">
      <c r="B441" s="11">
        <v>23</v>
      </c>
      <c r="C441" s="11" t="s">
        <v>1123</v>
      </c>
      <c r="D441" s="11">
        <v>27</v>
      </c>
      <c r="E441" s="11">
        <v>4</v>
      </c>
      <c r="F441" s="11">
        <v>2</v>
      </c>
      <c r="G441" s="11" t="s">
        <v>1114</v>
      </c>
      <c r="H441" s="11" t="s">
        <v>1115</v>
      </c>
      <c r="I441" s="11">
        <v>33</v>
      </c>
      <c r="J441" s="11" t="s">
        <v>1260</v>
      </c>
      <c r="K441" s="11" t="s">
        <v>1372</v>
      </c>
      <c r="L441" s="11" t="s">
        <v>1117</v>
      </c>
      <c r="M441" s="11">
        <v>2022</v>
      </c>
    </row>
    <row r="442" spans="2:13" x14ac:dyDescent="0.35">
      <c r="B442" s="11">
        <v>22</v>
      </c>
      <c r="C442" s="11" t="s">
        <v>1123</v>
      </c>
      <c r="D442" s="11">
        <v>25</v>
      </c>
      <c r="E442" s="11">
        <v>4</v>
      </c>
      <c r="F442" s="11">
        <v>2</v>
      </c>
      <c r="G442" s="11" t="s">
        <v>1114</v>
      </c>
      <c r="H442" s="11" t="s">
        <v>1115</v>
      </c>
      <c r="I442" s="11">
        <v>31</v>
      </c>
      <c r="J442" s="11" t="s">
        <v>1260</v>
      </c>
      <c r="K442" s="11" t="s">
        <v>1401</v>
      </c>
      <c r="L442" s="11" t="s">
        <v>1117</v>
      </c>
      <c r="M442" s="11">
        <v>2022</v>
      </c>
    </row>
    <row r="443" spans="2:13" x14ac:dyDescent="0.35">
      <c r="B443" s="11">
        <v>17</v>
      </c>
      <c r="C443" s="11" t="s">
        <v>1160</v>
      </c>
      <c r="D443" s="11">
        <v>20</v>
      </c>
      <c r="E443" s="11">
        <v>6</v>
      </c>
      <c r="F443" s="11">
        <v>3.3</v>
      </c>
      <c r="G443" s="11" t="s">
        <v>1127</v>
      </c>
      <c r="H443" s="11" t="s">
        <v>1115</v>
      </c>
      <c r="I443" s="11">
        <v>25</v>
      </c>
      <c r="J443" s="11" t="s">
        <v>1267</v>
      </c>
      <c r="K443" s="11" t="s">
        <v>1312</v>
      </c>
      <c r="L443" s="11" t="s">
        <v>1118</v>
      </c>
      <c r="M443" s="11">
        <v>2022</v>
      </c>
    </row>
    <row r="444" spans="2:13" x14ac:dyDescent="0.35">
      <c r="B444" s="11">
        <v>24</v>
      </c>
      <c r="C444" s="11" t="s">
        <v>1113</v>
      </c>
      <c r="D444" s="11">
        <v>27</v>
      </c>
      <c r="E444" s="11">
        <v>4</v>
      </c>
      <c r="F444" s="11">
        <v>2</v>
      </c>
      <c r="G444" s="11" t="s">
        <v>1127</v>
      </c>
      <c r="H444" s="11" t="s">
        <v>1115</v>
      </c>
      <c r="I444" s="11">
        <v>31</v>
      </c>
      <c r="J444" s="11" t="s">
        <v>1232</v>
      </c>
      <c r="K444" s="11" t="s">
        <v>1402</v>
      </c>
      <c r="L444" s="11" t="s">
        <v>1118</v>
      </c>
      <c r="M444" s="11">
        <v>2022</v>
      </c>
    </row>
    <row r="445" spans="2:13" x14ac:dyDescent="0.35">
      <c r="B445" s="11">
        <v>23</v>
      </c>
      <c r="C445" s="11" t="s">
        <v>1113</v>
      </c>
      <c r="D445" s="11">
        <v>26</v>
      </c>
      <c r="E445" s="11">
        <v>4</v>
      </c>
      <c r="F445" s="11">
        <v>2</v>
      </c>
      <c r="G445" s="11" t="s">
        <v>1127</v>
      </c>
      <c r="H445" s="11" t="s">
        <v>1115</v>
      </c>
      <c r="I445" s="11">
        <v>30</v>
      </c>
      <c r="J445" s="11" t="s">
        <v>1232</v>
      </c>
      <c r="K445" s="11" t="s">
        <v>1403</v>
      </c>
      <c r="L445" s="11" t="s">
        <v>1118</v>
      </c>
      <c r="M445" s="11">
        <v>2022</v>
      </c>
    </row>
    <row r="446" spans="2:13" x14ac:dyDescent="0.35">
      <c r="B446" s="11">
        <v>15</v>
      </c>
      <c r="C446" s="11" t="s">
        <v>1113</v>
      </c>
      <c r="D446" s="11">
        <v>17</v>
      </c>
      <c r="E446" s="11">
        <v>8</v>
      </c>
      <c r="F446" s="11">
        <v>4.4000000000000004</v>
      </c>
      <c r="G446" s="11" t="s">
        <v>1127</v>
      </c>
      <c r="H446" s="11" t="s">
        <v>1115</v>
      </c>
      <c r="I446" s="11">
        <v>21</v>
      </c>
      <c r="J446" s="11" t="s">
        <v>1232</v>
      </c>
      <c r="K446" s="11" t="s">
        <v>1404</v>
      </c>
      <c r="L446" s="11" t="s">
        <v>1118</v>
      </c>
      <c r="M446" s="11">
        <v>2022</v>
      </c>
    </row>
    <row r="447" spans="2:13" x14ac:dyDescent="0.35">
      <c r="B447" s="11">
        <v>15</v>
      </c>
      <c r="C447" s="11" t="s">
        <v>1113</v>
      </c>
      <c r="D447" s="11">
        <v>17</v>
      </c>
      <c r="E447" s="11">
        <v>8</v>
      </c>
      <c r="F447" s="11">
        <v>4.4000000000000004</v>
      </c>
      <c r="G447" s="11" t="s">
        <v>1127</v>
      </c>
      <c r="H447" s="11" t="s">
        <v>1115</v>
      </c>
      <c r="I447" s="11">
        <v>21</v>
      </c>
      <c r="J447" s="11" t="s">
        <v>1232</v>
      </c>
      <c r="K447" s="11" t="s">
        <v>1405</v>
      </c>
      <c r="L447" s="11" t="s">
        <v>1118</v>
      </c>
      <c r="M447" s="11">
        <v>2022</v>
      </c>
    </row>
    <row r="448" spans="2:13" x14ac:dyDescent="0.35">
      <c r="B448" s="11">
        <v>26</v>
      </c>
      <c r="C448" s="11" t="s">
        <v>1113</v>
      </c>
      <c r="D448" s="11">
        <v>29</v>
      </c>
      <c r="E448" s="11">
        <v>3</v>
      </c>
      <c r="F448" s="11">
        <v>1.5</v>
      </c>
      <c r="G448" s="11" t="s">
        <v>1114</v>
      </c>
      <c r="H448" s="11" t="s">
        <v>1115</v>
      </c>
      <c r="I448" s="11">
        <v>33</v>
      </c>
      <c r="J448" s="11" t="s">
        <v>1260</v>
      </c>
      <c r="K448" s="11" t="s">
        <v>1406</v>
      </c>
      <c r="L448" s="11" t="s">
        <v>1118</v>
      </c>
      <c r="M448" s="11">
        <v>2022</v>
      </c>
    </row>
    <row r="449" spans="2:13" x14ac:dyDescent="0.35">
      <c r="B449" s="11">
        <v>23</v>
      </c>
      <c r="C449" s="11" t="s">
        <v>1113</v>
      </c>
      <c r="D449" s="11">
        <v>26</v>
      </c>
      <c r="E449" s="11">
        <v>3</v>
      </c>
      <c r="F449" s="11">
        <v>1.5</v>
      </c>
      <c r="G449" s="11" t="s">
        <v>1127</v>
      </c>
      <c r="H449" s="11" t="s">
        <v>1115</v>
      </c>
      <c r="I449" s="11">
        <v>30</v>
      </c>
      <c r="J449" s="11" t="s">
        <v>1260</v>
      </c>
      <c r="K449" s="11" t="s">
        <v>1407</v>
      </c>
      <c r="L449" s="11" t="s">
        <v>1118</v>
      </c>
      <c r="M449" s="11">
        <v>2022</v>
      </c>
    </row>
    <row r="450" spans="2:13" x14ac:dyDescent="0.35">
      <c r="B450" s="11">
        <v>23</v>
      </c>
      <c r="C450" s="11" t="s">
        <v>1113</v>
      </c>
      <c r="D450" s="11">
        <v>26</v>
      </c>
      <c r="E450" s="11">
        <v>4</v>
      </c>
      <c r="F450" s="11">
        <v>2</v>
      </c>
      <c r="G450" s="11" t="s">
        <v>1114</v>
      </c>
      <c r="H450" s="11" t="s">
        <v>1115</v>
      </c>
      <c r="I450" s="11">
        <v>33</v>
      </c>
      <c r="J450" s="11" t="s">
        <v>1260</v>
      </c>
      <c r="K450" s="11" t="s">
        <v>1408</v>
      </c>
      <c r="L450" s="11" t="s">
        <v>1117</v>
      </c>
      <c r="M450" s="11">
        <v>2022</v>
      </c>
    </row>
    <row r="451" spans="2:13" x14ac:dyDescent="0.35">
      <c r="B451" s="11">
        <v>37</v>
      </c>
      <c r="C451" s="11" t="s">
        <v>1119</v>
      </c>
      <c r="D451" s="11">
        <v>37</v>
      </c>
      <c r="E451" s="11">
        <v>4</v>
      </c>
      <c r="F451" s="11">
        <v>1.6</v>
      </c>
      <c r="G451" s="11" t="s">
        <v>1127</v>
      </c>
      <c r="H451" s="11" t="s">
        <v>1115</v>
      </c>
      <c r="I451" s="11">
        <v>36</v>
      </c>
      <c r="J451" s="11" t="s">
        <v>1209</v>
      </c>
      <c r="K451" s="11" t="s">
        <v>1409</v>
      </c>
      <c r="L451" s="11" t="s">
        <v>1118</v>
      </c>
      <c r="M451" s="11">
        <v>2022</v>
      </c>
    </row>
    <row r="452" spans="2:13" x14ac:dyDescent="0.35">
      <c r="B452" s="11">
        <v>38</v>
      </c>
      <c r="C452" s="11" t="s">
        <v>1119</v>
      </c>
      <c r="D452" s="11">
        <v>38</v>
      </c>
      <c r="E452" s="11">
        <v>4</v>
      </c>
      <c r="F452" s="11">
        <v>1.6</v>
      </c>
      <c r="G452" s="11" t="s">
        <v>1127</v>
      </c>
      <c r="H452" s="11" t="s">
        <v>1115</v>
      </c>
      <c r="I452" s="11">
        <v>38</v>
      </c>
      <c r="J452" s="11" t="s">
        <v>1209</v>
      </c>
      <c r="K452" s="11" t="s">
        <v>1410</v>
      </c>
      <c r="L452" s="11" t="s">
        <v>1118</v>
      </c>
      <c r="M452" s="11">
        <v>2022</v>
      </c>
    </row>
    <row r="453" spans="2:13" x14ac:dyDescent="0.35">
      <c r="B453" s="11">
        <v>17</v>
      </c>
      <c r="C453" s="11" t="s">
        <v>1123</v>
      </c>
      <c r="D453" s="11">
        <v>20</v>
      </c>
      <c r="E453" s="11">
        <v>8</v>
      </c>
      <c r="F453" s="11">
        <v>4.4000000000000004</v>
      </c>
      <c r="G453" s="11" t="s">
        <v>1127</v>
      </c>
      <c r="H453" s="11" t="s">
        <v>1115</v>
      </c>
      <c r="I453" s="11">
        <v>25</v>
      </c>
      <c r="J453" s="11" t="s">
        <v>1232</v>
      </c>
      <c r="K453" s="11" t="s">
        <v>1411</v>
      </c>
      <c r="L453" s="11" t="s">
        <v>1118</v>
      </c>
      <c r="M453" s="11">
        <v>2022</v>
      </c>
    </row>
    <row r="454" spans="2:13" x14ac:dyDescent="0.35">
      <c r="B454" s="11">
        <v>17</v>
      </c>
      <c r="C454" s="11" t="s">
        <v>1123</v>
      </c>
      <c r="D454" s="11">
        <v>19</v>
      </c>
      <c r="E454" s="11">
        <v>8</v>
      </c>
      <c r="F454" s="11">
        <v>4.4000000000000004</v>
      </c>
      <c r="G454" s="11" t="s">
        <v>1127</v>
      </c>
      <c r="H454" s="11" t="s">
        <v>1115</v>
      </c>
      <c r="I454" s="11">
        <v>24</v>
      </c>
      <c r="J454" s="11" t="s">
        <v>1232</v>
      </c>
      <c r="K454" s="11" t="s">
        <v>1412</v>
      </c>
      <c r="L454" s="11" t="s">
        <v>1118</v>
      </c>
      <c r="M454" s="11">
        <v>2022</v>
      </c>
    </row>
    <row r="455" spans="2:13" x14ac:dyDescent="0.35">
      <c r="B455" s="11">
        <v>18</v>
      </c>
      <c r="C455" s="11" t="s">
        <v>1156</v>
      </c>
      <c r="D455" s="11">
        <v>19</v>
      </c>
      <c r="E455" s="11">
        <v>4</v>
      </c>
      <c r="F455" s="11">
        <v>2</v>
      </c>
      <c r="G455" s="11" t="s">
        <v>1121</v>
      </c>
      <c r="H455" s="11" t="s">
        <v>1115</v>
      </c>
      <c r="I455" s="11">
        <v>21</v>
      </c>
      <c r="J455" s="11" t="s">
        <v>1356</v>
      </c>
      <c r="K455" s="11" t="s">
        <v>1413</v>
      </c>
      <c r="L455" s="11" t="s">
        <v>1118</v>
      </c>
      <c r="M455" s="11">
        <v>2023</v>
      </c>
    </row>
    <row r="456" spans="2:13" x14ac:dyDescent="0.35">
      <c r="B456" s="11">
        <v>25</v>
      </c>
      <c r="C456" s="11" t="s">
        <v>1119</v>
      </c>
      <c r="D456" s="11">
        <v>28</v>
      </c>
      <c r="E456" s="11">
        <v>4</v>
      </c>
      <c r="F456" s="11">
        <v>2.5</v>
      </c>
      <c r="G456" s="11" t="s">
        <v>1114</v>
      </c>
      <c r="H456" s="11" t="s">
        <v>1115</v>
      </c>
      <c r="I456" s="11">
        <v>32</v>
      </c>
      <c r="J456" s="11" t="s">
        <v>1137</v>
      </c>
      <c r="K456" s="11" t="s">
        <v>1245</v>
      </c>
      <c r="L456" s="11" t="s">
        <v>1118</v>
      </c>
      <c r="M456" s="11">
        <v>2023</v>
      </c>
    </row>
    <row r="457" spans="2:13" x14ac:dyDescent="0.35">
      <c r="B457" s="11">
        <v>23</v>
      </c>
      <c r="C457" s="11" t="s">
        <v>1119</v>
      </c>
      <c r="D457" s="11">
        <v>25</v>
      </c>
      <c r="E457" s="11">
        <v>4</v>
      </c>
      <c r="F457" s="11">
        <v>2.5</v>
      </c>
      <c r="G457" s="11" t="s">
        <v>1127</v>
      </c>
      <c r="H457" s="11" t="s">
        <v>1115</v>
      </c>
      <c r="I457" s="11">
        <v>28</v>
      </c>
      <c r="J457" s="11" t="s">
        <v>1137</v>
      </c>
      <c r="K457" s="11" t="s">
        <v>1247</v>
      </c>
      <c r="L457" s="11" t="s">
        <v>1118</v>
      </c>
      <c r="M457" s="11">
        <v>2023</v>
      </c>
    </row>
    <row r="458" spans="2:13" x14ac:dyDescent="0.35">
      <c r="B458" s="11">
        <v>19</v>
      </c>
      <c r="C458" s="11" t="s">
        <v>1156</v>
      </c>
      <c r="D458" s="11">
        <v>21</v>
      </c>
      <c r="E458" s="11">
        <v>4</v>
      </c>
      <c r="F458" s="11">
        <v>2</v>
      </c>
      <c r="G458" s="11" t="s">
        <v>1121</v>
      </c>
      <c r="H458" s="11" t="s">
        <v>1115</v>
      </c>
      <c r="I458" s="11">
        <v>22</v>
      </c>
      <c r="J458" s="11" t="s">
        <v>1356</v>
      </c>
      <c r="K458" s="11" t="s">
        <v>1414</v>
      </c>
      <c r="L458" s="11" t="s">
        <v>1118</v>
      </c>
      <c r="M458" s="11">
        <v>2023</v>
      </c>
    </row>
    <row r="459" spans="2:13" x14ac:dyDescent="0.35">
      <c r="B459" s="11">
        <v>19</v>
      </c>
      <c r="C459" s="11" t="s">
        <v>1156</v>
      </c>
      <c r="D459" s="11">
        <v>22</v>
      </c>
      <c r="E459" s="11">
        <v>6</v>
      </c>
      <c r="F459" s="11">
        <v>3</v>
      </c>
      <c r="G459" s="11" t="s">
        <v>1121</v>
      </c>
      <c r="H459" s="11" t="s">
        <v>1115</v>
      </c>
      <c r="I459" s="11">
        <v>25</v>
      </c>
      <c r="J459" s="11" t="s">
        <v>1356</v>
      </c>
      <c r="K459" s="11" t="s">
        <v>1415</v>
      </c>
      <c r="L459" s="11" t="s">
        <v>1118</v>
      </c>
      <c r="M459" s="11">
        <v>2023</v>
      </c>
    </row>
    <row r="460" spans="2:13" x14ac:dyDescent="0.35">
      <c r="B460" s="11">
        <v>17</v>
      </c>
      <c r="C460" s="11" t="s">
        <v>1156</v>
      </c>
      <c r="D460" s="11">
        <v>18</v>
      </c>
      <c r="E460" s="11">
        <v>4</v>
      </c>
      <c r="F460" s="11">
        <v>2</v>
      </c>
      <c r="G460" s="11" t="s">
        <v>1121</v>
      </c>
      <c r="H460" s="11" t="s">
        <v>1115</v>
      </c>
      <c r="I460" s="11">
        <v>20</v>
      </c>
      <c r="J460" s="11" t="s">
        <v>1356</v>
      </c>
      <c r="K460" s="11" t="s">
        <v>1416</v>
      </c>
      <c r="L460" s="11" t="s">
        <v>1118</v>
      </c>
      <c r="M460" s="11">
        <v>2023</v>
      </c>
    </row>
    <row r="461" spans="2:13" x14ac:dyDescent="0.35">
      <c r="B461" s="11">
        <v>18</v>
      </c>
      <c r="C461" s="11" t="s">
        <v>1156</v>
      </c>
      <c r="D461" s="11">
        <v>20</v>
      </c>
      <c r="E461" s="11">
        <v>6</v>
      </c>
      <c r="F461" s="11">
        <v>3</v>
      </c>
      <c r="G461" s="11" t="s">
        <v>1121</v>
      </c>
      <c r="H461" s="11" t="s">
        <v>1115</v>
      </c>
      <c r="I461" s="11">
        <v>23</v>
      </c>
      <c r="J461" s="11" t="s">
        <v>1356</v>
      </c>
      <c r="K461" s="11" t="s">
        <v>1417</v>
      </c>
      <c r="L461" s="11" t="s">
        <v>1118</v>
      </c>
      <c r="M461" s="11">
        <v>2023</v>
      </c>
    </row>
    <row r="462" spans="2:13" x14ac:dyDescent="0.35">
      <c r="B462" s="11">
        <v>18</v>
      </c>
      <c r="C462" s="11" t="s">
        <v>1156</v>
      </c>
      <c r="D462" s="11">
        <v>20</v>
      </c>
      <c r="E462" s="11">
        <v>6</v>
      </c>
      <c r="F462" s="11">
        <v>3</v>
      </c>
      <c r="G462" s="11" t="s">
        <v>1121</v>
      </c>
      <c r="H462" s="11" t="s">
        <v>1115</v>
      </c>
      <c r="I462" s="11">
        <v>23</v>
      </c>
      <c r="J462" s="11" t="s">
        <v>1356</v>
      </c>
      <c r="K462" s="11" t="s">
        <v>1418</v>
      </c>
      <c r="L462" s="11" t="s">
        <v>1118</v>
      </c>
      <c r="M462" s="11">
        <v>2023</v>
      </c>
    </row>
    <row r="463" spans="2:13" x14ac:dyDescent="0.35">
      <c r="B463" s="11">
        <v>15</v>
      </c>
      <c r="C463" s="11" t="s">
        <v>1156</v>
      </c>
      <c r="D463" s="11">
        <v>16</v>
      </c>
      <c r="E463" s="11">
        <v>8</v>
      </c>
      <c r="F463" s="11">
        <v>5</v>
      </c>
      <c r="G463" s="11" t="s">
        <v>1121</v>
      </c>
      <c r="H463" s="11" t="s">
        <v>1115</v>
      </c>
      <c r="I463" s="11">
        <v>19</v>
      </c>
      <c r="J463" s="11" t="s">
        <v>1356</v>
      </c>
      <c r="K463" s="11" t="s">
        <v>1413</v>
      </c>
      <c r="L463" s="11" t="s">
        <v>1118</v>
      </c>
      <c r="M463" s="11">
        <v>2023</v>
      </c>
    </row>
    <row r="464" spans="2:13" x14ac:dyDescent="0.35">
      <c r="B464" s="11">
        <v>14</v>
      </c>
      <c r="C464" s="11" t="s">
        <v>1156</v>
      </c>
      <c r="D464" s="11">
        <v>16</v>
      </c>
      <c r="E464" s="11">
        <v>8</v>
      </c>
      <c r="F464" s="11">
        <v>5</v>
      </c>
      <c r="G464" s="11" t="s">
        <v>1121</v>
      </c>
      <c r="H464" s="11" t="s">
        <v>1115</v>
      </c>
      <c r="I464" s="11">
        <v>19</v>
      </c>
      <c r="J464" s="11" t="s">
        <v>1356</v>
      </c>
      <c r="K464" s="11" t="s">
        <v>1416</v>
      </c>
      <c r="L464" s="11" t="s">
        <v>1118</v>
      </c>
      <c r="M464" s="11">
        <v>2023</v>
      </c>
    </row>
    <row r="465" spans="2:13" x14ac:dyDescent="0.35">
      <c r="B465" s="11">
        <v>20</v>
      </c>
      <c r="C465" s="11" t="s">
        <v>1119</v>
      </c>
      <c r="D465" s="11">
        <v>22</v>
      </c>
      <c r="E465" s="11">
        <v>4</v>
      </c>
      <c r="F465" s="11">
        <v>2</v>
      </c>
      <c r="G465" s="11" t="s">
        <v>1127</v>
      </c>
      <c r="H465" s="11" t="s">
        <v>1115</v>
      </c>
      <c r="I465" s="11">
        <v>27</v>
      </c>
      <c r="J465" s="11" t="s">
        <v>1356</v>
      </c>
      <c r="K465" s="11" t="s">
        <v>1419</v>
      </c>
      <c r="L465" s="11" t="s">
        <v>1118</v>
      </c>
      <c r="M465" s="11">
        <v>2023</v>
      </c>
    </row>
    <row r="466" spans="2:13" x14ac:dyDescent="0.35">
      <c r="B466" s="11">
        <v>19</v>
      </c>
      <c r="C466" s="11" t="s">
        <v>1119</v>
      </c>
      <c r="D466" s="11">
        <v>20</v>
      </c>
      <c r="E466" s="11">
        <v>4</v>
      </c>
      <c r="F466" s="11">
        <v>2</v>
      </c>
      <c r="G466" s="11" t="s">
        <v>1127</v>
      </c>
      <c r="H466" s="11" t="s">
        <v>1115</v>
      </c>
      <c r="I466" s="11">
        <v>23</v>
      </c>
      <c r="J466" s="11" t="s">
        <v>1356</v>
      </c>
      <c r="K466" s="11" t="s">
        <v>1420</v>
      </c>
      <c r="L466" s="11" t="s">
        <v>1118</v>
      </c>
      <c r="M466" s="11">
        <v>2023</v>
      </c>
    </row>
    <row r="467" spans="2:13" x14ac:dyDescent="0.35">
      <c r="B467" s="11">
        <v>16</v>
      </c>
      <c r="C467" s="11" t="s">
        <v>1141</v>
      </c>
      <c r="D467" s="11">
        <v>18</v>
      </c>
      <c r="E467" s="11">
        <v>8</v>
      </c>
      <c r="F467" s="11">
        <v>5</v>
      </c>
      <c r="G467" s="11" t="s">
        <v>1127</v>
      </c>
      <c r="H467" s="11" t="s">
        <v>1115</v>
      </c>
      <c r="I467" s="11">
        <v>24</v>
      </c>
      <c r="J467" s="11" t="s">
        <v>1194</v>
      </c>
      <c r="K467" s="11" t="s">
        <v>1220</v>
      </c>
      <c r="L467" s="11" t="s">
        <v>1118</v>
      </c>
      <c r="M467" s="11">
        <v>2023</v>
      </c>
    </row>
    <row r="468" spans="2:13" x14ac:dyDescent="0.35">
      <c r="B468" s="11">
        <v>16</v>
      </c>
      <c r="C468" s="11" t="s">
        <v>1141</v>
      </c>
      <c r="D468" s="11">
        <v>18</v>
      </c>
      <c r="E468" s="11">
        <v>8</v>
      </c>
      <c r="F468" s="11">
        <v>5</v>
      </c>
      <c r="G468" s="11" t="s">
        <v>1127</v>
      </c>
      <c r="H468" s="11" t="s">
        <v>1115</v>
      </c>
      <c r="I468" s="11">
        <v>24</v>
      </c>
      <c r="J468" s="11" t="s">
        <v>1194</v>
      </c>
      <c r="K468" s="11" t="s">
        <v>1221</v>
      </c>
      <c r="L468" s="11" t="s">
        <v>1118</v>
      </c>
      <c r="M468" s="11">
        <v>2023</v>
      </c>
    </row>
    <row r="469" spans="2:13" x14ac:dyDescent="0.35">
      <c r="B469" s="11">
        <v>17</v>
      </c>
      <c r="C469" s="11" t="s">
        <v>1141</v>
      </c>
      <c r="D469" s="11">
        <v>19</v>
      </c>
      <c r="E469" s="11">
        <v>8</v>
      </c>
      <c r="F469" s="11">
        <v>5</v>
      </c>
      <c r="G469" s="11" t="s">
        <v>1124</v>
      </c>
      <c r="H469" s="11" t="s">
        <v>1115</v>
      </c>
      <c r="I469" s="11">
        <v>24</v>
      </c>
      <c r="J469" s="11" t="s">
        <v>1194</v>
      </c>
      <c r="K469" s="11" t="s">
        <v>1421</v>
      </c>
      <c r="L469" s="11" t="s">
        <v>1118</v>
      </c>
      <c r="M469" s="11">
        <v>2023</v>
      </c>
    </row>
    <row r="470" spans="2:13" x14ac:dyDescent="0.35">
      <c r="B470" s="11">
        <v>17</v>
      </c>
      <c r="C470" s="11" t="s">
        <v>1141</v>
      </c>
      <c r="D470" s="11">
        <v>19</v>
      </c>
      <c r="E470" s="11">
        <v>8</v>
      </c>
      <c r="F470" s="11">
        <v>5</v>
      </c>
      <c r="G470" s="11" t="s">
        <v>1124</v>
      </c>
      <c r="H470" s="11" t="s">
        <v>1115</v>
      </c>
      <c r="I470" s="11">
        <v>24</v>
      </c>
      <c r="J470" s="11" t="s">
        <v>1194</v>
      </c>
      <c r="K470" s="11" t="s">
        <v>1422</v>
      </c>
      <c r="L470" s="11" t="s">
        <v>1118</v>
      </c>
      <c r="M470" s="11">
        <v>2023</v>
      </c>
    </row>
    <row r="471" spans="2:13" x14ac:dyDescent="0.35">
      <c r="B471" s="11">
        <v>16</v>
      </c>
      <c r="C471" s="11" t="s">
        <v>1141</v>
      </c>
      <c r="D471" s="11">
        <v>18</v>
      </c>
      <c r="E471" s="11">
        <v>8</v>
      </c>
      <c r="F471" s="11">
        <v>5</v>
      </c>
      <c r="G471" s="11" t="s">
        <v>1127</v>
      </c>
      <c r="H471" s="11" t="s">
        <v>1115</v>
      </c>
      <c r="I471" s="11">
        <v>24</v>
      </c>
      <c r="J471" s="11" t="s">
        <v>1194</v>
      </c>
      <c r="K471" s="11" t="s">
        <v>1423</v>
      </c>
      <c r="L471" s="11" t="s">
        <v>1118</v>
      </c>
      <c r="M471" s="11">
        <v>2023</v>
      </c>
    </row>
    <row r="472" spans="2:13" x14ac:dyDescent="0.35">
      <c r="B472" s="11">
        <v>16</v>
      </c>
      <c r="C472" s="11" t="s">
        <v>1141</v>
      </c>
      <c r="D472" s="11">
        <v>18</v>
      </c>
      <c r="E472" s="11">
        <v>8</v>
      </c>
      <c r="F472" s="11">
        <v>5</v>
      </c>
      <c r="G472" s="11" t="s">
        <v>1127</v>
      </c>
      <c r="H472" s="11" t="s">
        <v>1115</v>
      </c>
      <c r="I472" s="11">
        <v>24</v>
      </c>
      <c r="J472" s="11" t="s">
        <v>1194</v>
      </c>
      <c r="K472" s="11" t="s">
        <v>1424</v>
      </c>
      <c r="L472" s="11" t="s">
        <v>1118</v>
      </c>
      <c r="M472" s="11">
        <v>2023</v>
      </c>
    </row>
    <row r="473" spans="2:13" x14ac:dyDescent="0.35">
      <c r="B473" s="11">
        <v>17</v>
      </c>
      <c r="C473" s="11" t="s">
        <v>1160</v>
      </c>
      <c r="D473" s="11">
        <v>20</v>
      </c>
      <c r="E473" s="11">
        <v>6</v>
      </c>
      <c r="F473" s="11">
        <v>3.3</v>
      </c>
      <c r="G473" s="11" t="s">
        <v>1127</v>
      </c>
      <c r="H473" s="11" t="s">
        <v>1115</v>
      </c>
      <c r="I473" s="11">
        <v>26</v>
      </c>
      <c r="J473" s="11" t="s">
        <v>1267</v>
      </c>
      <c r="K473" s="11" t="s">
        <v>1312</v>
      </c>
      <c r="L473" s="11" t="s">
        <v>1118</v>
      </c>
      <c r="M473" s="11">
        <v>2023</v>
      </c>
    </row>
    <row r="474" spans="2:13" x14ac:dyDescent="0.35">
      <c r="B474" s="11">
        <v>18</v>
      </c>
      <c r="C474" s="11" t="s">
        <v>1160</v>
      </c>
      <c r="D474" s="11">
        <v>21</v>
      </c>
      <c r="E474" s="11">
        <v>6</v>
      </c>
      <c r="F474" s="11">
        <v>3.3</v>
      </c>
      <c r="G474" s="11" t="s">
        <v>1124</v>
      </c>
      <c r="H474" s="11" t="s">
        <v>1115</v>
      </c>
      <c r="I474" s="11">
        <v>27</v>
      </c>
      <c r="J474" s="11" t="s">
        <v>1267</v>
      </c>
      <c r="K474" s="11" t="s">
        <v>1313</v>
      </c>
      <c r="L474" s="11" t="s">
        <v>1118</v>
      </c>
      <c r="M474" s="11">
        <v>2023</v>
      </c>
    </row>
    <row r="475" spans="2:13" x14ac:dyDescent="0.35">
      <c r="B475" s="11">
        <v>21</v>
      </c>
      <c r="C475" s="11" t="s">
        <v>1160</v>
      </c>
      <c r="D475" s="11">
        <v>25</v>
      </c>
      <c r="E475" s="11">
        <v>4</v>
      </c>
      <c r="F475" s="11">
        <v>2</v>
      </c>
      <c r="G475" s="11" t="s">
        <v>1124</v>
      </c>
      <c r="H475" s="11" t="s">
        <v>1115</v>
      </c>
      <c r="I475" s="11">
        <v>31</v>
      </c>
      <c r="J475" s="11" t="s">
        <v>1267</v>
      </c>
      <c r="K475" s="11" t="s">
        <v>1313</v>
      </c>
      <c r="L475" s="11" t="s">
        <v>1118</v>
      </c>
      <c r="M475" s="11">
        <v>2023</v>
      </c>
    </row>
    <row r="476" spans="2:13" x14ac:dyDescent="0.35">
      <c r="B476" s="11">
        <v>21</v>
      </c>
      <c r="C476" s="11" t="s">
        <v>1119</v>
      </c>
      <c r="D476" s="11">
        <v>23</v>
      </c>
      <c r="E476" s="11">
        <v>4</v>
      </c>
      <c r="F476" s="11">
        <v>2</v>
      </c>
      <c r="G476" s="11" t="s">
        <v>1127</v>
      </c>
      <c r="H476" s="11" t="s">
        <v>1115</v>
      </c>
      <c r="I476" s="11">
        <v>26</v>
      </c>
      <c r="J476" s="11" t="s">
        <v>1356</v>
      </c>
      <c r="K476" s="11" t="s">
        <v>1425</v>
      </c>
      <c r="L476" s="11" t="s">
        <v>1118</v>
      </c>
      <c r="M476" s="11">
        <v>2023</v>
      </c>
    </row>
    <row r="477" spans="2:13" x14ac:dyDescent="0.35">
      <c r="B477" s="11">
        <v>20</v>
      </c>
      <c r="C477" s="11" t="s">
        <v>1160</v>
      </c>
      <c r="D477" s="11">
        <v>23</v>
      </c>
      <c r="E477" s="11">
        <v>4</v>
      </c>
      <c r="F477" s="11">
        <v>2</v>
      </c>
      <c r="G477" s="11" t="s">
        <v>1127</v>
      </c>
      <c r="H477" s="11" t="s">
        <v>1115</v>
      </c>
      <c r="I477" s="11">
        <v>28</v>
      </c>
      <c r="J477" s="11" t="s">
        <v>1267</v>
      </c>
      <c r="K477" s="11" t="s">
        <v>1312</v>
      </c>
      <c r="L477" s="11" t="s">
        <v>1118</v>
      </c>
      <c r="M477" s="11">
        <v>2023</v>
      </c>
    </row>
    <row r="478" spans="2:13" x14ac:dyDescent="0.35">
      <c r="B478" s="11">
        <v>19</v>
      </c>
      <c r="C478" s="11" t="s">
        <v>1227</v>
      </c>
      <c r="D478" s="11">
        <v>22</v>
      </c>
      <c r="E478" s="11">
        <v>6</v>
      </c>
      <c r="F478" s="11">
        <v>3.5</v>
      </c>
      <c r="G478" s="11" t="s">
        <v>1114</v>
      </c>
      <c r="H478" s="11" t="s">
        <v>1115</v>
      </c>
      <c r="I478" s="11">
        <v>28</v>
      </c>
      <c r="J478" s="11" t="s">
        <v>1202</v>
      </c>
      <c r="K478" s="11" t="s">
        <v>1382</v>
      </c>
      <c r="L478" s="11" t="s">
        <v>1118</v>
      </c>
      <c r="M478" s="11">
        <v>2023</v>
      </c>
    </row>
    <row r="479" spans="2:13" x14ac:dyDescent="0.35">
      <c r="B479" s="11">
        <v>19</v>
      </c>
      <c r="C479" s="11" t="s">
        <v>1119</v>
      </c>
      <c r="D479" s="11">
        <v>22</v>
      </c>
      <c r="E479" s="11">
        <v>4</v>
      </c>
      <c r="F479" s="11">
        <v>2.5</v>
      </c>
      <c r="G479" s="11" t="s">
        <v>1127</v>
      </c>
      <c r="H479" s="11" t="s">
        <v>1115</v>
      </c>
      <c r="I479" s="11">
        <v>26</v>
      </c>
      <c r="J479" s="11" t="s">
        <v>1267</v>
      </c>
      <c r="K479" s="11" t="s">
        <v>1394</v>
      </c>
      <c r="L479" s="11" t="s">
        <v>1118</v>
      </c>
      <c r="M479" s="11">
        <v>2023</v>
      </c>
    </row>
    <row r="480" spans="2:13" x14ac:dyDescent="0.35">
      <c r="B480" s="11">
        <v>22</v>
      </c>
      <c r="C480" s="11" t="s">
        <v>1119</v>
      </c>
      <c r="D480" s="11">
        <v>24</v>
      </c>
      <c r="E480" s="11">
        <v>4</v>
      </c>
      <c r="F480" s="11">
        <v>2.5</v>
      </c>
      <c r="G480" s="11" t="s">
        <v>1127</v>
      </c>
      <c r="H480" s="11" t="s">
        <v>1115</v>
      </c>
      <c r="I480" s="11">
        <v>28</v>
      </c>
      <c r="J480" s="11" t="s">
        <v>1267</v>
      </c>
      <c r="K480" s="11" t="s">
        <v>1394</v>
      </c>
      <c r="L480" s="11" t="s">
        <v>1118</v>
      </c>
      <c r="M480" s="11">
        <v>2023</v>
      </c>
    </row>
    <row r="481" spans="2:13" x14ac:dyDescent="0.35">
      <c r="B481" s="11">
        <v>19</v>
      </c>
      <c r="C481" s="11" t="s">
        <v>1119</v>
      </c>
      <c r="D481" s="11">
        <v>21</v>
      </c>
      <c r="E481" s="11">
        <v>6</v>
      </c>
      <c r="F481" s="11">
        <v>3.5</v>
      </c>
      <c r="G481" s="11" t="s">
        <v>1127</v>
      </c>
      <c r="H481" s="11" t="s">
        <v>1115</v>
      </c>
      <c r="I481" s="11">
        <v>24</v>
      </c>
      <c r="J481" s="11" t="s">
        <v>1267</v>
      </c>
      <c r="K481" s="11" t="s">
        <v>1394</v>
      </c>
      <c r="L481" s="11" t="s">
        <v>1118</v>
      </c>
      <c r="M481" s="11">
        <v>2023</v>
      </c>
    </row>
    <row r="482" spans="2:13" x14ac:dyDescent="0.35">
      <c r="B482" s="11">
        <v>38</v>
      </c>
      <c r="C482" s="11" t="s">
        <v>1119</v>
      </c>
      <c r="D482" s="11">
        <v>38</v>
      </c>
      <c r="E482" s="11">
        <v>4</v>
      </c>
      <c r="F482" s="11">
        <v>1.6</v>
      </c>
      <c r="G482" s="11" t="s">
        <v>1127</v>
      </c>
      <c r="H482" s="11" t="s">
        <v>1115</v>
      </c>
      <c r="I482" s="11">
        <v>38</v>
      </c>
      <c r="J482" s="11" t="s">
        <v>1137</v>
      </c>
      <c r="K482" s="11" t="s">
        <v>1426</v>
      </c>
      <c r="L482" s="11" t="s">
        <v>1118</v>
      </c>
      <c r="M482" s="11">
        <v>2023</v>
      </c>
    </row>
    <row r="483" spans="2:13" x14ac:dyDescent="0.35">
      <c r="B483" s="11">
        <v>42</v>
      </c>
      <c r="C483" s="11" t="s">
        <v>1119</v>
      </c>
      <c r="D483" s="11">
        <v>43</v>
      </c>
      <c r="E483" s="11">
        <v>4</v>
      </c>
      <c r="F483" s="11">
        <v>1.6</v>
      </c>
      <c r="G483" s="11" t="s">
        <v>1114</v>
      </c>
      <c r="H483" s="11" t="s">
        <v>1115</v>
      </c>
      <c r="I483" s="11">
        <v>44</v>
      </c>
      <c r="J483" s="11" t="s">
        <v>1137</v>
      </c>
      <c r="K483" s="11" t="s">
        <v>1427</v>
      </c>
      <c r="L483" s="11" t="s">
        <v>1118</v>
      </c>
      <c r="M483" s="11">
        <v>2023</v>
      </c>
    </row>
    <row r="484" spans="2:13" x14ac:dyDescent="0.35">
      <c r="B484" s="11">
        <v>20</v>
      </c>
      <c r="C484" s="11" t="s">
        <v>1156</v>
      </c>
      <c r="D484" s="11">
        <v>22</v>
      </c>
      <c r="E484" s="11">
        <v>4</v>
      </c>
      <c r="F484" s="11">
        <v>2.5</v>
      </c>
      <c r="G484" s="11" t="s">
        <v>1127</v>
      </c>
      <c r="H484" s="11" t="s">
        <v>1115</v>
      </c>
      <c r="I484" s="11">
        <v>24</v>
      </c>
      <c r="J484" s="11" t="s">
        <v>1267</v>
      </c>
      <c r="K484" s="11" t="s">
        <v>1428</v>
      </c>
      <c r="L484" s="11" t="s">
        <v>1118</v>
      </c>
      <c r="M484" s="11">
        <v>2023</v>
      </c>
    </row>
    <row r="485" spans="2:13" x14ac:dyDescent="0.35">
      <c r="B485" s="11">
        <v>18</v>
      </c>
      <c r="C485" s="11" t="s">
        <v>1156</v>
      </c>
      <c r="D485" s="11">
        <v>20</v>
      </c>
      <c r="E485" s="11">
        <v>6</v>
      </c>
      <c r="F485" s="11">
        <v>3.5</v>
      </c>
      <c r="G485" s="11" t="s">
        <v>1127</v>
      </c>
      <c r="H485" s="11" t="s">
        <v>1115</v>
      </c>
      <c r="I485" s="11">
        <v>23</v>
      </c>
      <c r="J485" s="11" t="s">
        <v>1267</v>
      </c>
      <c r="K485" s="11" t="s">
        <v>1428</v>
      </c>
      <c r="L485" s="11" t="s">
        <v>1118</v>
      </c>
      <c r="M485" s="11">
        <v>2023</v>
      </c>
    </row>
    <row r="486" spans="2:13" x14ac:dyDescent="0.35">
      <c r="B486" s="11">
        <v>29</v>
      </c>
      <c r="C486" s="11" t="s">
        <v>1144</v>
      </c>
      <c r="D486" s="11">
        <v>32</v>
      </c>
      <c r="E486" s="11">
        <v>3</v>
      </c>
      <c r="F486" s="11">
        <v>1.5</v>
      </c>
      <c r="G486" s="11" t="s">
        <v>1114</v>
      </c>
      <c r="H486" s="11" t="s">
        <v>1115</v>
      </c>
      <c r="I486" s="11">
        <v>38</v>
      </c>
      <c r="J486" s="11" t="s">
        <v>1260</v>
      </c>
      <c r="K486" s="11" t="s">
        <v>1328</v>
      </c>
      <c r="L486" s="11" t="s">
        <v>1118</v>
      </c>
      <c r="M486" s="11">
        <v>2023</v>
      </c>
    </row>
    <row r="487" spans="2:13" x14ac:dyDescent="0.35">
      <c r="B487" s="11">
        <v>27</v>
      </c>
      <c r="C487" s="11" t="s">
        <v>1144</v>
      </c>
      <c r="D487" s="11">
        <v>31</v>
      </c>
      <c r="E487" s="11">
        <v>3</v>
      </c>
      <c r="F487" s="11">
        <v>1.5</v>
      </c>
      <c r="G487" s="11" t="s">
        <v>1114</v>
      </c>
      <c r="H487" s="11" t="s">
        <v>1115</v>
      </c>
      <c r="I487" s="11">
        <v>37</v>
      </c>
      <c r="J487" s="11" t="s">
        <v>1260</v>
      </c>
      <c r="K487" s="11" t="s">
        <v>1328</v>
      </c>
      <c r="L487" s="11" t="s">
        <v>1117</v>
      </c>
      <c r="M487" s="11">
        <v>2023</v>
      </c>
    </row>
    <row r="488" spans="2:13" x14ac:dyDescent="0.35">
      <c r="B488" s="11">
        <v>17</v>
      </c>
      <c r="C488" s="11" t="s">
        <v>1123</v>
      </c>
      <c r="D488" s="11">
        <v>19</v>
      </c>
      <c r="E488" s="11">
        <v>8</v>
      </c>
      <c r="F488" s="11">
        <v>4.4000000000000004</v>
      </c>
      <c r="G488" s="11" t="s">
        <v>1127</v>
      </c>
      <c r="H488" s="11" t="s">
        <v>1115</v>
      </c>
      <c r="I488" s="11">
        <v>24</v>
      </c>
      <c r="J488" s="11" t="s">
        <v>1232</v>
      </c>
      <c r="K488" s="11" t="s">
        <v>1411</v>
      </c>
      <c r="L488" s="11" t="s">
        <v>1118</v>
      </c>
      <c r="M488" s="11">
        <v>2023</v>
      </c>
    </row>
    <row r="489" spans="2:13" x14ac:dyDescent="0.35">
      <c r="B489" s="11">
        <v>17</v>
      </c>
      <c r="C489" s="11" t="s">
        <v>1123</v>
      </c>
      <c r="D489" s="11">
        <v>19</v>
      </c>
      <c r="E489" s="11">
        <v>8</v>
      </c>
      <c r="F489" s="11">
        <v>4.4000000000000004</v>
      </c>
      <c r="G489" s="11" t="s">
        <v>1127</v>
      </c>
      <c r="H489" s="11" t="s">
        <v>1115</v>
      </c>
      <c r="I489" s="11">
        <v>24</v>
      </c>
      <c r="J489" s="11" t="s">
        <v>1232</v>
      </c>
      <c r="K489" s="11" t="s">
        <v>1412</v>
      </c>
      <c r="L489" s="11" t="s">
        <v>1118</v>
      </c>
      <c r="M489" s="11">
        <v>2023</v>
      </c>
    </row>
    <row r="490" spans="2:13" x14ac:dyDescent="0.35">
      <c r="B490" s="11">
        <v>15</v>
      </c>
      <c r="C490" s="11" t="s">
        <v>1123</v>
      </c>
      <c r="D490" s="11">
        <v>17</v>
      </c>
      <c r="E490" s="11">
        <v>8</v>
      </c>
      <c r="F490" s="11">
        <v>4.4000000000000004</v>
      </c>
      <c r="G490" s="11" t="s">
        <v>1127</v>
      </c>
      <c r="H490" s="11" t="s">
        <v>1115</v>
      </c>
      <c r="I490" s="11">
        <v>22</v>
      </c>
      <c r="J490" s="11" t="s">
        <v>1232</v>
      </c>
      <c r="K490" s="11" t="s">
        <v>1399</v>
      </c>
      <c r="L490" s="11" t="s">
        <v>1118</v>
      </c>
      <c r="M490" s="11">
        <v>2023</v>
      </c>
    </row>
    <row r="491" spans="2:13" x14ac:dyDescent="0.35">
      <c r="B491" s="11">
        <v>15</v>
      </c>
      <c r="C491" s="11" t="s">
        <v>1123</v>
      </c>
      <c r="D491" s="11">
        <v>17</v>
      </c>
      <c r="E491" s="11">
        <v>8</v>
      </c>
      <c r="F491" s="11">
        <v>4.4000000000000004</v>
      </c>
      <c r="G491" s="11" t="s">
        <v>1127</v>
      </c>
      <c r="H491" s="11" t="s">
        <v>1115</v>
      </c>
      <c r="I491" s="11">
        <v>22</v>
      </c>
      <c r="J491" s="11" t="s">
        <v>1232</v>
      </c>
      <c r="K491" s="11" t="s">
        <v>1400</v>
      </c>
      <c r="L491" s="11" t="s">
        <v>1118</v>
      </c>
      <c r="M491" s="11">
        <v>2023</v>
      </c>
    </row>
    <row r="492" spans="2:13" x14ac:dyDescent="0.35">
      <c r="B492" s="11">
        <v>29</v>
      </c>
      <c r="C492" s="11" t="s">
        <v>1123</v>
      </c>
      <c r="D492" s="11">
        <v>32</v>
      </c>
      <c r="E492" s="11">
        <v>3</v>
      </c>
      <c r="F492" s="11">
        <v>1.5</v>
      </c>
      <c r="G492" s="11" t="s">
        <v>1114</v>
      </c>
      <c r="H492" s="11" t="s">
        <v>1115</v>
      </c>
      <c r="I492" s="11">
        <v>38</v>
      </c>
      <c r="J492" s="11" t="s">
        <v>1260</v>
      </c>
      <c r="K492" s="11" t="s">
        <v>1369</v>
      </c>
      <c r="L492" s="11" t="s">
        <v>1118</v>
      </c>
      <c r="M492" s="11">
        <v>2023</v>
      </c>
    </row>
    <row r="493" spans="2:13" x14ac:dyDescent="0.35">
      <c r="B493" s="11">
        <v>27</v>
      </c>
      <c r="C493" s="11" t="s">
        <v>1123</v>
      </c>
      <c r="D493" s="11">
        <v>31</v>
      </c>
      <c r="E493" s="11">
        <v>3</v>
      </c>
      <c r="F493" s="11">
        <v>1.5</v>
      </c>
      <c r="G493" s="11" t="s">
        <v>1114</v>
      </c>
      <c r="H493" s="11" t="s">
        <v>1115</v>
      </c>
      <c r="I493" s="11">
        <v>37</v>
      </c>
      <c r="J493" s="11" t="s">
        <v>1260</v>
      </c>
      <c r="K493" s="11" t="s">
        <v>1369</v>
      </c>
      <c r="L493" s="11" t="s">
        <v>1117</v>
      </c>
      <c r="M493" s="11">
        <v>2023</v>
      </c>
    </row>
    <row r="494" spans="2:13" x14ac:dyDescent="0.35">
      <c r="B494" s="11">
        <v>29</v>
      </c>
      <c r="C494" s="11" t="s">
        <v>1123</v>
      </c>
      <c r="D494" s="11">
        <v>32</v>
      </c>
      <c r="E494" s="11">
        <v>3</v>
      </c>
      <c r="F494" s="11">
        <v>1.5</v>
      </c>
      <c r="G494" s="11" t="s">
        <v>1114</v>
      </c>
      <c r="H494" s="11" t="s">
        <v>1115</v>
      </c>
      <c r="I494" s="11">
        <v>38</v>
      </c>
      <c r="J494" s="11" t="s">
        <v>1260</v>
      </c>
      <c r="K494" s="11" t="s">
        <v>1370</v>
      </c>
      <c r="L494" s="11" t="s">
        <v>1118</v>
      </c>
      <c r="M494" s="11">
        <v>2023</v>
      </c>
    </row>
    <row r="495" spans="2:13" x14ac:dyDescent="0.35">
      <c r="B495" s="11">
        <v>27</v>
      </c>
      <c r="C495" s="11" t="s">
        <v>1123</v>
      </c>
      <c r="D495" s="11">
        <v>31</v>
      </c>
      <c r="E495" s="11">
        <v>3</v>
      </c>
      <c r="F495" s="11">
        <v>1.5</v>
      </c>
      <c r="G495" s="11" t="s">
        <v>1114</v>
      </c>
      <c r="H495" s="11" t="s">
        <v>1115</v>
      </c>
      <c r="I495" s="11">
        <v>37</v>
      </c>
      <c r="J495" s="11" t="s">
        <v>1260</v>
      </c>
      <c r="K495" s="11" t="s">
        <v>1370</v>
      </c>
      <c r="L495" s="11" t="s">
        <v>1117</v>
      </c>
      <c r="M495" s="11">
        <v>2023</v>
      </c>
    </row>
    <row r="496" spans="2:13" x14ac:dyDescent="0.35">
      <c r="B496" s="11">
        <v>24</v>
      </c>
      <c r="C496" s="11" t="s">
        <v>1113</v>
      </c>
      <c r="D496" s="11">
        <v>27</v>
      </c>
      <c r="E496" s="11">
        <v>4</v>
      </c>
      <c r="F496" s="11">
        <v>2</v>
      </c>
      <c r="G496" s="11" t="s">
        <v>1127</v>
      </c>
      <c r="H496" s="11" t="s">
        <v>1115</v>
      </c>
      <c r="I496" s="11">
        <v>31</v>
      </c>
      <c r="J496" s="11" t="s">
        <v>1232</v>
      </c>
      <c r="K496" s="11" t="s">
        <v>1403</v>
      </c>
      <c r="L496" s="11" t="s">
        <v>1118</v>
      </c>
      <c r="M496" s="11">
        <v>2023</v>
      </c>
    </row>
    <row r="497" spans="2:13" x14ac:dyDescent="0.35">
      <c r="B497" s="11">
        <v>17</v>
      </c>
      <c r="C497" s="11" t="s">
        <v>1113</v>
      </c>
      <c r="D497" s="11">
        <v>19</v>
      </c>
      <c r="E497" s="11">
        <v>8</v>
      </c>
      <c r="F497" s="11">
        <v>4.4000000000000004</v>
      </c>
      <c r="G497" s="11" t="s">
        <v>1127</v>
      </c>
      <c r="H497" s="11" t="s">
        <v>1115</v>
      </c>
      <c r="I497" s="11">
        <v>24</v>
      </c>
      <c r="J497" s="11" t="s">
        <v>1232</v>
      </c>
      <c r="K497" s="11" t="s">
        <v>1429</v>
      </c>
      <c r="L497" s="11" t="s">
        <v>1118</v>
      </c>
      <c r="M497" s="11">
        <v>2023</v>
      </c>
    </row>
    <row r="498" spans="2:13" x14ac:dyDescent="0.35">
      <c r="B498" s="11">
        <v>17</v>
      </c>
      <c r="C498" s="11" t="s">
        <v>1113</v>
      </c>
      <c r="D498" s="11">
        <v>19</v>
      </c>
      <c r="E498" s="11">
        <v>8</v>
      </c>
      <c r="F498" s="11">
        <v>4.4000000000000004</v>
      </c>
      <c r="G498" s="11" t="s">
        <v>1127</v>
      </c>
      <c r="H498" s="11" t="s">
        <v>1115</v>
      </c>
      <c r="I498" s="11">
        <v>24</v>
      </c>
      <c r="J498" s="11" t="s">
        <v>1232</v>
      </c>
      <c r="K498" s="11" t="s">
        <v>1430</v>
      </c>
      <c r="L498" s="11" t="s">
        <v>1118</v>
      </c>
      <c r="M498" s="11">
        <v>2023</v>
      </c>
    </row>
    <row r="499" spans="2:13" x14ac:dyDescent="0.35">
      <c r="B499" s="11">
        <v>15</v>
      </c>
      <c r="C499" s="11" t="s">
        <v>1113</v>
      </c>
      <c r="D499" s="11">
        <v>17</v>
      </c>
      <c r="E499" s="11">
        <v>8</v>
      </c>
      <c r="F499" s="11">
        <v>4.4000000000000004</v>
      </c>
      <c r="G499" s="11" t="s">
        <v>1127</v>
      </c>
      <c r="H499" s="11" t="s">
        <v>1115</v>
      </c>
      <c r="I499" s="11">
        <v>22</v>
      </c>
      <c r="J499" s="11" t="s">
        <v>1232</v>
      </c>
      <c r="K499" s="11" t="s">
        <v>1405</v>
      </c>
      <c r="L499" s="11" t="s">
        <v>1118</v>
      </c>
      <c r="M499" s="11">
        <v>2023</v>
      </c>
    </row>
    <row r="500" spans="2:13" x14ac:dyDescent="0.35">
      <c r="B500" s="11">
        <v>21</v>
      </c>
      <c r="C500" s="11" t="s">
        <v>1113</v>
      </c>
      <c r="D500" s="11">
        <v>24</v>
      </c>
      <c r="E500" s="11">
        <v>4</v>
      </c>
      <c r="F500" s="11">
        <v>2.5</v>
      </c>
      <c r="G500" s="11" t="s">
        <v>1127</v>
      </c>
      <c r="H500" s="11" t="s">
        <v>1115</v>
      </c>
      <c r="I500" s="11">
        <v>29</v>
      </c>
      <c r="J500" s="11" t="s">
        <v>1137</v>
      </c>
      <c r="K500" s="11" t="s">
        <v>1383</v>
      </c>
      <c r="L500" s="11" t="s">
        <v>1118</v>
      </c>
      <c r="M500" s="11">
        <v>2023</v>
      </c>
    </row>
    <row r="501" spans="2:13" x14ac:dyDescent="0.35">
      <c r="B501" s="11">
        <v>22</v>
      </c>
      <c r="C501" s="11" t="s">
        <v>1113</v>
      </c>
      <c r="D501" s="11">
        <v>25</v>
      </c>
      <c r="E501" s="11">
        <v>4</v>
      </c>
      <c r="F501" s="11">
        <v>2.5</v>
      </c>
      <c r="G501" s="11" t="s">
        <v>1124</v>
      </c>
      <c r="H501" s="11" t="s">
        <v>1115</v>
      </c>
      <c r="I501" s="11">
        <v>32</v>
      </c>
      <c r="J501" s="11" t="s">
        <v>1137</v>
      </c>
      <c r="K501" s="11" t="s">
        <v>1384</v>
      </c>
      <c r="L501" s="11" t="s">
        <v>1118</v>
      </c>
      <c r="M501" s="11">
        <v>2023</v>
      </c>
    </row>
    <row r="502" spans="2:13" x14ac:dyDescent="0.35">
      <c r="B502" s="11">
        <v>17</v>
      </c>
      <c r="C502" s="11" t="s">
        <v>1113</v>
      </c>
      <c r="D502" s="11">
        <v>20</v>
      </c>
      <c r="E502" s="11">
        <v>6</v>
      </c>
      <c r="F502" s="11">
        <v>3.3</v>
      </c>
      <c r="G502" s="11" t="s">
        <v>1127</v>
      </c>
      <c r="H502" s="11" t="s">
        <v>1115</v>
      </c>
      <c r="I502" s="11">
        <v>24</v>
      </c>
      <c r="J502" s="11" t="s">
        <v>1137</v>
      </c>
      <c r="K502" s="11" t="s">
        <v>1383</v>
      </c>
      <c r="L502" s="11" t="s">
        <v>1118</v>
      </c>
      <c r="M502" s="11">
        <v>2023</v>
      </c>
    </row>
    <row r="503" spans="2:13" x14ac:dyDescent="0.35">
      <c r="B503" s="11">
        <v>18</v>
      </c>
      <c r="C503" s="11" t="s">
        <v>1113</v>
      </c>
      <c r="D503" s="11">
        <v>20</v>
      </c>
      <c r="E503" s="11">
        <v>6</v>
      </c>
      <c r="F503" s="11">
        <v>3.3</v>
      </c>
      <c r="G503" s="11" t="s">
        <v>1124</v>
      </c>
      <c r="H503" s="11" t="s">
        <v>1115</v>
      </c>
      <c r="I503" s="11">
        <v>25</v>
      </c>
      <c r="J503" s="11" t="s">
        <v>1137</v>
      </c>
      <c r="K503" s="11" t="s">
        <v>1384</v>
      </c>
      <c r="L503" s="11" t="s">
        <v>1118</v>
      </c>
      <c r="M503" s="11">
        <v>2023</v>
      </c>
    </row>
    <row r="504" spans="2:13" x14ac:dyDescent="0.35">
      <c r="B504" s="11">
        <v>26</v>
      </c>
      <c r="C504" s="11" t="s">
        <v>1113</v>
      </c>
      <c r="D504" s="11">
        <v>28</v>
      </c>
      <c r="E504" s="11">
        <v>3</v>
      </c>
      <c r="F504" s="11">
        <v>1.5</v>
      </c>
      <c r="G504" s="11" t="s">
        <v>1114</v>
      </c>
      <c r="H504" s="11" t="s">
        <v>1115</v>
      </c>
      <c r="I504" s="11">
        <v>32</v>
      </c>
      <c r="J504" s="11" t="s">
        <v>1260</v>
      </c>
      <c r="K504" s="11" t="s">
        <v>1406</v>
      </c>
      <c r="L504" s="11" t="s">
        <v>1118</v>
      </c>
      <c r="M504" s="11">
        <v>2023</v>
      </c>
    </row>
    <row r="505" spans="2:13" x14ac:dyDescent="0.35">
      <c r="B505" s="11">
        <v>16</v>
      </c>
      <c r="C505" s="11" t="s">
        <v>1141</v>
      </c>
      <c r="D505" s="11">
        <v>18</v>
      </c>
      <c r="E505" s="11">
        <v>8</v>
      </c>
      <c r="F505" s="11">
        <v>5</v>
      </c>
      <c r="G505" s="11" t="s">
        <v>1127</v>
      </c>
      <c r="H505" s="11" t="s">
        <v>1115</v>
      </c>
      <c r="I505" s="11">
        <v>24</v>
      </c>
      <c r="J505" s="11" t="s">
        <v>1194</v>
      </c>
      <c r="K505" s="11" t="s">
        <v>1220</v>
      </c>
      <c r="L505" s="11" t="s">
        <v>1118</v>
      </c>
      <c r="M505" s="11">
        <v>2024</v>
      </c>
    </row>
    <row r="506" spans="2:13" x14ac:dyDescent="0.35">
      <c r="B506" s="11">
        <v>16</v>
      </c>
      <c r="C506" s="11" t="s">
        <v>1141</v>
      </c>
      <c r="D506" s="11">
        <v>18</v>
      </c>
      <c r="E506" s="11">
        <v>8</v>
      </c>
      <c r="F506" s="11">
        <v>5</v>
      </c>
      <c r="G506" s="11" t="s">
        <v>1127</v>
      </c>
      <c r="H506" s="11" t="s">
        <v>1115</v>
      </c>
      <c r="I506" s="11">
        <v>24</v>
      </c>
      <c r="J506" s="11" t="s">
        <v>1194</v>
      </c>
      <c r="K506" s="11" t="s">
        <v>1221</v>
      </c>
      <c r="L506" s="11" t="s">
        <v>1118</v>
      </c>
      <c r="M506" s="11">
        <v>2024</v>
      </c>
    </row>
    <row r="507" spans="2:13" x14ac:dyDescent="0.35">
      <c r="B507" s="11">
        <v>17</v>
      </c>
      <c r="C507" s="11" t="s">
        <v>1141</v>
      </c>
      <c r="D507" s="11">
        <v>19</v>
      </c>
      <c r="E507" s="11">
        <v>8</v>
      </c>
      <c r="F507" s="11">
        <v>5</v>
      </c>
      <c r="G507" s="11" t="s">
        <v>1124</v>
      </c>
      <c r="H507" s="11" t="s">
        <v>1115</v>
      </c>
      <c r="I507" s="11">
        <v>24</v>
      </c>
      <c r="J507" s="11" t="s">
        <v>1194</v>
      </c>
      <c r="K507" s="11" t="s">
        <v>1421</v>
      </c>
      <c r="L507" s="11" t="s">
        <v>1118</v>
      </c>
      <c r="M507" s="11">
        <v>2024</v>
      </c>
    </row>
    <row r="508" spans="2:13" x14ac:dyDescent="0.35">
      <c r="B508" s="11">
        <v>17</v>
      </c>
      <c r="C508" s="11" t="s">
        <v>1141</v>
      </c>
      <c r="D508" s="11">
        <v>19</v>
      </c>
      <c r="E508" s="11">
        <v>8</v>
      </c>
      <c r="F508" s="11">
        <v>5</v>
      </c>
      <c r="G508" s="11" t="s">
        <v>1124</v>
      </c>
      <c r="H508" s="11" t="s">
        <v>1115</v>
      </c>
      <c r="I508" s="11">
        <v>24</v>
      </c>
      <c r="J508" s="11" t="s">
        <v>1194</v>
      </c>
      <c r="K508" s="11" t="s">
        <v>1422</v>
      </c>
      <c r="L508" s="11" t="s">
        <v>1118</v>
      </c>
      <c r="M508" s="11">
        <v>2024</v>
      </c>
    </row>
    <row r="509" spans="2:13" x14ac:dyDescent="0.35">
      <c r="B509" s="11">
        <v>16</v>
      </c>
      <c r="C509" s="11" t="s">
        <v>1141</v>
      </c>
      <c r="D509" s="11">
        <v>18</v>
      </c>
      <c r="E509" s="11">
        <v>8</v>
      </c>
      <c r="F509" s="11">
        <v>5</v>
      </c>
      <c r="G509" s="11" t="s">
        <v>1127</v>
      </c>
      <c r="H509" s="11" t="s">
        <v>1115</v>
      </c>
      <c r="I509" s="11">
        <v>24</v>
      </c>
      <c r="J509" s="11" t="s">
        <v>1194</v>
      </c>
      <c r="K509" s="11" t="s">
        <v>1423</v>
      </c>
      <c r="L509" s="11" t="s">
        <v>1118</v>
      </c>
      <c r="M509" s="11">
        <v>2024</v>
      </c>
    </row>
    <row r="510" spans="2:13" x14ac:dyDescent="0.35">
      <c r="B510" s="11">
        <v>16</v>
      </c>
      <c r="C510" s="11" t="s">
        <v>1141</v>
      </c>
      <c r="D510" s="11">
        <v>18</v>
      </c>
      <c r="E510" s="11">
        <v>8</v>
      </c>
      <c r="F510" s="11">
        <v>5</v>
      </c>
      <c r="G510" s="11" t="s">
        <v>1127</v>
      </c>
      <c r="H510" s="11" t="s">
        <v>1115</v>
      </c>
      <c r="I510" s="11">
        <v>24</v>
      </c>
      <c r="J510" s="11" t="s">
        <v>1194</v>
      </c>
      <c r="K510" s="11" t="s">
        <v>1424</v>
      </c>
      <c r="L510" s="11" t="s">
        <v>1118</v>
      </c>
      <c r="M510" s="11">
        <v>2024</v>
      </c>
    </row>
    <row r="511" spans="2:13" x14ac:dyDescent="0.35">
      <c r="B511" s="11">
        <v>28</v>
      </c>
      <c r="C511" s="11" t="s">
        <v>1172</v>
      </c>
      <c r="D511" s="11">
        <v>30</v>
      </c>
      <c r="E511" s="11">
        <v>3</v>
      </c>
      <c r="F511" s="11">
        <v>1.2</v>
      </c>
      <c r="G511" s="11" t="s">
        <v>1114</v>
      </c>
      <c r="H511" s="11" t="s">
        <v>1115</v>
      </c>
      <c r="I511" s="11">
        <v>32</v>
      </c>
      <c r="J511" s="11" t="s">
        <v>1175</v>
      </c>
      <c r="K511" s="11" t="s">
        <v>1431</v>
      </c>
      <c r="L511" s="11" t="s">
        <v>1118</v>
      </c>
      <c r="M511" s="11">
        <v>2024</v>
      </c>
    </row>
    <row r="512" spans="2:13" x14ac:dyDescent="0.35">
      <c r="B512" s="11">
        <v>20</v>
      </c>
      <c r="C512" s="11" t="s">
        <v>1119</v>
      </c>
      <c r="D512" s="11">
        <v>23</v>
      </c>
      <c r="E512" s="11">
        <v>4</v>
      </c>
      <c r="F512" s="11">
        <v>2</v>
      </c>
      <c r="G512" s="11" t="s">
        <v>1127</v>
      </c>
      <c r="H512" s="11" t="s">
        <v>1115</v>
      </c>
      <c r="I512" s="11">
        <v>26</v>
      </c>
      <c r="J512" s="11" t="s">
        <v>1194</v>
      </c>
      <c r="K512" s="11" t="s">
        <v>1352</v>
      </c>
      <c r="L512" s="11" t="s">
        <v>1118</v>
      </c>
      <c r="M512" s="11">
        <v>2024</v>
      </c>
    </row>
    <row r="513" spans="2:13" x14ac:dyDescent="0.35">
      <c r="B513" s="11">
        <v>20</v>
      </c>
      <c r="C513" s="11" t="s">
        <v>1119</v>
      </c>
      <c r="D513" s="11">
        <v>22</v>
      </c>
      <c r="E513" s="11">
        <v>4</v>
      </c>
      <c r="F513" s="11">
        <v>2</v>
      </c>
      <c r="G513" s="11" t="s">
        <v>1127</v>
      </c>
      <c r="H513" s="11" t="s">
        <v>1115</v>
      </c>
      <c r="I513" s="11">
        <v>27</v>
      </c>
      <c r="J513" s="11" t="s">
        <v>1356</v>
      </c>
      <c r="K513" s="11" t="s">
        <v>1419</v>
      </c>
      <c r="L513" s="11" t="s">
        <v>1118</v>
      </c>
      <c r="M513" s="11">
        <v>2024</v>
      </c>
    </row>
    <row r="514" spans="2:13" x14ac:dyDescent="0.35">
      <c r="B514" s="11">
        <v>19</v>
      </c>
      <c r="C514" s="11" t="s">
        <v>1119</v>
      </c>
      <c r="D514" s="11">
        <v>20</v>
      </c>
      <c r="E514" s="11">
        <v>4</v>
      </c>
      <c r="F514" s="11">
        <v>2</v>
      </c>
      <c r="G514" s="11" t="s">
        <v>1127</v>
      </c>
      <c r="H514" s="11" t="s">
        <v>1115</v>
      </c>
      <c r="I514" s="11">
        <v>23</v>
      </c>
      <c r="J514" s="11" t="s">
        <v>1356</v>
      </c>
      <c r="K514" s="11" t="s">
        <v>1420</v>
      </c>
      <c r="L514" s="11" t="s">
        <v>1118</v>
      </c>
      <c r="M514" s="11">
        <v>2024</v>
      </c>
    </row>
    <row r="515" spans="2:13" x14ac:dyDescent="0.35">
      <c r="B515" s="11">
        <v>28</v>
      </c>
      <c r="C515" s="11" t="s">
        <v>1119</v>
      </c>
      <c r="D515" s="11">
        <v>31</v>
      </c>
      <c r="E515" s="11">
        <v>4</v>
      </c>
      <c r="F515" s="11">
        <v>2</v>
      </c>
      <c r="G515" s="11" t="s">
        <v>1114</v>
      </c>
      <c r="H515" s="11" t="s">
        <v>1115</v>
      </c>
      <c r="I515" s="11">
        <v>34</v>
      </c>
      <c r="J515" s="11" t="s">
        <v>1137</v>
      </c>
      <c r="K515" s="11" t="s">
        <v>1362</v>
      </c>
      <c r="L515" s="11" t="s">
        <v>1118</v>
      </c>
      <c r="M515" s="11">
        <v>2024</v>
      </c>
    </row>
    <row r="516" spans="2:13" x14ac:dyDescent="0.35">
      <c r="B516" s="11">
        <v>25</v>
      </c>
      <c r="C516" s="11" t="s">
        <v>1119</v>
      </c>
      <c r="D516" s="11">
        <v>26</v>
      </c>
      <c r="E516" s="11">
        <v>4</v>
      </c>
      <c r="F516" s="11">
        <v>1.6</v>
      </c>
      <c r="G516" s="11" t="s">
        <v>1127</v>
      </c>
      <c r="H516" s="11" t="s">
        <v>1115</v>
      </c>
      <c r="I516" s="11">
        <v>27</v>
      </c>
      <c r="J516" s="11" t="s">
        <v>1137</v>
      </c>
      <c r="K516" s="11" t="s">
        <v>1363</v>
      </c>
      <c r="L516" s="11" t="s">
        <v>1118</v>
      </c>
      <c r="M516" s="11">
        <v>2024</v>
      </c>
    </row>
    <row r="517" spans="2:13" x14ac:dyDescent="0.35">
      <c r="B517" s="11">
        <v>27</v>
      </c>
      <c r="C517" s="11" t="s">
        <v>1119</v>
      </c>
      <c r="D517" s="11">
        <v>29</v>
      </c>
      <c r="E517" s="11">
        <v>4</v>
      </c>
      <c r="F517" s="11">
        <v>2</v>
      </c>
      <c r="G517" s="11" t="s">
        <v>1127</v>
      </c>
      <c r="H517" s="11" t="s">
        <v>1115</v>
      </c>
      <c r="I517" s="11">
        <v>31</v>
      </c>
      <c r="J517" s="11" t="s">
        <v>1137</v>
      </c>
      <c r="K517" s="11" t="s">
        <v>1363</v>
      </c>
      <c r="L517" s="11" t="s">
        <v>1118</v>
      </c>
      <c r="M517" s="11">
        <v>2024</v>
      </c>
    </row>
    <row r="518" spans="2:13" x14ac:dyDescent="0.35">
      <c r="B518" s="11">
        <v>29</v>
      </c>
      <c r="C518" s="11" t="s">
        <v>1144</v>
      </c>
      <c r="D518" s="11">
        <v>32</v>
      </c>
      <c r="E518" s="11">
        <v>3</v>
      </c>
      <c r="F518" s="11">
        <v>1.5</v>
      </c>
      <c r="G518" s="11" t="s">
        <v>1114</v>
      </c>
      <c r="H518" s="11" t="s">
        <v>1115</v>
      </c>
      <c r="I518" s="11">
        <v>38</v>
      </c>
      <c r="J518" s="11" t="s">
        <v>1260</v>
      </c>
      <c r="K518" s="11" t="s">
        <v>1328</v>
      </c>
      <c r="L518" s="11" t="s">
        <v>1118</v>
      </c>
      <c r="M518" s="11">
        <v>2024</v>
      </c>
    </row>
    <row r="519" spans="2:13" x14ac:dyDescent="0.35">
      <c r="B519" s="11">
        <v>27</v>
      </c>
      <c r="C519" s="11" t="s">
        <v>1144</v>
      </c>
      <c r="D519" s="11">
        <v>31</v>
      </c>
      <c r="E519" s="11">
        <v>3</v>
      </c>
      <c r="F519" s="11">
        <v>1.5</v>
      </c>
      <c r="G519" s="11" t="s">
        <v>1114</v>
      </c>
      <c r="H519" s="11" t="s">
        <v>1115</v>
      </c>
      <c r="I519" s="11">
        <v>38</v>
      </c>
      <c r="J519" s="11" t="s">
        <v>1260</v>
      </c>
      <c r="K519" s="11" t="s">
        <v>1328</v>
      </c>
      <c r="L519" s="11" t="s">
        <v>1117</v>
      </c>
      <c r="M519" s="11">
        <v>2024</v>
      </c>
    </row>
    <row r="520" spans="2:13" x14ac:dyDescent="0.35">
      <c r="B520" s="11">
        <v>27</v>
      </c>
      <c r="C520" s="11" t="s">
        <v>1144</v>
      </c>
      <c r="D520" s="11">
        <v>30</v>
      </c>
      <c r="E520" s="11">
        <v>4</v>
      </c>
      <c r="F520" s="11">
        <v>2</v>
      </c>
      <c r="G520" s="11" t="s">
        <v>1114</v>
      </c>
      <c r="H520" s="11" t="s">
        <v>1115</v>
      </c>
      <c r="I520" s="11">
        <v>36</v>
      </c>
      <c r="J520" s="11" t="s">
        <v>1260</v>
      </c>
      <c r="K520" s="11" t="s">
        <v>1329</v>
      </c>
      <c r="L520" s="11" t="s">
        <v>1118</v>
      </c>
      <c r="M520" s="11">
        <v>2024</v>
      </c>
    </row>
    <row r="521" spans="2:13" x14ac:dyDescent="0.35">
      <c r="B521" s="11">
        <v>23</v>
      </c>
      <c r="C521" s="11" t="s">
        <v>1144</v>
      </c>
      <c r="D521" s="11">
        <v>27</v>
      </c>
      <c r="E521" s="11">
        <v>4</v>
      </c>
      <c r="F521" s="11">
        <v>2</v>
      </c>
      <c r="G521" s="11" t="s">
        <v>1114</v>
      </c>
      <c r="H521" s="11" t="s">
        <v>1115</v>
      </c>
      <c r="I521" s="11">
        <v>33</v>
      </c>
      <c r="J521" s="11" t="s">
        <v>1260</v>
      </c>
      <c r="K521" s="11" t="s">
        <v>1329</v>
      </c>
      <c r="L521" s="11" t="s">
        <v>1117</v>
      </c>
      <c r="M521" s="11">
        <v>2024</v>
      </c>
    </row>
    <row r="522" spans="2:13" x14ac:dyDescent="0.35">
      <c r="B522" s="11">
        <v>25</v>
      </c>
      <c r="C522" s="11" t="s">
        <v>1144</v>
      </c>
      <c r="D522" s="11">
        <v>28</v>
      </c>
      <c r="E522" s="11">
        <v>4</v>
      </c>
      <c r="F522" s="11">
        <v>2</v>
      </c>
      <c r="G522" s="11" t="s">
        <v>1114</v>
      </c>
      <c r="H522" s="11" t="s">
        <v>1115</v>
      </c>
      <c r="I522" s="11">
        <v>33</v>
      </c>
      <c r="J522" s="11" t="s">
        <v>1260</v>
      </c>
      <c r="K522" s="11" t="s">
        <v>1261</v>
      </c>
      <c r="L522" s="11" t="s">
        <v>1118</v>
      </c>
      <c r="M522" s="11">
        <v>2024</v>
      </c>
    </row>
    <row r="523" spans="2:13" x14ac:dyDescent="0.35">
      <c r="B523" s="11">
        <v>25</v>
      </c>
      <c r="C523" s="11" t="s">
        <v>1123</v>
      </c>
      <c r="D523" s="11">
        <v>28</v>
      </c>
      <c r="E523" s="11">
        <v>4</v>
      </c>
      <c r="F523" s="11">
        <v>2</v>
      </c>
      <c r="G523" s="11" t="s">
        <v>1124</v>
      </c>
      <c r="H523" s="11" t="s">
        <v>1115</v>
      </c>
      <c r="I523" s="11">
        <v>34</v>
      </c>
      <c r="J523" s="11" t="s">
        <v>1232</v>
      </c>
      <c r="K523" s="11" t="s">
        <v>1287</v>
      </c>
      <c r="L523" s="11" t="s">
        <v>1118</v>
      </c>
      <c r="M523" s="11">
        <v>2024</v>
      </c>
    </row>
    <row r="524" spans="2:13" x14ac:dyDescent="0.35">
      <c r="B524" s="11">
        <v>23</v>
      </c>
      <c r="C524" s="11" t="s">
        <v>1123</v>
      </c>
      <c r="D524" s="11">
        <v>27</v>
      </c>
      <c r="E524" s="11">
        <v>4</v>
      </c>
      <c r="F524" s="11">
        <v>2</v>
      </c>
      <c r="G524" s="11" t="s">
        <v>1127</v>
      </c>
      <c r="H524" s="11" t="s">
        <v>1115</v>
      </c>
      <c r="I524" s="11">
        <v>33</v>
      </c>
      <c r="J524" s="11" t="s">
        <v>1232</v>
      </c>
      <c r="K524" s="11" t="s">
        <v>1288</v>
      </c>
      <c r="L524" s="11" t="s">
        <v>1118</v>
      </c>
      <c r="M524" s="11">
        <v>2024</v>
      </c>
    </row>
    <row r="525" spans="2:13" x14ac:dyDescent="0.35">
      <c r="B525" s="11">
        <v>25</v>
      </c>
      <c r="C525" s="11" t="s">
        <v>1123</v>
      </c>
      <c r="D525" s="11">
        <v>28</v>
      </c>
      <c r="E525" s="11">
        <v>4</v>
      </c>
      <c r="F525" s="11">
        <v>2</v>
      </c>
      <c r="G525" s="11" t="s">
        <v>1124</v>
      </c>
      <c r="H525" s="11" t="s">
        <v>1115</v>
      </c>
      <c r="I525" s="11">
        <v>34</v>
      </c>
      <c r="J525" s="11" t="s">
        <v>1232</v>
      </c>
      <c r="K525" s="11" t="s">
        <v>1277</v>
      </c>
      <c r="L525" s="11" t="s">
        <v>1118</v>
      </c>
      <c r="M525" s="11">
        <v>2024</v>
      </c>
    </row>
    <row r="526" spans="2:13" x14ac:dyDescent="0.35">
      <c r="B526" s="11">
        <v>23</v>
      </c>
      <c r="C526" s="11" t="s">
        <v>1123</v>
      </c>
      <c r="D526" s="11">
        <v>27</v>
      </c>
      <c r="E526" s="11">
        <v>4</v>
      </c>
      <c r="F526" s="11">
        <v>2</v>
      </c>
      <c r="G526" s="11" t="s">
        <v>1127</v>
      </c>
      <c r="H526" s="11" t="s">
        <v>1115</v>
      </c>
      <c r="I526" s="11">
        <v>33</v>
      </c>
      <c r="J526" s="11" t="s">
        <v>1232</v>
      </c>
      <c r="K526" s="11" t="s">
        <v>1278</v>
      </c>
      <c r="L526" s="11" t="s">
        <v>1118</v>
      </c>
      <c r="M526" s="11">
        <v>2024</v>
      </c>
    </row>
    <row r="527" spans="2:13" x14ac:dyDescent="0.35">
      <c r="B527" s="11">
        <v>16</v>
      </c>
      <c r="C527" s="11" t="s">
        <v>1123</v>
      </c>
      <c r="D527" s="11">
        <v>19</v>
      </c>
      <c r="E527" s="11">
        <v>6</v>
      </c>
      <c r="F527" s="11">
        <v>3</v>
      </c>
      <c r="G527" s="11" t="s">
        <v>1124</v>
      </c>
      <c r="H527" s="11" t="s">
        <v>1115</v>
      </c>
      <c r="I527" s="11">
        <v>23</v>
      </c>
      <c r="J527" s="11" t="s">
        <v>1232</v>
      </c>
      <c r="K527" s="11" t="s">
        <v>1295</v>
      </c>
      <c r="L527" s="11" t="s">
        <v>1117</v>
      </c>
      <c r="M527" s="11">
        <v>2024</v>
      </c>
    </row>
    <row r="528" spans="2:13" x14ac:dyDescent="0.35">
      <c r="B528" s="11">
        <v>16</v>
      </c>
      <c r="C528" s="11" t="s">
        <v>1123</v>
      </c>
      <c r="D528" s="11">
        <v>19</v>
      </c>
      <c r="E528" s="11">
        <v>6</v>
      </c>
      <c r="F528" s="11">
        <v>3</v>
      </c>
      <c r="G528" s="11" t="s">
        <v>1124</v>
      </c>
      <c r="H528" s="11" t="s">
        <v>1115</v>
      </c>
      <c r="I528" s="11">
        <v>23</v>
      </c>
      <c r="J528" s="11" t="s">
        <v>1232</v>
      </c>
      <c r="K528" s="11" t="s">
        <v>1432</v>
      </c>
      <c r="L528" s="11" t="s">
        <v>1118</v>
      </c>
      <c r="M528" s="11">
        <v>2024</v>
      </c>
    </row>
    <row r="529" spans="2:13" x14ac:dyDescent="0.35">
      <c r="B529" s="11">
        <v>16</v>
      </c>
      <c r="C529" s="11" t="s">
        <v>1123</v>
      </c>
      <c r="D529" s="11">
        <v>18</v>
      </c>
      <c r="E529" s="11">
        <v>6</v>
      </c>
      <c r="F529" s="11">
        <v>3</v>
      </c>
      <c r="G529" s="11" t="s">
        <v>1127</v>
      </c>
      <c r="H529" s="11" t="s">
        <v>1115</v>
      </c>
      <c r="I529" s="11">
        <v>22</v>
      </c>
      <c r="J529" s="11" t="s">
        <v>1232</v>
      </c>
      <c r="K529" s="11" t="s">
        <v>1433</v>
      </c>
      <c r="L529" s="11" t="s">
        <v>1118</v>
      </c>
      <c r="M529" s="11">
        <v>2024</v>
      </c>
    </row>
    <row r="530" spans="2:13" x14ac:dyDescent="0.35">
      <c r="B530" s="11">
        <v>16</v>
      </c>
      <c r="C530" s="11" t="s">
        <v>1123</v>
      </c>
      <c r="D530" s="11">
        <v>18</v>
      </c>
      <c r="E530" s="11">
        <v>6</v>
      </c>
      <c r="F530" s="11">
        <v>3</v>
      </c>
      <c r="G530" s="11" t="s">
        <v>1127</v>
      </c>
      <c r="H530" s="11" t="s">
        <v>1115</v>
      </c>
      <c r="I530" s="11">
        <v>23</v>
      </c>
      <c r="J530" s="11" t="s">
        <v>1232</v>
      </c>
      <c r="K530" s="11" t="s">
        <v>1434</v>
      </c>
      <c r="L530" s="11" t="s">
        <v>1118</v>
      </c>
      <c r="M530" s="11">
        <v>2024</v>
      </c>
    </row>
    <row r="531" spans="2:13" x14ac:dyDescent="0.35">
      <c r="B531" s="11">
        <v>21</v>
      </c>
      <c r="C531" s="11" t="s">
        <v>1123</v>
      </c>
      <c r="D531" s="11">
        <v>24</v>
      </c>
      <c r="E531" s="11">
        <v>6</v>
      </c>
      <c r="F531" s="11">
        <v>3</v>
      </c>
      <c r="G531" s="11" t="s">
        <v>1124</v>
      </c>
      <c r="H531" s="11" t="s">
        <v>1115</v>
      </c>
      <c r="I531" s="11">
        <v>29</v>
      </c>
      <c r="J531" s="11" t="s">
        <v>1232</v>
      </c>
      <c r="K531" s="11" t="s">
        <v>1435</v>
      </c>
      <c r="L531" s="11" t="s">
        <v>1118</v>
      </c>
      <c r="M531" s="11">
        <v>2024</v>
      </c>
    </row>
    <row r="532" spans="2:13" x14ac:dyDescent="0.35">
      <c r="B532" s="11">
        <v>21</v>
      </c>
      <c r="C532" s="11" t="s">
        <v>1123</v>
      </c>
      <c r="D532" s="11">
        <v>24</v>
      </c>
      <c r="E532" s="11">
        <v>6</v>
      </c>
      <c r="F532" s="11">
        <v>3</v>
      </c>
      <c r="G532" s="11" t="s">
        <v>1127</v>
      </c>
      <c r="H532" s="11" t="s">
        <v>1115</v>
      </c>
      <c r="I532" s="11">
        <v>29</v>
      </c>
      <c r="J532" s="11" t="s">
        <v>1232</v>
      </c>
      <c r="K532" s="11" t="s">
        <v>1436</v>
      </c>
      <c r="L532" s="11" t="s">
        <v>1118</v>
      </c>
      <c r="M532" s="11">
        <v>2024</v>
      </c>
    </row>
    <row r="533" spans="2:13" x14ac:dyDescent="0.35">
      <c r="B533" s="11">
        <v>21</v>
      </c>
      <c r="C533" s="11" t="s">
        <v>1123</v>
      </c>
      <c r="D533" s="11">
        <v>24</v>
      </c>
      <c r="E533" s="11">
        <v>6</v>
      </c>
      <c r="F533" s="11">
        <v>3</v>
      </c>
      <c r="G533" s="11" t="s">
        <v>1124</v>
      </c>
      <c r="H533" s="11" t="s">
        <v>1115</v>
      </c>
      <c r="I533" s="11">
        <v>29</v>
      </c>
      <c r="J533" s="11" t="s">
        <v>1232</v>
      </c>
      <c r="K533" s="11" t="s">
        <v>1437</v>
      </c>
      <c r="L533" s="11" t="s">
        <v>1118</v>
      </c>
      <c r="M533" s="11">
        <v>2024</v>
      </c>
    </row>
    <row r="534" spans="2:13" x14ac:dyDescent="0.35">
      <c r="B534" s="11">
        <v>21</v>
      </c>
      <c r="C534" s="11" t="s">
        <v>1123</v>
      </c>
      <c r="D534" s="11">
        <v>24</v>
      </c>
      <c r="E534" s="11">
        <v>6</v>
      </c>
      <c r="F534" s="11">
        <v>3</v>
      </c>
      <c r="G534" s="11" t="s">
        <v>1127</v>
      </c>
      <c r="H534" s="11" t="s">
        <v>1115</v>
      </c>
      <c r="I534" s="11">
        <v>29</v>
      </c>
      <c r="J534" s="11" t="s">
        <v>1232</v>
      </c>
      <c r="K534" s="11" t="s">
        <v>1438</v>
      </c>
      <c r="L534" s="11" t="s">
        <v>1118</v>
      </c>
      <c r="M534" s="11">
        <v>2024</v>
      </c>
    </row>
    <row r="535" spans="2:13" x14ac:dyDescent="0.35">
      <c r="B535" s="11">
        <v>17</v>
      </c>
      <c r="C535" s="11" t="s">
        <v>1123</v>
      </c>
      <c r="D535" s="11">
        <v>19</v>
      </c>
      <c r="E535" s="11">
        <v>8</v>
      </c>
      <c r="F535" s="11">
        <v>4.4000000000000004</v>
      </c>
      <c r="G535" s="11" t="s">
        <v>1127</v>
      </c>
      <c r="H535" s="11" t="s">
        <v>1115</v>
      </c>
      <c r="I535" s="11">
        <v>24</v>
      </c>
      <c r="J535" s="11" t="s">
        <v>1232</v>
      </c>
      <c r="K535" s="11" t="s">
        <v>1411</v>
      </c>
      <c r="L535" s="11" t="s">
        <v>1118</v>
      </c>
      <c r="M535" s="11">
        <v>2024</v>
      </c>
    </row>
    <row r="536" spans="2:13" x14ac:dyDescent="0.35">
      <c r="B536" s="11">
        <v>17</v>
      </c>
      <c r="C536" s="11" t="s">
        <v>1123</v>
      </c>
      <c r="D536" s="11">
        <v>19</v>
      </c>
      <c r="E536" s="11">
        <v>8</v>
      </c>
      <c r="F536" s="11">
        <v>4.4000000000000004</v>
      </c>
      <c r="G536" s="11" t="s">
        <v>1127</v>
      </c>
      <c r="H536" s="11" t="s">
        <v>1115</v>
      </c>
      <c r="I536" s="11">
        <v>24</v>
      </c>
      <c r="J536" s="11" t="s">
        <v>1232</v>
      </c>
      <c r="K536" s="11" t="s">
        <v>1412</v>
      </c>
      <c r="L536" s="11" t="s">
        <v>1118</v>
      </c>
      <c r="M536" s="11">
        <v>2024</v>
      </c>
    </row>
    <row r="537" spans="2:13" x14ac:dyDescent="0.35">
      <c r="B537" s="11">
        <v>15</v>
      </c>
      <c r="C537" s="11" t="s">
        <v>1123</v>
      </c>
      <c r="D537" s="11">
        <v>17</v>
      </c>
      <c r="E537" s="11">
        <v>8</v>
      </c>
      <c r="F537" s="11">
        <v>4.4000000000000004</v>
      </c>
      <c r="G537" s="11" t="s">
        <v>1127</v>
      </c>
      <c r="H537" s="11" t="s">
        <v>1115</v>
      </c>
      <c r="I537" s="11">
        <v>22</v>
      </c>
      <c r="J537" s="11" t="s">
        <v>1232</v>
      </c>
      <c r="K537" s="11" t="s">
        <v>1399</v>
      </c>
      <c r="L537" s="11" t="s">
        <v>1118</v>
      </c>
      <c r="M537" s="11">
        <v>2024</v>
      </c>
    </row>
    <row r="538" spans="2:13" x14ac:dyDescent="0.35">
      <c r="B538" s="11">
        <v>15</v>
      </c>
      <c r="C538" s="11" t="s">
        <v>1123</v>
      </c>
      <c r="D538" s="11">
        <v>17</v>
      </c>
      <c r="E538" s="11">
        <v>8</v>
      </c>
      <c r="F538" s="11">
        <v>4.4000000000000004</v>
      </c>
      <c r="G538" s="11" t="s">
        <v>1127</v>
      </c>
      <c r="H538" s="11" t="s">
        <v>1115</v>
      </c>
      <c r="I538" s="11">
        <v>22</v>
      </c>
      <c r="J538" s="11" t="s">
        <v>1232</v>
      </c>
      <c r="K538" s="11" t="s">
        <v>1400</v>
      </c>
      <c r="L538" s="11" t="s">
        <v>1118</v>
      </c>
      <c r="M538" s="11">
        <v>2024</v>
      </c>
    </row>
    <row r="539" spans="2:13" x14ac:dyDescent="0.35">
      <c r="B539" s="11">
        <v>29</v>
      </c>
      <c r="C539" s="11" t="s">
        <v>1123</v>
      </c>
      <c r="D539" s="11">
        <v>32</v>
      </c>
      <c r="E539" s="11">
        <v>3</v>
      </c>
      <c r="F539" s="11">
        <v>1.5</v>
      </c>
      <c r="G539" s="11" t="s">
        <v>1114</v>
      </c>
      <c r="H539" s="11" t="s">
        <v>1115</v>
      </c>
      <c r="I539" s="11">
        <v>38</v>
      </c>
      <c r="J539" s="11" t="s">
        <v>1260</v>
      </c>
      <c r="K539" s="11" t="s">
        <v>1369</v>
      </c>
      <c r="L539" s="11" t="s">
        <v>1118</v>
      </c>
      <c r="M539" s="11">
        <v>2024</v>
      </c>
    </row>
    <row r="540" spans="2:13" x14ac:dyDescent="0.35">
      <c r="B540" s="11">
        <v>27</v>
      </c>
      <c r="C540" s="11" t="s">
        <v>1123</v>
      </c>
      <c r="D540" s="11">
        <v>31</v>
      </c>
      <c r="E540" s="11">
        <v>3</v>
      </c>
      <c r="F540" s="11">
        <v>1.5</v>
      </c>
      <c r="G540" s="11" t="s">
        <v>1114</v>
      </c>
      <c r="H540" s="11" t="s">
        <v>1115</v>
      </c>
      <c r="I540" s="11">
        <v>38</v>
      </c>
      <c r="J540" s="11" t="s">
        <v>1260</v>
      </c>
      <c r="K540" s="11" t="s">
        <v>1369</v>
      </c>
      <c r="L540" s="11" t="s">
        <v>1117</v>
      </c>
      <c r="M540" s="11">
        <v>2024</v>
      </c>
    </row>
    <row r="541" spans="2:13" x14ac:dyDescent="0.35">
      <c r="B541" s="11">
        <v>29</v>
      </c>
      <c r="C541" s="11" t="s">
        <v>1123</v>
      </c>
      <c r="D541" s="11">
        <v>32</v>
      </c>
      <c r="E541" s="11">
        <v>3</v>
      </c>
      <c r="F541" s="11">
        <v>1.5</v>
      </c>
      <c r="G541" s="11" t="s">
        <v>1114</v>
      </c>
      <c r="H541" s="11" t="s">
        <v>1115</v>
      </c>
      <c r="I541" s="11">
        <v>38</v>
      </c>
      <c r="J541" s="11" t="s">
        <v>1260</v>
      </c>
      <c r="K541" s="11" t="s">
        <v>1370</v>
      </c>
      <c r="L541" s="11" t="s">
        <v>1118</v>
      </c>
      <c r="M541" s="11">
        <v>2024</v>
      </c>
    </row>
    <row r="542" spans="2:13" x14ac:dyDescent="0.35">
      <c r="B542" s="11">
        <v>27</v>
      </c>
      <c r="C542" s="11" t="s">
        <v>1123</v>
      </c>
      <c r="D542" s="11">
        <v>31</v>
      </c>
      <c r="E542" s="11">
        <v>3</v>
      </c>
      <c r="F542" s="11">
        <v>1.5</v>
      </c>
      <c r="G542" s="11" t="s">
        <v>1114</v>
      </c>
      <c r="H542" s="11" t="s">
        <v>1115</v>
      </c>
      <c r="I542" s="11">
        <v>38</v>
      </c>
      <c r="J542" s="11" t="s">
        <v>1260</v>
      </c>
      <c r="K542" s="11" t="s">
        <v>1370</v>
      </c>
      <c r="L542" s="11" t="s">
        <v>1117</v>
      </c>
      <c r="M542" s="11">
        <v>2024</v>
      </c>
    </row>
    <row r="543" spans="2:13" x14ac:dyDescent="0.35">
      <c r="B543" s="11">
        <v>28</v>
      </c>
      <c r="C543" s="11" t="s">
        <v>1123</v>
      </c>
      <c r="D543" s="11">
        <v>31</v>
      </c>
      <c r="E543" s="11">
        <v>4</v>
      </c>
      <c r="F543" s="11">
        <v>2</v>
      </c>
      <c r="G543" s="11" t="s">
        <v>1114</v>
      </c>
      <c r="H543" s="11" t="s">
        <v>1115</v>
      </c>
      <c r="I543" s="11">
        <v>38</v>
      </c>
      <c r="J543" s="11" t="s">
        <v>1260</v>
      </c>
      <c r="K543" s="11" t="s">
        <v>1371</v>
      </c>
      <c r="L543" s="11" t="s">
        <v>1118</v>
      </c>
      <c r="M543" s="11">
        <v>2024</v>
      </c>
    </row>
    <row r="544" spans="2:13" x14ac:dyDescent="0.35">
      <c r="B544" s="11">
        <v>23</v>
      </c>
      <c r="C544" s="11" t="s">
        <v>1123</v>
      </c>
      <c r="D544" s="11">
        <v>27</v>
      </c>
      <c r="E544" s="11">
        <v>4</v>
      </c>
      <c r="F544" s="11">
        <v>2</v>
      </c>
      <c r="G544" s="11" t="s">
        <v>1114</v>
      </c>
      <c r="H544" s="11" t="s">
        <v>1115</v>
      </c>
      <c r="I544" s="11">
        <v>33</v>
      </c>
      <c r="J544" s="11" t="s">
        <v>1260</v>
      </c>
      <c r="K544" s="11" t="s">
        <v>1371</v>
      </c>
      <c r="L544" s="11" t="s">
        <v>1117</v>
      </c>
      <c r="M544" s="11">
        <v>2024</v>
      </c>
    </row>
    <row r="545" spans="2:13" x14ac:dyDescent="0.35">
      <c r="B545" s="11">
        <v>28</v>
      </c>
      <c r="C545" s="11" t="s">
        <v>1123</v>
      </c>
      <c r="D545" s="11">
        <v>31</v>
      </c>
      <c r="E545" s="11">
        <v>4</v>
      </c>
      <c r="F545" s="11">
        <v>2</v>
      </c>
      <c r="G545" s="11" t="s">
        <v>1114</v>
      </c>
      <c r="H545" s="11" t="s">
        <v>1115</v>
      </c>
      <c r="I545" s="11">
        <v>38</v>
      </c>
      <c r="J545" s="11" t="s">
        <v>1260</v>
      </c>
      <c r="K545" s="11" t="s">
        <v>1372</v>
      </c>
      <c r="L545" s="11" t="s">
        <v>1118</v>
      </c>
      <c r="M545" s="11">
        <v>2024</v>
      </c>
    </row>
    <row r="546" spans="2:13" x14ac:dyDescent="0.35">
      <c r="B546" s="11">
        <v>23</v>
      </c>
      <c r="C546" s="11" t="s">
        <v>1123</v>
      </c>
      <c r="D546" s="11">
        <v>27</v>
      </c>
      <c r="E546" s="11">
        <v>4</v>
      </c>
      <c r="F546" s="11">
        <v>2</v>
      </c>
      <c r="G546" s="11" t="s">
        <v>1114</v>
      </c>
      <c r="H546" s="11" t="s">
        <v>1115</v>
      </c>
      <c r="I546" s="11">
        <v>33</v>
      </c>
      <c r="J546" s="11" t="s">
        <v>1260</v>
      </c>
      <c r="K546" s="11" t="s">
        <v>1372</v>
      </c>
      <c r="L546" s="11" t="s">
        <v>1117</v>
      </c>
      <c r="M546" s="11">
        <v>2024</v>
      </c>
    </row>
    <row r="547" spans="2:13" x14ac:dyDescent="0.35">
      <c r="B547" s="11">
        <v>26</v>
      </c>
      <c r="C547" s="11" t="s">
        <v>1123</v>
      </c>
      <c r="D547" s="11">
        <v>29</v>
      </c>
      <c r="E547" s="11">
        <v>4</v>
      </c>
      <c r="F547" s="11">
        <v>2</v>
      </c>
      <c r="G547" s="11" t="s">
        <v>1114</v>
      </c>
      <c r="H547" s="11" t="s">
        <v>1115</v>
      </c>
      <c r="I547" s="11">
        <v>35</v>
      </c>
      <c r="J547" s="11" t="s">
        <v>1260</v>
      </c>
      <c r="K547" s="11" t="s">
        <v>1401</v>
      </c>
      <c r="L547" s="11" t="s">
        <v>1118</v>
      </c>
      <c r="M547" s="11">
        <v>2024</v>
      </c>
    </row>
    <row r="548" spans="2:13" x14ac:dyDescent="0.35">
      <c r="B548" s="11">
        <v>22</v>
      </c>
      <c r="C548" s="11" t="s">
        <v>1123</v>
      </c>
      <c r="D548" s="11">
        <v>26</v>
      </c>
      <c r="E548" s="11">
        <v>4</v>
      </c>
      <c r="F548" s="11">
        <v>2</v>
      </c>
      <c r="G548" s="11" t="s">
        <v>1114</v>
      </c>
      <c r="H548" s="11" t="s">
        <v>1115</v>
      </c>
      <c r="I548" s="11">
        <v>32</v>
      </c>
      <c r="J548" s="11" t="s">
        <v>1260</v>
      </c>
      <c r="K548" s="11" t="s">
        <v>1401</v>
      </c>
      <c r="L548" s="11" t="s">
        <v>1117</v>
      </c>
      <c r="M548" s="11">
        <v>2024</v>
      </c>
    </row>
    <row r="549" spans="2:13" x14ac:dyDescent="0.35">
      <c r="B549" s="11">
        <v>25</v>
      </c>
      <c r="C549" s="11" t="s">
        <v>1160</v>
      </c>
      <c r="D549" s="11">
        <v>28</v>
      </c>
      <c r="E549" s="11">
        <v>4</v>
      </c>
      <c r="F549" s="11">
        <v>2</v>
      </c>
      <c r="G549" s="11" t="s">
        <v>1124</v>
      </c>
      <c r="H549" s="11" t="s">
        <v>1115</v>
      </c>
      <c r="I549" s="11">
        <v>34</v>
      </c>
      <c r="J549" s="11" t="s">
        <v>1232</v>
      </c>
      <c r="K549" s="11" t="s">
        <v>1289</v>
      </c>
      <c r="L549" s="11" t="s">
        <v>1118</v>
      </c>
      <c r="M549" s="11">
        <v>2024</v>
      </c>
    </row>
    <row r="550" spans="2:13" x14ac:dyDescent="0.35">
      <c r="B550" s="11">
        <v>23</v>
      </c>
      <c r="C550" s="11" t="s">
        <v>1160</v>
      </c>
      <c r="D550" s="11">
        <v>27</v>
      </c>
      <c r="E550" s="11">
        <v>4</v>
      </c>
      <c r="F550" s="11">
        <v>2</v>
      </c>
      <c r="G550" s="11" t="s">
        <v>1127</v>
      </c>
      <c r="H550" s="11" t="s">
        <v>1115</v>
      </c>
      <c r="I550" s="11">
        <v>33</v>
      </c>
      <c r="J550" s="11" t="s">
        <v>1232</v>
      </c>
      <c r="K550" s="11" t="s">
        <v>1290</v>
      </c>
      <c r="L550" s="11" t="s">
        <v>1118</v>
      </c>
      <c r="M550" s="11">
        <v>2024</v>
      </c>
    </row>
    <row r="551" spans="2:13" x14ac:dyDescent="0.35">
      <c r="B551" s="11">
        <v>21</v>
      </c>
      <c r="C551" s="11" t="s">
        <v>1113</v>
      </c>
      <c r="D551" s="11">
        <v>24</v>
      </c>
      <c r="E551" s="11">
        <v>6</v>
      </c>
      <c r="F551" s="11">
        <v>3</v>
      </c>
      <c r="G551" s="11" t="s">
        <v>1124</v>
      </c>
      <c r="H551" s="11" t="s">
        <v>1115</v>
      </c>
      <c r="I551" s="11">
        <v>29</v>
      </c>
      <c r="J551" s="11" t="s">
        <v>1232</v>
      </c>
      <c r="K551" s="11" t="s">
        <v>1439</v>
      </c>
      <c r="L551" s="11" t="s">
        <v>1118</v>
      </c>
      <c r="M551" s="11">
        <v>2024</v>
      </c>
    </row>
    <row r="552" spans="2:13" x14ac:dyDescent="0.35">
      <c r="B552" s="11">
        <v>21</v>
      </c>
      <c r="C552" s="11" t="s">
        <v>1113</v>
      </c>
      <c r="D552" s="11">
        <v>24</v>
      </c>
      <c r="E552" s="11">
        <v>6</v>
      </c>
      <c r="F552" s="11">
        <v>3</v>
      </c>
      <c r="G552" s="11" t="s">
        <v>1127</v>
      </c>
      <c r="H552" s="11" t="s">
        <v>1115</v>
      </c>
      <c r="I552" s="11">
        <v>29</v>
      </c>
      <c r="J552" s="11" t="s">
        <v>1232</v>
      </c>
      <c r="K552" s="11" t="s">
        <v>1440</v>
      </c>
      <c r="L552" s="11" t="s">
        <v>1118</v>
      </c>
      <c r="M552" s="11">
        <v>2024</v>
      </c>
    </row>
    <row r="553" spans="2:13" x14ac:dyDescent="0.35">
      <c r="B553" s="11">
        <v>17</v>
      </c>
      <c r="C553" s="11" t="s">
        <v>1113</v>
      </c>
      <c r="D553" s="11">
        <v>19</v>
      </c>
      <c r="E553" s="11">
        <v>8</v>
      </c>
      <c r="F553" s="11">
        <v>4.4000000000000004</v>
      </c>
      <c r="G553" s="11" t="s">
        <v>1127</v>
      </c>
      <c r="H553" s="11" t="s">
        <v>1115</v>
      </c>
      <c r="I553" s="11">
        <v>24</v>
      </c>
      <c r="J553" s="11" t="s">
        <v>1232</v>
      </c>
      <c r="K553" s="11" t="s">
        <v>1429</v>
      </c>
      <c r="L553" s="11" t="s">
        <v>1118</v>
      </c>
      <c r="M553" s="11">
        <v>2024</v>
      </c>
    </row>
    <row r="554" spans="2:13" x14ac:dyDescent="0.35">
      <c r="B554" s="11">
        <v>17</v>
      </c>
      <c r="C554" s="11" t="s">
        <v>1113</v>
      </c>
      <c r="D554" s="11">
        <v>19</v>
      </c>
      <c r="E554" s="11">
        <v>8</v>
      </c>
      <c r="F554" s="11">
        <v>4.4000000000000004</v>
      </c>
      <c r="G554" s="11" t="s">
        <v>1127</v>
      </c>
      <c r="H554" s="11" t="s">
        <v>1115</v>
      </c>
      <c r="I554" s="11">
        <v>24</v>
      </c>
      <c r="J554" s="11" t="s">
        <v>1232</v>
      </c>
      <c r="K554" s="11" t="s">
        <v>1430</v>
      </c>
      <c r="L554" s="11" t="s">
        <v>1118</v>
      </c>
      <c r="M554" s="11">
        <v>2024</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D17DB-42FB-4D7F-987E-7E25615AC5F0}">
  <sheetPr codeName="Sheet3"/>
  <dimension ref="A1:LH315"/>
  <sheetViews>
    <sheetView topLeftCell="A7" workbookViewId="0">
      <selection activeCell="B21" sqref="B21"/>
    </sheetView>
  </sheetViews>
  <sheetFormatPr defaultRowHeight="14.5" x14ac:dyDescent="0.35"/>
  <cols>
    <col min="1" max="1" width="24.6328125" style="14" bestFit="1" customWidth="1"/>
    <col min="2" max="2" width="18.453125" style="14" bestFit="1" customWidth="1"/>
    <col min="3" max="3" width="15.26953125" style="14" bestFit="1" customWidth="1"/>
    <col min="4" max="4" width="10.7265625" style="14" bestFit="1" customWidth="1"/>
    <col min="5" max="13" width="3.81640625" style="14" bestFit="1" customWidth="1"/>
    <col min="14" max="14" width="2.81640625" style="14" bestFit="1" customWidth="1"/>
    <col min="15" max="17" width="3.81640625" style="14" bestFit="1" customWidth="1"/>
    <col min="18" max="31" width="2.81640625" style="14" bestFit="1" customWidth="1"/>
    <col min="32" max="32" width="3.81640625" style="14" bestFit="1" customWidth="1"/>
    <col min="33" max="34" width="10.7265625" style="14" bestFit="1" customWidth="1"/>
    <col min="35" max="42" width="8.7265625" style="14"/>
    <col min="43" max="43" width="13.54296875" style="14" customWidth="1"/>
    <col min="44" max="44" width="33.36328125" style="14" bestFit="1" customWidth="1"/>
    <col min="45" max="45" width="13.26953125" style="14" bestFit="1" customWidth="1"/>
    <col min="46" max="46" width="8.81640625" style="14" bestFit="1" customWidth="1"/>
    <col min="47" max="47" width="9.81640625" style="14" bestFit="1" customWidth="1"/>
    <col min="48" max="48" width="14.1796875" style="14" bestFit="1" customWidth="1"/>
    <col min="49" max="49" width="9.81640625" style="14" bestFit="1" customWidth="1"/>
    <col min="50" max="50" width="14.08984375" style="14" bestFit="1" customWidth="1"/>
    <col min="51" max="51" width="19.81640625" style="14" bestFit="1" customWidth="1"/>
    <col min="52" max="52" width="15.453125" style="14" bestFit="1" customWidth="1"/>
    <col min="53" max="53" width="19.7265625" style="14" bestFit="1" customWidth="1"/>
    <col min="54" max="54" width="14.1796875" style="14" bestFit="1" customWidth="1"/>
    <col min="55" max="55" width="9.81640625" style="14" bestFit="1" customWidth="1"/>
    <col min="56" max="56" width="14.08984375" style="14" bestFit="1" customWidth="1"/>
    <col min="57" max="57" width="19.81640625" style="14" bestFit="1" customWidth="1"/>
    <col min="58" max="58" width="15.453125" style="14" bestFit="1" customWidth="1"/>
    <col min="59" max="59" width="19.7265625" style="14" bestFit="1" customWidth="1"/>
    <col min="60" max="60" width="14.1796875" style="14" bestFit="1" customWidth="1"/>
    <col min="61" max="61" width="14.08984375" style="14" bestFit="1" customWidth="1"/>
    <col min="62" max="62" width="19.81640625" style="14" bestFit="1" customWidth="1"/>
    <col min="63" max="63" width="19.7265625" style="14" bestFit="1" customWidth="1"/>
    <col min="64" max="64" width="14.1796875" style="14" bestFit="1" customWidth="1"/>
    <col min="65" max="65" width="14.08984375" style="14" bestFit="1" customWidth="1"/>
    <col min="66" max="66" width="19.81640625" style="14" bestFit="1" customWidth="1"/>
    <col min="67" max="67" width="19.7265625" style="14" bestFit="1" customWidth="1"/>
    <col min="68" max="69" width="9.81640625" style="14" bestFit="1" customWidth="1"/>
    <col min="70" max="70" width="14.1796875" style="14" bestFit="1" customWidth="1"/>
    <col min="71" max="71" width="9.81640625" style="14" bestFit="1" customWidth="1"/>
    <col min="72" max="72" width="14.08984375" style="14" bestFit="1" customWidth="1"/>
    <col min="73" max="73" width="19.81640625" style="14" bestFit="1" customWidth="1"/>
    <col min="74" max="74" width="15.453125" style="14" bestFit="1" customWidth="1"/>
    <col min="75" max="75" width="19.7265625" style="14" bestFit="1" customWidth="1"/>
    <col min="76" max="76" width="2.81640625" style="14" bestFit="1" customWidth="1"/>
    <col min="77" max="77" width="9.7265625" style="14" bestFit="1" customWidth="1"/>
    <col min="78" max="78" width="17.7265625" style="14" bestFit="1" customWidth="1"/>
    <col min="79" max="79" width="9.7265625" style="14" bestFit="1" customWidth="1"/>
    <col min="80" max="80" width="18.7265625" style="14" bestFit="1" customWidth="1"/>
    <col min="81" max="82" width="9.7265625" style="14" bestFit="1" customWidth="1"/>
    <col min="83" max="83" width="3.7265625" style="14" bestFit="1" customWidth="1"/>
    <col min="84" max="84" width="24" style="14" bestFit="1" customWidth="1"/>
    <col min="85" max="85" width="8.453125" style="14" bestFit="1" customWidth="1"/>
    <col min="86" max="86" width="18.36328125" style="14" bestFit="1" customWidth="1"/>
    <col min="87" max="87" width="4.81640625" style="14" bestFit="1" customWidth="1"/>
    <col min="88" max="88" width="12.36328125" style="14" bestFit="1" customWidth="1"/>
    <col min="89" max="89" width="8.54296875" style="14" bestFit="1" customWidth="1"/>
    <col min="90" max="90" width="10.81640625" style="14" bestFit="1" customWidth="1"/>
    <col min="91" max="91" width="7.26953125" style="14" bestFit="1" customWidth="1"/>
    <col min="92" max="92" width="7.7265625" style="14" bestFit="1" customWidth="1"/>
    <col min="93" max="93" width="13" style="14" bestFit="1" customWidth="1"/>
    <col min="94" max="94" width="12.54296875" style="14" bestFit="1" customWidth="1"/>
    <col min="95" max="95" width="24.1796875" style="14" bestFit="1" customWidth="1"/>
    <col min="96" max="96" width="12.1796875" style="14" bestFit="1" customWidth="1"/>
    <col min="97" max="97" width="21.1796875" style="14" bestFit="1" customWidth="1"/>
    <col min="98" max="99" width="12.1796875" style="14" bestFit="1" customWidth="1"/>
    <col min="100" max="100" width="12.08984375" style="14" bestFit="1" customWidth="1"/>
    <col min="101" max="101" width="11.7265625" style="14" bestFit="1" customWidth="1"/>
    <col min="102" max="102" width="16.54296875" style="14" bestFit="1" customWidth="1"/>
    <col min="103" max="103" width="17.453125" style="14" bestFit="1" customWidth="1"/>
    <col min="104" max="104" width="20.81640625" style="14" bestFit="1" customWidth="1"/>
    <col min="105" max="106" width="20" style="14" bestFit="1" customWidth="1"/>
    <col min="107" max="107" width="15.6328125" style="14" bestFit="1" customWidth="1"/>
    <col min="108" max="108" width="17.90625" style="14" bestFit="1" customWidth="1"/>
    <col min="109" max="110" width="21.36328125" style="14" bestFit="1" customWidth="1"/>
    <col min="111" max="111" width="6.453125" style="14" bestFit="1" customWidth="1"/>
    <col min="112" max="112" width="12.26953125" style="14" bestFit="1" customWidth="1"/>
    <col min="113" max="113" width="9.26953125" style="14" bestFit="1" customWidth="1"/>
    <col min="114" max="114" width="9.6328125" style="14" bestFit="1" customWidth="1"/>
    <col min="115" max="115" width="7.81640625" style="14" bestFit="1" customWidth="1"/>
    <col min="116" max="116" width="11.08984375" style="14" bestFit="1" customWidth="1"/>
    <col min="117" max="117" width="10.81640625" style="14" bestFit="1" customWidth="1"/>
    <col min="118" max="119" width="8.1796875" style="14" bestFit="1" customWidth="1"/>
    <col min="120" max="120" width="4" style="14" bestFit="1" customWidth="1"/>
    <col min="121" max="121" width="11.90625" style="14" bestFit="1" customWidth="1"/>
    <col min="122" max="122" width="17.1796875" style="14" bestFit="1" customWidth="1"/>
    <col min="123" max="123" width="10.90625" style="14" bestFit="1" customWidth="1"/>
    <col min="124" max="124" width="16.08984375" style="14" bestFit="1" customWidth="1"/>
    <col min="125" max="125" width="8.6328125" style="14" bestFit="1" customWidth="1"/>
    <col min="126" max="126" width="13.81640625" style="14" bestFit="1" customWidth="1"/>
    <col min="127" max="127" width="13.6328125" style="14" bestFit="1" customWidth="1"/>
    <col min="128" max="129" width="15.26953125" style="14" bestFit="1" customWidth="1"/>
    <col min="130" max="131" width="17.6328125" style="14" bestFit="1" customWidth="1"/>
    <col min="132" max="132" width="6.81640625" style="14" bestFit="1" customWidth="1"/>
    <col min="133" max="133" width="8.90625" style="14" bestFit="1" customWidth="1"/>
    <col min="134" max="134" width="9.08984375" style="14" bestFit="1" customWidth="1"/>
    <col min="135" max="135" width="12.453125" style="14" bestFit="1" customWidth="1"/>
    <col min="136" max="136" width="11.7265625" style="14" bestFit="1" customWidth="1"/>
    <col min="137" max="137" width="11.36328125" style="14" bestFit="1" customWidth="1"/>
    <col min="138" max="138" width="6.36328125" style="14" bestFit="1" customWidth="1"/>
    <col min="139" max="139" width="10.90625" style="14" bestFit="1" customWidth="1"/>
    <col min="140" max="140" width="11.54296875" style="14" bestFit="1" customWidth="1"/>
    <col min="141" max="141" width="11.1796875" style="14" bestFit="1" customWidth="1"/>
    <col min="142" max="142" width="5.90625" style="14" bestFit="1" customWidth="1"/>
    <col min="143" max="144" width="12" style="14" bestFit="1" customWidth="1"/>
    <col min="145" max="146" width="15.26953125" style="14" bestFit="1" customWidth="1"/>
    <col min="147" max="147" width="7" style="14" bestFit="1" customWidth="1"/>
    <col min="148" max="148" width="11.54296875" style="14" bestFit="1" customWidth="1"/>
    <col min="149" max="149" width="6" style="14" bestFit="1" customWidth="1"/>
    <col min="150" max="150" width="9.1796875" style="14" bestFit="1" customWidth="1"/>
    <col min="151" max="151" width="15.7265625" style="14" bestFit="1" customWidth="1"/>
    <col min="152" max="152" width="11.36328125" style="14" bestFit="1" customWidth="1"/>
    <col min="153" max="153" width="33.54296875" style="14" bestFit="1" customWidth="1"/>
    <col min="154" max="154" width="29.08984375" style="14" bestFit="1" customWidth="1"/>
    <col min="155" max="155" width="24.1796875" style="14" bestFit="1" customWidth="1"/>
    <col min="156" max="156" width="19.81640625" style="14" bestFit="1" customWidth="1"/>
    <col min="157" max="157" width="21.08984375" style="14" bestFit="1" customWidth="1"/>
    <col min="158" max="158" width="16.6328125" style="14" bestFit="1" customWidth="1"/>
    <col min="159" max="159" width="17" style="14" bestFit="1" customWidth="1"/>
    <col min="160" max="160" width="12.54296875" style="14" bestFit="1" customWidth="1"/>
    <col min="161" max="161" width="21.1796875" style="14" bestFit="1" customWidth="1"/>
    <col min="162" max="162" width="16.7265625" style="14" bestFit="1" customWidth="1"/>
    <col min="163" max="163" width="17.08984375" style="14" bestFit="1" customWidth="1"/>
    <col min="164" max="164" width="12.6328125" style="14" bestFit="1" customWidth="1"/>
    <col min="165" max="165" width="19.453125" style="14" bestFit="1" customWidth="1"/>
    <col min="166" max="166" width="7.7265625" style="14" bestFit="1" customWidth="1"/>
    <col min="167" max="167" width="7.453125" style="14" bestFit="1" customWidth="1"/>
    <col min="168" max="168" width="7.7265625" style="14" bestFit="1" customWidth="1"/>
    <col min="169" max="169" width="7.453125" style="14" bestFit="1" customWidth="1"/>
    <col min="170" max="171" width="12.26953125" style="14" bestFit="1" customWidth="1"/>
    <col min="172" max="172" width="17.7265625" style="14" bestFit="1" customWidth="1"/>
    <col min="173" max="173" width="3.81640625" style="14" bestFit="1" customWidth="1"/>
    <col min="174" max="175" width="8.6328125" style="14" bestFit="1" customWidth="1"/>
    <col min="176" max="177" width="8.1796875" style="14" bestFit="1" customWidth="1"/>
    <col min="178" max="178" width="2.6328125" style="14" bestFit="1" customWidth="1"/>
    <col min="179" max="179" width="5.90625" style="14" bestFit="1" customWidth="1"/>
    <col min="180" max="180" width="6.36328125" style="14" bestFit="1" customWidth="1"/>
    <col min="181" max="181" width="13" style="14" bestFit="1" customWidth="1"/>
    <col min="182" max="182" width="4.81640625" style="14" bestFit="1" customWidth="1"/>
    <col min="183" max="183" width="26.6328125" style="14" bestFit="1" customWidth="1"/>
    <col min="184" max="184" width="19.08984375" style="14" bestFit="1" customWidth="1"/>
    <col min="185" max="185" width="24" style="14" bestFit="1" customWidth="1"/>
    <col min="186" max="186" width="30.08984375" style="14" bestFit="1" customWidth="1"/>
    <col min="187" max="187" width="4.81640625" style="14" bestFit="1" customWidth="1"/>
    <col min="188" max="188" width="9" style="14" bestFit="1" customWidth="1"/>
    <col min="189" max="189" width="8.6328125" style="14" bestFit="1" customWidth="1"/>
    <col min="190" max="190" width="19.81640625" style="14" bestFit="1" customWidth="1"/>
    <col min="191" max="191" width="32" style="14" bestFit="1" customWidth="1"/>
    <col min="192" max="192" width="27.6328125" style="14" bestFit="1" customWidth="1"/>
    <col min="193" max="193" width="13.36328125" style="14" bestFit="1" customWidth="1"/>
    <col min="194" max="194" width="9" style="14" bestFit="1" customWidth="1"/>
    <col min="195" max="195" width="11" style="14" bestFit="1" customWidth="1"/>
    <col min="196" max="196" width="13.36328125" style="14" bestFit="1" customWidth="1"/>
    <col min="197" max="197" width="24.1796875" style="14" bestFit="1" customWidth="1"/>
    <col min="198" max="198" width="19.81640625" style="14" bestFit="1" customWidth="1"/>
    <col min="199" max="199" width="24.08984375" style="14" bestFit="1" customWidth="1"/>
    <col min="200" max="200" width="21.54296875" style="14" bestFit="1" customWidth="1"/>
    <col min="201" max="201" width="17.1796875" style="14" bestFit="1" customWidth="1"/>
    <col min="202" max="202" width="21.453125" style="14" bestFit="1" customWidth="1"/>
    <col min="203" max="203" width="8.453125" style="14" bestFit="1" customWidth="1"/>
    <col min="204" max="204" width="8.08984375" style="14" bestFit="1" customWidth="1"/>
    <col min="205" max="205" width="6.54296875" style="14" bestFit="1" customWidth="1"/>
    <col min="206" max="206" width="9" style="14" bestFit="1" customWidth="1"/>
    <col min="207" max="207" width="19.7265625" style="14" bestFit="1" customWidth="1"/>
    <col min="208" max="208" width="8.08984375" style="14" bestFit="1" customWidth="1"/>
    <col min="209" max="209" width="18.08984375" style="14" bestFit="1" customWidth="1"/>
    <col min="210" max="210" width="7.453125" style="14" bestFit="1" customWidth="1"/>
    <col min="211" max="212" width="13.1796875" style="14" bestFit="1" customWidth="1"/>
    <col min="213" max="213" width="7.08984375" style="14" bestFit="1" customWidth="1"/>
    <col min="214" max="214" width="11.7265625" style="14" bestFit="1" customWidth="1"/>
    <col min="215" max="215" width="10.6328125" style="14" bestFit="1" customWidth="1"/>
    <col min="216" max="216" width="10.26953125" style="14" bestFit="1" customWidth="1"/>
    <col min="217" max="218" width="2.90625" style="14" bestFit="1" customWidth="1"/>
    <col min="219" max="219" width="4.81640625" style="14" bestFit="1" customWidth="1"/>
    <col min="220" max="220" width="8.81640625" style="14" bestFit="1" customWidth="1"/>
    <col min="221" max="221" width="2.54296875" style="14" bestFit="1" customWidth="1"/>
    <col min="222" max="222" width="8.6328125" style="14" bestFit="1" customWidth="1"/>
    <col min="223" max="223" width="17.26953125" style="14" bestFit="1" customWidth="1"/>
    <col min="224" max="224" width="22.453125" style="14" bestFit="1" customWidth="1"/>
    <col min="225" max="225" width="15.08984375" style="14" bestFit="1" customWidth="1"/>
    <col min="226" max="226" width="19.7265625" style="14" bestFit="1" customWidth="1"/>
    <col min="227" max="227" width="7.453125" style="14" bestFit="1" customWidth="1"/>
    <col min="228" max="228" width="7.54296875" style="14" bestFit="1" customWidth="1"/>
    <col min="229" max="229" width="7.1796875" style="14" bestFit="1" customWidth="1"/>
    <col min="230" max="230" width="12" style="14" bestFit="1" customWidth="1"/>
    <col min="231" max="231" width="11.6328125" style="14" bestFit="1" customWidth="1"/>
    <col min="232" max="232" width="2.90625" style="14" bestFit="1" customWidth="1"/>
    <col min="233" max="233" width="8.7265625" style="14"/>
    <col min="234" max="235" width="2.6328125" style="14" bestFit="1" customWidth="1"/>
    <col min="236" max="236" width="10.453125" style="14" bestFit="1" customWidth="1"/>
    <col min="237" max="237" width="11.453125" style="14" bestFit="1" customWidth="1"/>
    <col min="238" max="239" width="7.6328125" style="14" bestFit="1" customWidth="1"/>
    <col min="240" max="240" width="11.54296875" style="14" bestFit="1" customWidth="1"/>
    <col min="241" max="241" width="11.1796875" style="14" bestFit="1" customWidth="1"/>
    <col min="242" max="242" width="16.54296875" style="14" bestFit="1" customWidth="1"/>
    <col min="243" max="243" width="16.1796875" style="14" bestFit="1" customWidth="1"/>
    <col min="244" max="244" width="24.26953125" style="14" bestFit="1" customWidth="1"/>
    <col min="245" max="245" width="23.90625" style="14" bestFit="1" customWidth="1"/>
    <col min="246" max="246" width="19.26953125" style="14" bestFit="1" customWidth="1"/>
    <col min="247" max="247" width="18.90625" style="14" bestFit="1" customWidth="1"/>
    <col min="248" max="248" width="6.90625" style="14" bestFit="1" customWidth="1"/>
    <col min="249" max="249" width="9.08984375" style="14" bestFit="1" customWidth="1"/>
    <col min="250" max="250" width="9.54296875" style="14" bestFit="1" customWidth="1"/>
    <col min="251" max="251" width="9.7265625" style="14" bestFit="1" customWidth="1"/>
    <col min="252" max="252" width="9.36328125" style="14" bestFit="1" customWidth="1"/>
    <col min="253" max="253" width="12.90625" style="14" bestFit="1" customWidth="1"/>
    <col min="254" max="254" width="13.08984375" style="14" bestFit="1" customWidth="1"/>
    <col min="255" max="255" width="15.7265625" style="14" bestFit="1" customWidth="1"/>
    <col min="256" max="256" width="15.90625" style="14" bestFit="1" customWidth="1"/>
    <col min="257" max="259" width="11.36328125" style="14" bestFit="1" customWidth="1"/>
    <col min="260" max="260" width="13.54296875" style="14" bestFit="1" customWidth="1"/>
    <col min="261" max="261" width="11" style="14" bestFit="1" customWidth="1"/>
    <col min="262" max="262" width="4.26953125" style="14" bestFit="1" customWidth="1"/>
    <col min="263" max="263" width="16" style="14" bestFit="1" customWidth="1"/>
    <col min="264" max="264" width="12.1796875" style="14" bestFit="1" customWidth="1"/>
    <col min="265" max="265" width="14.36328125" style="14" bestFit="1" customWidth="1"/>
    <col min="266" max="266" width="14" style="14" bestFit="1" customWidth="1"/>
    <col min="267" max="267" width="11.81640625" style="14" bestFit="1" customWidth="1"/>
    <col min="268" max="268" width="18.1796875" style="14" bestFit="1" customWidth="1"/>
    <col min="269" max="269" width="17.81640625" style="14" bestFit="1" customWidth="1"/>
    <col min="270" max="270" width="3.7265625" style="14" bestFit="1" customWidth="1"/>
    <col min="271" max="271" width="14.54296875" style="14" bestFit="1" customWidth="1"/>
    <col min="272" max="272" width="10.54296875" style="14" bestFit="1" customWidth="1"/>
    <col min="273" max="273" width="10.26953125" style="14" bestFit="1" customWidth="1"/>
    <col min="274" max="274" width="18.26953125" style="14" bestFit="1" customWidth="1"/>
    <col min="275" max="275" width="18.453125" style="14" bestFit="1" customWidth="1"/>
    <col min="276" max="276" width="15.08984375" style="14" bestFit="1" customWidth="1"/>
    <col min="277" max="277" width="15.26953125" style="14" bestFit="1" customWidth="1"/>
    <col min="278" max="278" width="11.81640625" style="14" bestFit="1" customWidth="1"/>
    <col min="279" max="279" width="11.453125" style="14" bestFit="1" customWidth="1"/>
    <col min="280" max="280" width="6.90625" style="14" bestFit="1" customWidth="1"/>
    <col min="281" max="281" width="12.7265625" style="14" bestFit="1" customWidth="1"/>
    <col min="282" max="282" width="12.36328125" style="14" bestFit="1" customWidth="1"/>
    <col min="283" max="283" width="13.36328125" style="14" bestFit="1" customWidth="1"/>
    <col min="284" max="284" width="13" style="14" bestFit="1" customWidth="1"/>
    <col min="285" max="285" width="4.1796875" style="14" bestFit="1" customWidth="1"/>
    <col min="286" max="286" width="14.81640625" style="14" bestFit="1" customWidth="1"/>
    <col min="287" max="287" width="17" style="14" bestFit="1" customWidth="1"/>
    <col min="288" max="288" width="10.453125" style="14" bestFit="1" customWidth="1"/>
    <col min="289" max="289" width="10.08984375" style="14" bestFit="1" customWidth="1"/>
    <col min="290" max="290" width="12.26953125" style="14" bestFit="1" customWidth="1"/>
    <col min="291" max="291" width="16.453125" style="14" bestFit="1" customWidth="1"/>
    <col min="292" max="292" width="7.7265625" style="14" bestFit="1" customWidth="1"/>
    <col min="293" max="293" width="8.36328125" style="14" bestFit="1" customWidth="1"/>
    <col min="294" max="294" width="7.54296875" style="14" bestFit="1" customWidth="1"/>
    <col min="295" max="295" width="4" style="14" bestFit="1" customWidth="1"/>
    <col min="296" max="296" width="3.90625" style="14" bestFit="1" customWidth="1"/>
    <col min="297" max="297" width="7.26953125" style="14" bestFit="1" customWidth="1"/>
    <col min="298" max="298" width="10.7265625" style="14" bestFit="1" customWidth="1"/>
    <col min="299" max="301" width="8.54296875" style="14" bestFit="1" customWidth="1"/>
    <col min="302" max="302" width="2.7265625" style="14" bestFit="1" customWidth="1"/>
    <col min="303" max="303" width="5.90625" style="14" bestFit="1" customWidth="1"/>
    <col min="304" max="304" width="6.7265625" style="14" bestFit="1" customWidth="1"/>
    <col min="305" max="305" width="9.90625" style="14" bestFit="1" customWidth="1"/>
    <col min="306" max="306" width="2.36328125" style="14" bestFit="1" customWidth="1"/>
    <col min="307" max="307" width="5.54296875" style="14" bestFit="1" customWidth="1"/>
    <col min="308" max="308" width="6.36328125" style="14" bestFit="1" customWidth="1"/>
    <col min="309" max="309" width="9.54296875" style="14" bestFit="1" customWidth="1"/>
    <col min="310" max="310" width="16.1796875" style="14" bestFit="1" customWidth="1"/>
    <col min="311" max="311" width="2.26953125" style="14" bestFit="1" customWidth="1"/>
    <col min="312" max="312" width="2.7265625" style="14" bestFit="1" customWidth="1"/>
    <col min="313" max="313" width="3.453125" style="14" bestFit="1" customWidth="1"/>
    <col min="314" max="314" width="7.453125" style="14" bestFit="1" customWidth="1"/>
    <col min="315" max="315" width="15.36328125" style="14" bestFit="1" customWidth="1"/>
    <col min="316" max="316" width="17.26953125" style="14" bestFit="1" customWidth="1"/>
    <col min="317" max="317" width="15.54296875" style="14" bestFit="1" customWidth="1"/>
    <col min="318" max="318" width="17.453125" style="14" bestFit="1" customWidth="1"/>
    <col min="319" max="319" width="10.54296875" style="14" bestFit="1" customWidth="1"/>
    <col min="320" max="320" width="10.7265625" style="14" bestFit="1" customWidth="1"/>
    <col min="321" max="16384" width="8.7265625" style="14"/>
  </cols>
  <sheetData>
    <row r="1" spans="1:320" x14ac:dyDescent="0.35">
      <c r="A1" s="9" t="s">
        <v>1444</v>
      </c>
      <c r="B1" s="9" t="s">
        <v>1446</v>
      </c>
    </row>
    <row r="2" spans="1:320" x14ac:dyDescent="0.35">
      <c r="A2" s="15" t="s">
        <v>1160</v>
      </c>
      <c r="B2" s="14">
        <v>193.60000000000014</v>
      </c>
    </row>
    <row r="3" spans="1:320" x14ac:dyDescent="0.35">
      <c r="A3" s="15" t="s">
        <v>1133</v>
      </c>
      <c r="B3" s="14">
        <v>52.79999999999999</v>
      </c>
    </row>
    <row r="4" spans="1:320" x14ac:dyDescent="0.35">
      <c r="A4" s="15" t="s">
        <v>1113</v>
      </c>
      <c r="B4" s="14">
        <v>147.80000000000004</v>
      </c>
    </row>
    <row r="5" spans="1:320" x14ac:dyDescent="0.35">
      <c r="A5" s="15" t="s">
        <v>1350</v>
      </c>
      <c r="B5" s="14">
        <v>5</v>
      </c>
    </row>
    <row r="6" spans="1:320" x14ac:dyDescent="0.35">
      <c r="A6" s="15" t="s">
        <v>1144</v>
      </c>
      <c r="B6" s="14">
        <v>45.3</v>
      </c>
    </row>
    <row r="7" spans="1:320" x14ac:dyDescent="0.35">
      <c r="A7" s="15" t="s">
        <v>1227</v>
      </c>
      <c r="B7" s="14">
        <v>27.299999999999997</v>
      </c>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row>
    <row r="8" spans="1:320" x14ac:dyDescent="0.35">
      <c r="A8" s="15" t="s">
        <v>1316</v>
      </c>
      <c r="B8" s="14">
        <v>21.8</v>
      </c>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row>
    <row r="9" spans="1:320" x14ac:dyDescent="0.35">
      <c r="A9" s="15" t="s">
        <v>1119</v>
      </c>
      <c r="B9" s="14">
        <v>372.00000000000023</v>
      </c>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row>
    <row r="10" spans="1:320" x14ac:dyDescent="0.35">
      <c r="A10" s="15" t="s">
        <v>1172</v>
      </c>
      <c r="B10" s="14">
        <v>21.900000000000002</v>
      </c>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row>
    <row r="11" spans="1:320" x14ac:dyDescent="0.35">
      <c r="A11" s="15" t="s">
        <v>1174</v>
      </c>
      <c r="B11" s="14">
        <v>36.1</v>
      </c>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row>
    <row r="12" spans="1:320" x14ac:dyDescent="0.35">
      <c r="A12" s="15" t="s">
        <v>1156</v>
      </c>
      <c r="B12" s="14">
        <v>157.19999999999999</v>
      </c>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row>
    <row r="13" spans="1:320" x14ac:dyDescent="0.35">
      <c r="A13" s="15" t="s">
        <v>1123</v>
      </c>
      <c r="B13" s="14">
        <v>243.60000000000008</v>
      </c>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row>
    <row r="14" spans="1:320" x14ac:dyDescent="0.35">
      <c r="A14" s="15" t="s">
        <v>1141</v>
      </c>
      <c r="B14" s="14">
        <v>282.19999999999993</v>
      </c>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row>
    <row r="15" spans="1:320" x14ac:dyDescent="0.35">
      <c r="A15" s="10" t="s">
        <v>1445</v>
      </c>
      <c r="B15" s="9">
        <v>1606.6000000000004</v>
      </c>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row>
    <row r="16" spans="1:320" x14ac:dyDescent="0.35">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row>
    <row r="17" spans="1:320" x14ac:dyDescent="0.35">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row>
    <row r="18" spans="1:320" x14ac:dyDescent="0.35">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row>
    <row r="19" spans="1:320" x14ac:dyDescent="0.35">
      <c r="A19" s="20" t="s">
        <v>1451</v>
      </c>
      <c r="B19" s="20" t="s">
        <v>1448</v>
      </c>
      <c r="C19"/>
      <c r="D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row>
    <row r="20" spans="1:320" x14ac:dyDescent="0.35">
      <c r="A20" s="20" t="s">
        <v>1444</v>
      </c>
      <c r="B20" t="s">
        <v>1118</v>
      </c>
      <c r="C20" t="s">
        <v>1117</v>
      </c>
      <c r="D20" t="s">
        <v>1445</v>
      </c>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row>
    <row r="21" spans="1:320" x14ac:dyDescent="0.35">
      <c r="A21" s="2" t="s">
        <v>1217</v>
      </c>
      <c r="B21">
        <v>22202</v>
      </c>
      <c r="C21"/>
      <c r="D21">
        <v>22202</v>
      </c>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row>
    <row r="22" spans="1:320" x14ac:dyDescent="0.35">
      <c r="A22" s="2" t="s">
        <v>1145</v>
      </c>
      <c r="B22">
        <v>6042</v>
      </c>
      <c r="C22"/>
      <c r="D22">
        <v>6042</v>
      </c>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row>
    <row r="23" spans="1:320" x14ac:dyDescent="0.35">
      <c r="A23" s="2" t="s">
        <v>1135</v>
      </c>
      <c r="B23">
        <v>50413</v>
      </c>
      <c r="C23">
        <v>12092</v>
      </c>
      <c r="D23">
        <v>62505</v>
      </c>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row>
    <row r="24" spans="1:320" x14ac:dyDescent="0.35">
      <c r="A24" s="2" t="s">
        <v>1207</v>
      </c>
      <c r="B24">
        <v>4034</v>
      </c>
      <c r="C24"/>
      <c r="D24">
        <v>4034</v>
      </c>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row>
    <row r="25" spans="1:320" x14ac:dyDescent="0.35">
      <c r="A25" s="2" t="s">
        <v>1232</v>
      </c>
      <c r="B25">
        <v>133391</v>
      </c>
      <c r="C25">
        <v>12114</v>
      </c>
      <c r="D25">
        <v>145505</v>
      </c>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row>
    <row r="26" spans="1:320" x14ac:dyDescent="0.35">
      <c r="A26" s="2" t="s">
        <v>1314</v>
      </c>
      <c r="B26">
        <v>8078</v>
      </c>
      <c r="C26"/>
      <c r="D26">
        <v>8078</v>
      </c>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row>
    <row r="27" spans="1:320" x14ac:dyDescent="0.35">
      <c r="A27" s="2" t="s">
        <v>1181</v>
      </c>
      <c r="B27">
        <v>12094</v>
      </c>
      <c r="C27"/>
      <c r="D27">
        <v>12094</v>
      </c>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row>
    <row r="28" spans="1:320" x14ac:dyDescent="0.35">
      <c r="A28" s="2" t="s">
        <v>1175</v>
      </c>
      <c r="B28">
        <v>40371</v>
      </c>
      <c r="C28">
        <v>6057</v>
      </c>
      <c r="D28">
        <v>46428</v>
      </c>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row>
    <row r="29" spans="1:320" x14ac:dyDescent="0.35">
      <c r="A29" s="2" t="s">
        <v>1252</v>
      </c>
      <c r="B29">
        <v>2017</v>
      </c>
      <c r="C29"/>
      <c r="D29">
        <v>2017</v>
      </c>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row>
    <row r="30" spans="1:320" x14ac:dyDescent="0.35">
      <c r="A30" s="2" t="s">
        <v>1125</v>
      </c>
      <c r="B30">
        <v>6042</v>
      </c>
      <c r="C30">
        <v>6042</v>
      </c>
      <c r="D30">
        <v>12084</v>
      </c>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row>
    <row r="31" spans="1:320" x14ac:dyDescent="0.35">
      <c r="A31" s="2" t="s">
        <v>1267</v>
      </c>
      <c r="B31">
        <v>48505</v>
      </c>
      <c r="C31">
        <v>4040</v>
      </c>
      <c r="D31">
        <v>52545</v>
      </c>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row>
    <row r="32" spans="1:320" x14ac:dyDescent="0.35">
      <c r="A32" s="2" t="s">
        <v>1177</v>
      </c>
      <c r="B32">
        <v>24192</v>
      </c>
      <c r="C32"/>
      <c r="D32">
        <v>24192</v>
      </c>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row>
    <row r="33" spans="1:320" x14ac:dyDescent="0.35">
      <c r="A33" s="2" t="s">
        <v>1202</v>
      </c>
      <c r="B33">
        <v>20189</v>
      </c>
      <c r="C33">
        <v>2016</v>
      </c>
      <c r="D33">
        <v>22205</v>
      </c>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row>
    <row r="34" spans="1:320" x14ac:dyDescent="0.35">
      <c r="A34" s="2" t="s">
        <v>1209</v>
      </c>
      <c r="B34">
        <v>60564</v>
      </c>
      <c r="C34">
        <v>16145</v>
      </c>
      <c r="D34">
        <v>76709</v>
      </c>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row>
    <row r="35" spans="1:320" x14ac:dyDescent="0.35">
      <c r="A35" s="2" t="s">
        <v>1309</v>
      </c>
      <c r="B35">
        <v>4038</v>
      </c>
      <c r="C35"/>
      <c r="D35">
        <v>4038</v>
      </c>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row>
    <row r="36" spans="1:320" x14ac:dyDescent="0.35">
      <c r="A36" s="2" t="s">
        <v>1194</v>
      </c>
      <c r="B36">
        <v>135304</v>
      </c>
      <c r="C36">
        <v>8068</v>
      </c>
      <c r="D36">
        <v>143372</v>
      </c>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row>
    <row r="37" spans="1:320" x14ac:dyDescent="0.35">
      <c r="A37" s="2" t="s">
        <v>1151</v>
      </c>
      <c r="B37">
        <v>34288</v>
      </c>
      <c r="C37">
        <v>10070</v>
      </c>
      <c r="D37">
        <v>44358</v>
      </c>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row>
    <row r="38" spans="1:320" x14ac:dyDescent="0.35">
      <c r="A38" s="2" t="s">
        <v>1137</v>
      </c>
      <c r="B38">
        <v>133263</v>
      </c>
      <c r="C38">
        <v>6055</v>
      </c>
      <c r="D38">
        <v>139318</v>
      </c>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row>
    <row r="39" spans="1:320" x14ac:dyDescent="0.35">
      <c r="A39" s="2" t="s">
        <v>1356</v>
      </c>
      <c r="B39">
        <v>32361</v>
      </c>
      <c r="C39"/>
      <c r="D39">
        <v>32361</v>
      </c>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row>
    <row r="40" spans="1:320" x14ac:dyDescent="0.35">
      <c r="A40" s="2" t="s">
        <v>1116</v>
      </c>
      <c r="B40">
        <v>30224</v>
      </c>
      <c r="C40">
        <v>12090</v>
      </c>
      <c r="D40">
        <v>42314</v>
      </c>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row>
    <row r="41" spans="1:320" x14ac:dyDescent="0.35">
      <c r="A41" s="2" t="s">
        <v>1339</v>
      </c>
      <c r="B41">
        <v>4040</v>
      </c>
      <c r="C41"/>
      <c r="D41">
        <v>4040</v>
      </c>
    </row>
    <row r="42" spans="1:320" x14ac:dyDescent="0.35">
      <c r="A42" s="2" t="s">
        <v>1260</v>
      </c>
      <c r="B42">
        <v>52579</v>
      </c>
      <c r="C42">
        <v>50552</v>
      </c>
      <c r="D42">
        <v>103131</v>
      </c>
    </row>
    <row r="43" spans="1:320" x14ac:dyDescent="0.35">
      <c r="A43" s="2" t="s">
        <v>1213</v>
      </c>
      <c r="B43">
        <v>18182</v>
      </c>
      <c r="C43">
        <v>2017</v>
      </c>
      <c r="D43">
        <v>20199</v>
      </c>
    </row>
    <row r="44" spans="1:320" x14ac:dyDescent="0.35">
      <c r="A44" s="2" t="s">
        <v>1131</v>
      </c>
      <c r="B44">
        <v>8059</v>
      </c>
      <c r="C44"/>
      <c r="D44">
        <v>8059</v>
      </c>
    </row>
    <row r="45" spans="1:320" x14ac:dyDescent="0.35">
      <c r="A45" s="2" t="s">
        <v>1158</v>
      </c>
      <c r="B45">
        <v>4030</v>
      </c>
      <c r="C45"/>
      <c r="D45">
        <v>4030</v>
      </c>
    </row>
    <row r="46" spans="1:320" x14ac:dyDescent="0.35">
      <c r="A46" s="2" t="s">
        <v>1320</v>
      </c>
      <c r="B46">
        <v>4038</v>
      </c>
      <c r="C46"/>
      <c r="D46">
        <v>4038</v>
      </c>
    </row>
    <row r="47" spans="1:320" x14ac:dyDescent="0.35">
      <c r="A47" s="2" t="s">
        <v>1149</v>
      </c>
      <c r="B47">
        <v>2014</v>
      </c>
      <c r="C47">
        <v>2014</v>
      </c>
      <c r="D47">
        <v>4028</v>
      </c>
    </row>
    <row r="48" spans="1:320" x14ac:dyDescent="0.35">
      <c r="A48" s="2" t="s">
        <v>1128</v>
      </c>
      <c r="B48">
        <v>8063</v>
      </c>
      <c r="C48">
        <v>12096</v>
      </c>
      <c r="D48">
        <v>20159</v>
      </c>
    </row>
    <row r="49" spans="1:4" x14ac:dyDescent="0.35">
      <c r="A49" s="2" t="s">
        <v>1330</v>
      </c>
      <c r="B49">
        <v>10100</v>
      </c>
      <c r="C49">
        <v>4040</v>
      </c>
      <c r="D49">
        <v>14140</v>
      </c>
    </row>
    <row r="50" spans="1:4" x14ac:dyDescent="0.35">
      <c r="A50" s="2" t="s">
        <v>1307</v>
      </c>
      <c r="B50">
        <v>8082</v>
      </c>
      <c r="C50">
        <v>2019</v>
      </c>
      <c r="D50">
        <v>10101</v>
      </c>
    </row>
    <row r="51" spans="1:4" x14ac:dyDescent="0.35">
      <c r="A51" s="2" t="s">
        <v>1161</v>
      </c>
      <c r="B51">
        <v>16124</v>
      </c>
      <c r="C51"/>
      <c r="D51">
        <v>16124</v>
      </c>
    </row>
    <row r="52" spans="1:4" x14ac:dyDescent="0.35">
      <c r="A52" s="2" t="s">
        <v>1445</v>
      </c>
      <c r="B52">
        <v>942923</v>
      </c>
      <c r="C52">
        <v>167527</v>
      </c>
      <c r="D52">
        <v>1110450</v>
      </c>
    </row>
    <row r="285" spans="43:43" x14ac:dyDescent="0.35">
      <c r="AQ285"/>
    </row>
    <row r="286" spans="43:43" x14ac:dyDescent="0.35">
      <c r="AQ286"/>
    </row>
    <row r="287" spans="43:43" x14ac:dyDescent="0.35">
      <c r="AQ287"/>
    </row>
    <row r="288" spans="43:43" x14ac:dyDescent="0.35">
      <c r="AQ288"/>
    </row>
    <row r="289" spans="43:43" x14ac:dyDescent="0.35">
      <c r="AQ289"/>
    </row>
    <row r="290" spans="43:43" x14ac:dyDescent="0.35">
      <c r="AQ290"/>
    </row>
    <row r="291" spans="43:43" x14ac:dyDescent="0.35">
      <c r="AQ291"/>
    </row>
    <row r="292" spans="43:43" x14ac:dyDescent="0.35">
      <c r="AQ292"/>
    </row>
    <row r="293" spans="43:43" x14ac:dyDescent="0.35">
      <c r="AQ293"/>
    </row>
    <row r="294" spans="43:43" x14ac:dyDescent="0.35">
      <c r="AQ294"/>
    </row>
    <row r="295" spans="43:43" x14ac:dyDescent="0.35">
      <c r="AQ295"/>
    </row>
    <row r="296" spans="43:43" x14ac:dyDescent="0.35">
      <c r="AQ296"/>
    </row>
    <row r="297" spans="43:43" x14ac:dyDescent="0.35">
      <c r="AQ297"/>
    </row>
    <row r="298" spans="43:43" x14ac:dyDescent="0.35">
      <c r="AQ298"/>
    </row>
    <row r="299" spans="43:43" x14ac:dyDescent="0.35">
      <c r="AQ299"/>
    </row>
    <row r="300" spans="43:43" x14ac:dyDescent="0.35">
      <c r="AQ300"/>
    </row>
    <row r="301" spans="43:43" x14ac:dyDescent="0.35">
      <c r="AQ301"/>
    </row>
    <row r="302" spans="43:43" x14ac:dyDescent="0.35">
      <c r="AQ302"/>
    </row>
    <row r="303" spans="43:43" x14ac:dyDescent="0.35">
      <c r="AQ303"/>
    </row>
    <row r="304" spans="43:43" x14ac:dyDescent="0.35">
      <c r="AQ304"/>
    </row>
    <row r="305" spans="43:43" x14ac:dyDescent="0.35">
      <c r="AQ305"/>
    </row>
    <row r="306" spans="43:43" x14ac:dyDescent="0.35">
      <c r="AQ306"/>
    </row>
    <row r="307" spans="43:43" x14ac:dyDescent="0.35">
      <c r="AQ307"/>
    </row>
    <row r="308" spans="43:43" x14ac:dyDescent="0.35">
      <c r="AQ308"/>
    </row>
    <row r="309" spans="43:43" x14ac:dyDescent="0.35">
      <c r="AQ309"/>
    </row>
    <row r="310" spans="43:43" x14ac:dyDescent="0.35">
      <c r="AQ310"/>
    </row>
    <row r="311" spans="43:43" x14ac:dyDescent="0.35">
      <c r="AQ311"/>
    </row>
    <row r="312" spans="43:43" x14ac:dyDescent="0.35">
      <c r="AQ312"/>
    </row>
    <row r="313" spans="43:43" x14ac:dyDescent="0.35">
      <c r="AQ313"/>
    </row>
    <row r="314" spans="43:43" x14ac:dyDescent="0.35">
      <c r="AQ314"/>
    </row>
    <row r="315" spans="43:43" x14ac:dyDescent="0.35">
      <c r="AQ315"/>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2B41F-D74A-4676-8397-EDA37424A4BE}">
  <sheetPr codeName="Sheet4"/>
  <dimension ref="A1:Z512"/>
  <sheetViews>
    <sheetView topLeftCell="K1" workbookViewId="0">
      <selection activeCell="K19" sqref="K19"/>
    </sheetView>
  </sheetViews>
  <sheetFormatPr defaultRowHeight="14.5" x14ac:dyDescent="0.35"/>
  <cols>
    <col min="1" max="1" width="11.08984375" bestFit="1" customWidth="1"/>
    <col min="2" max="2" width="6.6328125" bestFit="1" customWidth="1"/>
    <col min="3" max="3" width="9.54296875" bestFit="1" customWidth="1"/>
    <col min="4" max="4" width="13.26953125" bestFit="1" customWidth="1"/>
    <col min="5" max="5" width="6.81640625" bestFit="1" customWidth="1"/>
    <col min="6" max="6" width="18.90625" bestFit="1" customWidth="1"/>
    <col min="7" max="7" width="8.90625" bestFit="1" customWidth="1"/>
    <col min="8" max="8" width="8.1796875" bestFit="1" customWidth="1"/>
    <col min="9" max="9" width="7.81640625" bestFit="1" customWidth="1"/>
    <col min="10" max="10" width="9.90625" bestFit="1" customWidth="1"/>
    <col min="11" max="11" width="10.08984375" bestFit="1" customWidth="1"/>
    <col min="12" max="12" width="5.36328125" bestFit="1" customWidth="1"/>
    <col min="13" max="13" width="9.90625" bestFit="1" customWidth="1"/>
    <col min="14" max="14" width="8.453125" bestFit="1" customWidth="1"/>
    <col min="15" max="15" width="21.54296875" bestFit="1" customWidth="1"/>
    <col min="16" max="16" width="12.90625" bestFit="1" customWidth="1"/>
    <col min="17" max="17" width="6.08984375" bestFit="1" customWidth="1"/>
    <col min="19" max="19" width="11.08984375" bestFit="1" customWidth="1"/>
    <col min="20" max="20" width="9.54296875" bestFit="1" customWidth="1"/>
    <col min="21" max="21" width="13.26953125" bestFit="1" customWidth="1"/>
    <col min="22" max="22" width="7" bestFit="1" customWidth="1"/>
    <col min="23" max="23" width="18.90625" bestFit="1" customWidth="1"/>
    <col min="25" max="25" width="9.90625" bestFit="1" customWidth="1"/>
    <col min="26" max="26" width="11.08984375" bestFit="1" customWidth="1"/>
  </cols>
  <sheetData>
    <row r="1" spans="1:26" x14ac:dyDescent="0.35">
      <c r="A1" s="29" t="s">
        <v>1979</v>
      </c>
      <c r="B1" s="30" t="s">
        <v>1980</v>
      </c>
      <c r="C1" s="30" t="s">
        <v>12</v>
      </c>
      <c r="D1" s="30" t="s">
        <v>1981</v>
      </c>
      <c r="E1" s="30" t="s">
        <v>5</v>
      </c>
      <c r="F1" s="30" t="s">
        <v>1982</v>
      </c>
      <c r="G1" s="30" t="s">
        <v>1983</v>
      </c>
      <c r="H1" s="30" t="s">
        <v>1984</v>
      </c>
      <c r="I1" s="30" t="s">
        <v>1985</v>
      </c>
      <c r="J1" s="30" t="s">
        <v>1986</v>
      </c>
      <c r="K1" s="31" t="s">
        <v>1987</v>
      </c>
      <c r="L1" s="30" t="s">
        <v>1988</v>
      </c>
      <c r="M1" s="30" t="s">
        <v>1989</v>
      </c>
      <c r="N1" s="32" t="s">
        <v>1991</v>
      </c>
      <c r="O1" s="30" t="s">
        <v>1992</v>
      </c>
      <c r="P1" s="33" t="s">
        <v>1993</v>
      </c>
      <c r="Q1" s="34" t="s">
        <v>1990</v>
      </c>
    </row>
    <row r="2" spans="1:26" x14ac:dyDescent="0.35">
      <c r="A2" s="21" t="s">
        <v>1458</v>
      </c>
      <c r="B2" s="22" t="s">
        <v>1459</v>
      </c>
      <c r="C2" s="22" t="s">
        <v>1460</v>
      </c>
      <c r="D2" s="22" t="s">
        <v>1461</v>
      </c>
      <c r="E2" s="22" t="s">
        <v>19</v>
      </c>
      <c r="F2" s="22" t="s">
        <v>1462</v>
      </c>
      <c r="G2" s="22">
        <v>66.06</v>
      </c>
      <c r="H2" s="22">
        <v>6</v>
      </c>
      <c r="I2" s="22">
        <v>19.818000000000001</v>
      </c>
      <c r="J2" s="23">
        <v>416.178</v>
      </c>
      <c r="K2" s="24" t="s">
        <v>1463</v>
      </c>
      <c r="L2" s="25">
        <v>0.43611111111111112</v>
      </c>
      <c r="M2" s="22" t="s">
        <v>1464</v>
      </c>
      <c r="N2" s="26">
        <v>396.36</v>
      </c>
      <c r="O2" s="27">
        <f t="shared" ref="O2:O65" si="0">4.761904762/100</f>
        <v>4.761904762E-2</v>
      </c>
      <c r="P2" s="23">
        <v>19.818000000000001</v>
      </c>
      <c r="Q2" s="28">
        <v>7.3</v>
      </c>
      <c r="S2" s="68" t="s">
        <v>2064</v>
      </c>
      <c r="T2" s="68"/>
      <c r="U2" s="68"/>
      <c r="V2" s="68"/>
      <c r="W2" s="68"/>
      <c r="Y2" s="68" t="s">
        <v>2065</v>
      </c>
      <c r="Z2" s="68"/>
    </row>
    <row r="3" spans="1:26" x14ac:dyDescent="0.35">
      <c r="A3" s="21" t="s">
        <v>1465</v>
      </c>
      <c r="B3" s="22" t="s">
        <v>1466</v>
      </c>
      <c r="C3" s="22" t="s">
        <v>1467</v>
      </c>
      <c r="D3" s="22" t="s">
        <v>1461</v>
      </c>
      <c r="E3" s="22" t="s">
        <v>27</v>
      </c>
      <c r="F3" s="22" t="s">
        <v>1468</v>
      </c>
      <c r="G3" s="22">
        <v>57.27</v>
      </c>
      <c r="H3" s="22">
        <v>3</v>
      </c>
      <c r="I3" s="22">
        <v>8.5905000000000005</v>
      </c>
      <c r="J3" s="23">
        <v>180.40049999999999</v>
      </c>
      <c r="K3" s="24">
        <v>43710</v>
      </c>
      <c r="L3" s="25">
        <v>0.85486111111111107</v>
      </c>
      <c r="M3" s="22" t="s">
        <v>1469</v>
      </c>
      <c r="N3" s="26">
        <v>171.81</v>
      </c>
      <c r="O3" s="27">
        <f t="shared" si="0"/>
        <v>4.761904762E-2</v>
      </c>
      <c r="P3" s="23">
        <v>8.5905000000000005</v>
      </c>
      <c r="Q3" s="28">
        <v>6.5</v>
      </c>
      <c r="S3" s="68"/>
      <c r="T3" s="68"/>
      <c r="U3" s="68"/>
      <c r="V3" s="68"/>
      <c r="W3" s="68"/>
      <c r="Y3" s="68"/>
      <c r="Z3" s="68"/>
    </row>
    <row r="4" spans="1:26" x14ac:dyDescent="0.35">
      <c r="A4" s="21" t="s">
        <v>1470</v>
      </c>
      <c r="B4" s="22" t="s">
        <v>1466</v>
      </c>
      <c r="C4" s="22" t="s">
        <v>1467</v>
      </c>
      <c r="D4" s="22" t="s">
        <v>1461</v>
      </c>
      <c r="E4" s="22" t="s">
        <v>19</v>
      </c>
      <c r="F4" s="22" t="s">
        <v>1468</v>
      </c>
      <c r="G4" s="22">
        <v>54.31</v>
      </c>
      <c r="H4" s="22">
        <v>9</v>
      </c>
      <c r="I4" s="22">
        <v>24.439499999999999</v>
      </c>
      <c r="J4" s="23">
        <v>513.22950000000003</v>
      </c>
      <c r="K4" s="24" t="s">
        <v>1471</v>
      </c>
      <c r="L4" s="25">
        <v>0.45069444444444445</v>
      </c>
      <c r="M4" s="22" t="s">
        <v>1464</v>
      </c>
      <c r="N4" s="26">
        <v>488.79</v>
      </c>
      <c r="O4" s="27">
        <f t="shared" si="0"/>
        <v>4.761904762E-2</v>
      </c>
      <c r="P4" s="23">
        <v>24.439499999999999</v>
      </c>
      <c r="Q4" s="28">
        <v>8.9</v>
      </c>
      <c r="S4" s="41" t="s">
        <v>1979</v>
      </c>
      <c r="T4" s="41" t="s">
        <v>12</v>
      </c>
      <c r="U4" s="41" t="s">
        <v>1981</v>
      </c>
      <c r="V4" s="41" t="s">
        <v>5</v>
      </c>
      <c r="W4" s="41" t="s">
        <v>1982</v>
      </c>
      <c r="Y4" s="41" t="s">
        <v>1986</v>
      </c>
      <c r="Z4" s="41" t="s">
        <v>1979</v>
      </c>
    </row>
    <row r="5" spans="1:26" x14ac:dyDescent="0.35">
      <c r="A5" s="21" t="s">
        <v>1472</v>
      </c>
      <c r="B5" s="22" t="s">
        <v>1466</v>
      </c>
      <c r="C5" s="22" t="s">
        <v>1467</v>
      </c>
      <c r="D5" s="22" t="s">
        <v>1461</v>
      </c>
      <c r="E5" s="22" t="s">
        <v>19</v>
      </c>
      <c r="F5" s="22" t="s">
        <v>1473</v>
      </c>
      <c r="G5" s="22">
        <v>58.24</v>
      </c>
      <c r="H5" s="22">
        <v>9</v>
      </c>
      <c r="I5" s="22">
        <v>26.207999999999998</v>
      </c>
      <c r="J5" s="23">
        <v>550.36800000000005</v>
      </c>
      <c r="K5" s="24">
        <v>43587</v>
      </c>
      <c r="L5" s="25">
        <v>0.52361111111111114</v>
      </c>
      <c r="M5" s="22" t="s">
        <v>1464</v>
      </c>
      <c r="N5" s="26">
        <v>524.16</v>
      </c>
      <c r="O5" s="27">
        <f t="shared" si="0"/>
        <v>4.761904762E-2</v>
      </c>
      <c r="P5" s="23">
        <v>26.207999999999998</v>
      </c>
      <c r="Q5" s="28">
        <v>9.6999999999999993</v>
      </c>
      <c r="S5" s="5" t="s">
        <v>1458</v>
      </c>
      <c r="T5" s="5" t="str">
        <f>VLOOKUP($S5,SupermarketData!$1:$1048576,3,FALSE)</f>
        <v>Yangon</v>
      </c>
      <c r="U5" s="5" t="str">
        <f>VLOOKUP(SupermarketData!$S5,SupermarketData!$1:$1048576,4,)</f>
        <v>Normal</v>
      </c>
      <c r="V5" s="5" t="str">
        <f>VLOOKUP($S5,SupermarketData!$1:$1048576,5,FALSE)</f>
        <v>Female</v>
      </c>
      <c r="W5" s="5" t="str">
        <f>VLOOKUP($S5,SupermarketData!$1:$1048576,6,)</f>
        <v>Electronic accessories</v>
      </c>
      <c r="Y5" s="42">
        <v>416.178</v>
      </c>
      <c r="Z5" s="5" t="str">
        <f>_xlfn.XLOOKUP($Y5,SupermarketData!$J:$J,SupermarketData!$A:$A)</f>
        <v>213-32-1216</v>
      </c>
    </row>
    <row r="6" spans="1:26" x14ac:dyDescent="0.35">
      <c r="A6" s="21" t="s">
        <v>1474</v>
      </c>
      <c r="B6" s="22" t="s">
        <v>1475</v>
      </c>
      <c r="C6" s="22" t="s">
        <v>1476</v>
      </c>
      <c r="D6" s="22" t="s">
        <v>1461</v>
      </c>
      <c r="E6" s="22" t="s">
        <v>27</v>
      </c>
      <c r="F6" s="22" t="s">
        <v>1462</v>
      </c>
      <c r="G6" s="22">
        <v>22.21</v>
      </c>
      <c r="H6" s="22">
        <v>6</v>
      </c>
      <c r="I6" s="22">
        <v>6.6630000000000003</v>
      </c>
      <c r="J6" s="23">
        <v>139.923</v>
      </c>
      <c r="K6" s="24">
        <v>43649</v>
      </c>
      <c r="L6" s="25">
        <v>0.43263888888888891</v>
      </c>
      <c r="M6" s="22" t="s">
        <v>1477</v>
      </c>
      <c r="N6" s="26">
        <v>133.26</v>
      </c>
      <c r="O6" s="27">
        <f t="shared" si="0"/>
        <v>4.761904762E-2</v>
      </c>
      <c r="P6" s="23">
        <v>6.6630000000000003</v>
      </c>
      <c r="Q6" s="28">
        <v>8.6</v>
      </c>
      <c r="S6" s="5" t="s">
        <v>1465</v>
      </c>
      <c r="T6" s="5" t="str">
        <f>VLOOKUP($S6,SupermarketData!$1:$1048576,3,FALSE)</f>
        <v>Mandalay</v>
      </c>
      <c r="U6" s="5" t="str">
        <f>VLOOKUP(SupermarketData!$S6,SupermarketData!$1:$1048576,4,)</f>
        <v>Normal</v>
      </c>
      <c r="V6" s="5" t="str">
        <f>VLOOKUP($S6,SupermarketData!$1:$1048576,5,FALSE)</f>
        <v>Male</v>
      </c>
      <c r="W6" s="5" t="str">
        <f>VLOOKUP($S6,SupermarketData!$1:$1048576,6,)</f>
        <v>Fashion accessories</v>
      </c>
      <c r="Y6" s="42">
        <v>180.40049999999999</v>
      </c>
      <c r="Z6" s="5" t="str">
        <f>_xlfn.XLOOKUP($Y6,SupermarketData!$J:$J,SupermarketData!$A:$A)</f>
        <v>747-58-7183</v>
      </c>
    </row>
    <row r="7" spans="1:26" x14ac:dyDescent="0.35">
      <c r="A7" s="21" t="s">
        <v>1478</v>
      </c>
      <c r="B7" s="22" t="s">
        <v>1459</v>
      </c>
      <c r="C7" s="22" t="s">
        <v>1460</v>
      </c>
      <c r="D7" s="22" t="s">
        <v>1479</v>
      </c>
      <c r="E7" s="22" t="s">
        <v>27</v>
      </c>
      <c r="F7" s="22" t="s">
        <v>1462</v>
      </c>
      <c r="G7" s="22">
        <v>19.32</v>
      </c>
      <c r="H7" s="22">
        <v>7</v>
      </c>
      <c r="I7" s="22">
        <v>6.7619999999999996</v>
      </c>
      <c r="J7" s="23">
        <v>142.00200000000001</v>
      </c>
      <c r="K7" s="24" t="s">
        <v>1480</v>
      </c>
      <c r="L7" s="25">
        <v>0.78541666666666665</v>
      </c>
      <c r="M7" s="22" t="s">
        <v>1464</v>
      </c>
      <c r="N7" s="26">
        <v>135.24</v>
      </c>
      <c r="O7" s="27">
        <f t="shared" si="0"/>
        <v>4.761904762E-2</v>
      </c>
      <c r="P7" s="23">
        <v>6.7619999999999996</v>
      </c>
      <c r="Q7" s="28">
        <v>6.9</v>
      </c>
      <c r="S7" s="5" t="s">
        <v>1470</v>
      </c>
      <c r="T7" s="5" t="str">
        <f>VLOOKUP($S7,SupermarketData!$1:$1048576,3,FALSE)</f>
        <v>Mandalay</v>
      </c>
      <c r="U7" s="5" t="str">
        <f>VLOOKUP(SupermarketData!$S7,SupermarketData!$1:$1048576,4,)</f>
        <v>Normal</v>
      </c>
      <c r="V7" s="5" t="str">
        <f>VLOOKUP($S7,SupermarketData!$1:$1048576,5,FALSE)</f>
        <v>Female</v>
      </c>
      <c r="W7" s="5" t="str">
        <f>VLOOKUP($S7,SupermarketData!$1:$1048576,6,)</f>
        <v>Fashion accessories</v>
      </c>
      <c r="Y7" s="42">
        <v>513.22950000000003</v>
      </c>
      <c r="Z7" s="5" t="str">
        <f>_xlfn.XLOOKUP($Y7,SupermarketData!$J:$J,SupermarketData!$A:$A)</f>
        <v>582-52-8065</v>
      </c>
    </row>
    <row r="8" spans="1:26" x14ac:dyDescent="0.35">
      <c r="A8" s="21" t="s">
        <v>1481</v>
      </c>
      <c r="B8" s="22" t="s">
        <v>1466</v>
      </c>
      <c r="C8" s="22" t="s">
        <v>1467</v>
      </c>
      <c r="D8" s="22" t="s">
        <v>1461</v>
      </c>
      <c r="E8" s="22" t="s">
        <v>27</v>
      </c>
      <c r="F8" s="22" t="s">
        <v>1482</v>
      </c>
      <c r="G8" s="22">
        <v>37.479999999999997</v>
      </c>
      <c r="H8" s="22">
        <v>3</v>
      </c>
      <c r="I8" s="22">
        <v>5.6219999999999999</v>
      </c>
      <c r="J8" s="23">
        <v>118.062</v>
      </c>
      <c r="K8" s="24" t="s">
        <v>1483</v>
      </c>
      <c r="L8" s="25">
        <v>0.57291666666666663</v>
      </c>
      <c r="M8" s="22" t="s">
        <v>1477</v>
      </c>
      <c r="N8" s="26">
        <v>112.44</v>
      </c>
      <c r="O8" s="27">
        <f t="shared" si="0"/>
        <v>4.761904762E-2</v>
      </c>
      <c r="P8" s="23">
        <v>5.6219999999999999</v>
      </c>
      <c r="Q8" s="28">
        <v>7.7</v>
      </c>
      <c r="S8" s="5" t="s">
        <v>1472</v>
      </c>
      <c r="T8" s="5" t="str">
        <f>VLOOKUP($S8,SupermarketData!$1:$1048576,3,FALSE)</f>
        <v>Mandalay</v>
      </c>
      <c r="U8" s="5" t="str">
        <f>VLOOKUP(SupermarketData!$S8,SupermarketData!$1:$1048576,4,)</f>
        <v>Normal</v>
      </c>
      <c r="V8" s="5" t="str">
        <f>VLOOKUP($S8,SupermarketData!$1:$1048576,5,FALSE)</f>
        <v>Female</v>
      </c>
      <c r="W8" s="5" t="str">
        <f>VLOOKUP($S8,SupermarketData!$1:$1048576,6,)</f>
        <v>Health and beauty</v>
      </c>
      <c r="Y8" s="42">
        <v>550.36800000000005</v>
      </c>
      <c r="Z8" s="5" t="str">
        <f>_xlfn.XLOOKUP($Y8,SupermarketData!$J:$J,SupermarketData!$A:$A)</f>
        <v>210-57-1719</v>
      </c>
    </row>
    <row r="9" spans="1:26" x14ac:dyDescent="0.35">
      <c r="A9" s="21" t="s">
        <v>1484</v>
      </c>
      <c r="B9" s="22" t="s">
        <v>1466</v>
      </c>
      <c r="C9" s="22" t="s">
        <v>1467</v>
      </c>
      <c r="D9" s="22" t="s">
        <v>1479</v>
      </c>
      <c r="E9" s="22" t="s">
        <v>19</v>
      </c>
      <c r="F9" s="22" t="s">
        <v>1468</v>
      </c>
      <c r="G9" s="22">
        <v>72.040000000000006</v>
      </c>
      <c r="H9" s="22">
        <v>2</v>
      </c>
      <c r="I9" s="22">
        <v>7.2039999999999997</v>
      </c>
      <c r="J9" s="23">
        <v>151.28399999999999</v>
      </c>
      <c r="K9" s="24">
        <v>43557</v>
      </c>
      <c r="L9" s="25">
        <v>0.81805555555555554</v>
      </c>
      <c r="M9" s="22" t="s">
        <v>1464</v>
      </c>
      <c r="N9" s="26">
        <v>144.08000000000001</v>
      </c>
      <c r="O9" s="27">
        <f t="shared" si="0"/>
        <v>4.761904762E-2</v>
      </c>
      <c r="P9" s="23">
        <v>7.2039999999999997</v>
      </c>
      <c r="Q9" s="28">
        <v>9.5</v>
      </c>
      <c r="S9" s="5" t="s">
        <v>1474</v>
      </c>
      <c r="T9" s="5" t="str">
        <f>VLOOKUP($S9,SupermarketData!$1:$1048576,3,FALSE)</f>
        <v>Naypyitaw</v>
      </c>
      <c r="U9" s="5" t="str">
        <f>VLOOKUP(SupermarketData!$S9,SupermarketData!$1:$1048576,4,)</f>
        <v>Normal</v>
      </c>
      <c r="V9" s="5" t="str">
        <f>VLOOKUP($S9,SupermarketData!$1:$1048576,5,FALSE)</f>
        <v>Male</v>
      </c>
      <c r="W9" s="5" t="str">
        <f>VLOOKUP($S9,SupermarketData!$1:$1048576,6,)</f>
        <v>Electronic accessories</v>
      </c>
      <c r="Y9" s="42">
        <v>139.923</v>
      </c>
      <c r="Z9" s="5" t="str">
        <f>_xlfn.XLOOKUP($Y9,SupermarketData!$J:$J,SupermarketData!$A:$A)</f>
        <v>399-69-4630</v>
      </c>
    </row>
    <row r="10" spans="1:26" x14ac:dyDescent="0.35">
      <c r="A10" s="21" t="s">
        <v>1485</v>
      </c>
      <c r="B10" s="22" t="s">
        <v>1475</v>
      </c>
      <c r="C10" s="22" t="s">
        <v>1476</v>
      </c>
      <c r="D10" s="22" t="s">
        <v>1479</v>
      </c>
      <c r="E10" s="22" t="s">
        <v>19</v>
      </c>
      <c r="F10" s="22" t="s">
        <v>1486</v>
      </c>
      <c r="G10" s="22">
        <v>98.52</v>
      </c>
      <c r="H10" s="22">
        <v>10</v>
      </c>
      <c r="I10" s="22">
        <v>49.26</v>
      </c>
      <c r="J10" s="23">
        <v>1034.46</v>
      </c>
      <c r="K10" s="24" t="s">
        <v>1487</v>
      </c>
      <c r="L10" s="25">
        <v>0.84930555555555554</v>
      </c>
      <c r="M10" s="22" t="s">
        <v>1469</v>
      </c>
      <c r="N10" s="26">
        <v>985.2</v>
      </c>
      <c r="O10" s="27">
        <f t="shared" si="0"/>
        <v>4.761904762E-2</v>
      </c>
      <c r="P10" s="23">
        <v>49.26</v>
      </c>
      <c r="Q10" s="28">
        <v>4.5</v>
      </c>
      <c r="S10" s="5" t="s">
        <v>1478</v>
      </c>
      <c r="T10" s="5" t="str">
        <f>VLOOKUP($S10,SupermarketData!$1:$1048576,3,FALSE)</f>
        <v>Yangon</v>
      </c>
      <c r="U10" s="5" t="str">
        <f>VLOOKUP(SupermarketData!$S10,SupermarketData!$1:$1048576,4,)</f>
        <v>Member</v>
      </c>
      <c r="V10" s="5" t="str">
        <f>VLOOKUP($S10,SupermarketData!$1:$1048576,5,FALSE)</f>
        <v>Male</v>
      </c>
      <c r="W10" s="5" t="str">
        <f>VLOOKUP($S10,SupermarketData!$1:$1048576,6,)</f>
        <v>Electronic accessories</v>
      </c>
      <c r="Y10" s="42">
        <v>142.00200000000001</v>
      </c>
      <c r="Z10" s="5" t="str">
        <f>_xlfn.XLOOKUP($Y10,SupermarketData!$J:$J,SupermarketData!$A:$A)</f>
        <v>134-75-2619</v>
      </c>
    </row>
    <row r="11" spans="1:26" x14ac:dyDescent="0.35">
      <c r="A11" s="21" t="s">
        <v>1488</v>
      </c>
      <c r="B11" s="22" t="s">
        <v>1459</v>
      </c>
      <c r="C11" s="22" t="s">
        <v>1460</v>
      </c>
      <c r="D11" s="22" t="s">
        <v>1479</v>
      </c>
      <c r="E11" s="22" t="s">
        <v>27</v>
      </c>
      <c r="F11" s="22" t="s">
        <v>1486</v>
      </c>
      <c r="G11" s="22">
        <v>41.66</v>
      </c>
      <c r="H11" s="22">
        <v>6</v>
      </c>
      <c r="I11" s="22">
        <v>12.497999999999999</v>
      </c>
      <c r="J11" s="23">
        <v>262.45800000000003</v>
      </c>
      <c r="K11" s="24">
        <v>43497</v>
      </c>
      <c r="L11" s="25">
        <v>0.64166666666666672</v>
      </c>
      <c r="M11" s="22" t="s">
        <v>1469</v>
      </c>
      <c r="N11" s="26">
        <v>249.96</v>
      </c>
      <c r="O11" s="27">
        <f t="shared" si="0"/>
        <v>4.761904762E-2</v>
      </c>
      <c r="P11" s="23">
        <v>12.497999999999999</v>
      </c>
      <c r="Q11" s="28">
        <v>5.6</v>
      </c>
      <c r="S11" s="5" t="s">
        <v>1481</v>
      </c>
      <c r="T11" s="5" t="str">
        <f>VLOOKUP($S11,SupermarketData!$1:$1048576,3,FALSE)</f>
        <v>Mandalay</v>
      </c>
      <c r="U11" s="5" t="str">
        <f>VLOOKUP(SupermarketData!$S11,SupermarketData!$1:$1048576,4,)</f>
        <v>Normal</v>
      </c>
      <c r="V11" s="5" t="str">
        <f>VLOOKUP($S11,SupermarketData!$1:$1048576,5,FALSE)</f>
        <v>Male</v>
      </c>
      <c r="W11" s="5" t="str">
        <f>VLOOKUP($S11,SupermarketData!$1:$1048576,6,)</f>
        <v>Home and lifestyle</v>
      </c>
      <c r="Y11" s="42">
        <v>118.062</v>
      </c>
      <c r="Z11" s="5" t="str">
        <f>_xlfn.XLOOKUP($Y11,SupermarketData!$J:$J,SupermarketData!$A:$A)</f>
        <v>356-44-8813</v>
      </c>
    </row>
    <row r="12" spans="1:26" x14ac:dyDescent="0.35">
      <c r="A12" s="21" t="s">
        <v>1489</v>
      </c>
      <c r="B12" s="22" t="s">
        <v>1459</v>
      </c>
      <c r="C12" s="22" t="s">
        <v>1460</v>
      </c>
      <c r="D12" s="22" t="s">
        <v>1479</v>
      </c>
      <c r="E12" s="22" t="s">
        <v>19</v>
      </c>
      <c r="F12" s="22" t="s">
        <v>1482</v>
      </c>
      <c r="G12" s="22">
        <v>72.42</v>
      </c>
      <c r="H12" s="22">
        <v>3</v>
      </c>
      <c r="I12" s="22">
        <v>10.863</v>
      </c>
      <c r="J12" s="23">
        <v>228.12299999999999</v>
      </c>
      <c r="K12" s="24" t="s">
        <v>1490</v>
      </c>
      <c r="L12" s="25">
        <v>0.70416666666666672</v>
      </c>
      <c r="M12" s="22" t="s">
        <v>1469</v>
      </c>
      <c r="N12" s="26">
        <v>217.26</v>
      </c>
      <c r="O12" s="27">
        <f t="shared" si="0"/>
        <v>4.761904762E-2</v>
      </c>
      <c r="P12" s="23">
        <v>10.863</v>
      </c>
      <c r="Q12" s="28">
        <v>8.1999999999999993</v>
      </c>
      <c r="S12" s="5" t="s">
        <v>1484</v>
      </c>
      <c r="T12" s="5" t="str">
        <f>VLOOKUP($S12,SupermarketData!$1:$1048576,3,FALSE)</f>
        <v>Mandalay</v>
      </c>
      <c r="U12" s="5" t="str">
        <f>VLOOKUP(SupermarketData!$S12,SupermarketData!$1:$1048576,4,)</f>
        <v>Member</v>
      </c>
      <c r="V12" s="5" t="str">
        <f>VLOOKUP($S12,SupermarketData!$1:$1048576,5,FALSE)</f>
        <v>Female</v>
      </c>
      <c r="W12" s="5" t="str">
        <f>VLOOKUP($S12,SupermarketData!$1:$1048576,6,)</f>
        <v>Fashion accessories</v>
      </c>
      <c r="Y12" s="42">
        <v>151.28399999999999</v>
      </c>
      <c r="Z12" s="5" t="str">
        <f>_xlfn.XLOOKUP($Y12,SupermarketData!$J:$J,SupermarketData!$A:$A)</f>
        <v>198-66-9832</v>
      </c>
    </row>
    <row r="13" spans="1:26" x14ac:dyDescent="0.35">
      <c r="A13" s="21" t="s">
        <v>1491</v>
      </c>
      <c r="B13" s="22" t="s">
        <v>1466</v>
      </c>
      <c r="C13" s="22" t="s">
        <v>1467</v>
      </c>
      <c r="D13" s="22" t="s">
        <v>1461</v>
      </c>
      <c r="E13" s="22" t="s">
        <v>27</v>
      </c>
      <c r="F13" s="22" t="s">
        <v>1462</v>
      </c>
      <c r="G13" s="22">
        <v>21.58</v>
      </c>
      <c r="H13" s="22">
        <v>9</v>
      </c>
      <c r="I13" s="22">
        <v>9.7110000000000003</v>
      </c>
      <c r="J13" s="23">
        <v>203.93100000000001</v>
      </c>
      <c r="K13" s="24" t="s">
        <v>1492</v>
      </c>
      <c r="L13" s="25">
        <v>0.52222222222222225</v>
      </c>
      <c r="M13" s="22" t="s">
        <v>1464</v>
      </c>
      <c r="N13" s="26">
        <v>194.22</v>
      </c>
      <c r="O13" s="27">
        <f t="shared" si="0"/>
        <v>4.761904762E-2</v>
      </c>
      <c r="P13" s="23">
        <v>9.7110000000000003</v>
      </c>
      <c r="Q13" s="28">
        <v>7.3</v>
      </c>
      <c r="S13" s="5" t="s">
        <v>1485</v>
      </c>
      <c r="T13" s="5" t="str">
        <f>VLOOKUP($S13,SupermarketData!$1:$1048576,3,FALSE)</f>
        <v>Naypyitaw</v>
      </c>
      <c r="U13" s="5" t="str">
        <f>VLOOKUP(SupermarketData!$S13,SupermarketData!$1:$1048576,4,)</f>
        <v>Member</v>
      </c>
      <c r="V13" s="5" t="str">
        <f>VLOOKUP($S13,SupermarketData!$1:$1048576,5,FALSE)</f>
        <v>Female</v>
      </c>
      <c r="W13" s="5" t="str">
        <f>VLOOKUP($S13,SupermarketData!$1:$1048576,6,)</f>
        <v>Food and beverages</v>
      </c>
      <c r="Y13" s="42">
        <v>1034.46</v>
      </c>
      <c r="Z13" s="5" t="str">
        <f>_xlfn.XLOOKUP($Y13,SupermarketData!$J:$J,SupermarketData!$A:$A)</f>
        <v>283-26-5248</v>
      </c>
    </row>
    <row r="14" spans="1:26" x14ac:dyDescent="0.35">
      <c r="A14" s="21" t="s">
        <v>1493</v>
      </c>
      <c r="B14" s="22" t="s">
        <v>1475</v>
      </c>
      <c r="C14" s="22" t="s">
        <v>1476</v>
      </c>
      <c r="D14" s="22" t="s">
        <v>1461</v>
      </c>
      <c r="E14" s="22" t="s">
        <v>27</v>
      </c>
      <c r="F14" s="22" t="s">
        <v>1486</v>
      </c>
      <c r="G14" s="22">
        <v>89.2</v>
      </c>
      <c r="H14" s="22">
        <v>10</v>
      </c>
      <c r="I14" s="22">
        <v>44.6</v>
      </c>
      <c r="J14" s="23">
        <v>936.6</v>
      </c>
      <c r="K14" s="24">
        <v>43771</v>
      </c>
      <c r="L14" s="25">
        <v>0.65416666666666667</v>
      </c>
      <c r="M14" s="22" t="s">
        <v>1477</v>
      </c>
      <c r="N14" s="26">
        <v>892</v>
      </c>
      <c r="O14" s="27">
        <f t="shared" si="0"/>
        <v>4.761904762E-2</v>
      </c>
      <c r="P14" s="23">
        <v>44.6</v>
      </c>
      <c r="Q14" s="28">
        <v>4.4000000000000004</v>
      </c>
      <c r="S14" s="5" t="s">
        <v>1488</v>
      </c>
      <c r="T14" s="5" t="str">
        <f>VLOOKUP($S14,SupermarketData!$1:$1048576,3,FALSE)</f>
        <v>Yangon</v>
      </c>
      <c r="U14" s="5" t="str">
        <f>VLOOKUP(SupermarketData!$S14,SupermarketData!$1:$1048576,4,)</f>
        <v>Member</v>
      </c>
      <c r="V14" s="5" t="str">
        <f>VLOOKUP($S14,SupermarketData!$1:$1048576,5,FALSE)</f>
        <v>Male</v>
      </c>
      <c r="W14" s="5" t="str">
        <f>VLOOKUP($S14,SupermarketData!$1:$1048576,6,)</f>
        <v>Food and beverages</v>
      </c>
      <c r="Y14" s="42">
        <v>262.45800000000003</v>
      </c>
      <c r="Z14" s="5" t="str">
        <f>_xlfn.XLOOKUP($Y14,SupermarketData!$J:$J,SupermarketData!$A:$A)</f>
        <v>712-39-0363</v>
      </c>
    </row>
    <row r="15" spans="1:26" x14ac:dyDescent="0.35">
      <c r="A15" s="21" t="s">
        <v>1494</v>
      </c>
      <c r="B15" s="22" t="s">
        <v>1466</v>
      </c>
      <c r="C15" s="22" t="s">
        <v>1467</v>
      </c>
      <c r="D15" s="22" t="s">
        <v>1461</v>
      </c>
      <c r="E15" s="22" t="s">
        <v>19</v>
      </c>
      <c r="F15" s="22" t="s">
        <v>1462</v>
      </c>
      <c r="G15" s="22">
        <v>42.42</v>
      </c>
      <c r="H15" s="22">
        <v>8</v>
      </c>
      <c r="I15" s="22">
        <v>16.968</v>
      </c>
      <c r="J15" s="23">
        <v>356.32799999999997</v>
      </c>
      <c r="K15" s="24" t="s">
        <v>1487</v>
      </c>
      <c r="L15" s="25">
        <v>0.58194444444444449</v>
      </c>
      <c r="M15" s="22" t="s">
        <v>1469</v>
      </c>
      <c r="N15" s="26">
        <v>339.36</v>
      </c>
      <c r="O15" s="27">
        <f t="shared" si="0"/>
        <v>4.761904762E-2</v>
      </c>
      <c r="P15" s="23">
        <v>16.968</v>
      </c>
      <c r="Q15" s="28">
        <v>5.7</v>
      </c>
      <c r="S15" s="5" t="s">
        <v>1489</v>
      </c>
      <c r="T15" s="5" t="str">
        <f>VLOOKUP($S15,SupermarketData!$1:$1048576,3,FALSE)</f>
        <v>Yangon</v>
      </c>
      <c r="U15" s="5" t="str">
        <f>VLOOKUP(SupermarketData!$S15,SupermarketData!$1:$1048576,4,)</f>
        <v>Member</v>
      </c>
      <c r="V15" s="5" t="str">
        <f>VLOOKUP($S15,SupermarketData!$1:$1048576,5,FALSE)</f>
        <v>Female</v>
      </c>
      <c r="W15" s="5" t="str">
        <f>VLOOKUP($S15,SupermarketData!$1:$1048576,6,)</f>
        <v>Home and lifestyle</v>
      </c>
      <c r="Y15" s="42">
        <v>228.12299999999999</v>
      </c>
      <c r="Z15" s="5" t="str">
        <f>_xlfn.XLOOKUP($Y15,SupermarketData!$J:$J,SupermarketData!$A:$A)</f>
        <v>218-59-9410</v>
      </c>
    </row>
    <row r="16" spans="1:26" x14ac:dyDescent="0.35">
      <c r="A16" s="21" t="s">
        <v>1495</v>
      </c>
      <c r="B16" s="22" t="s">
        <v>1459</v>
      </c>
      <c r="C16" s="22" t="s">
        <v>1460</v>
      </c>
      <c r="D16" s="22" t="s">
        <v>1479</v>
      </c>
      <c r="E16" s="22" t="s">
        <v>27</v>
      </c>
      <c r="F16" s="22" t="s">
        <v>1462</v>
      </c>
      <c r="G16" s="22">
        <v>74.510000000000005</v>
      </c>
      <c r="H16" s="22">
        <v>6</v>
      </c>
      <c r="I16" s="22">
        <v>22.353000000000002</v>
      </c>
      <c r="J16" s="23">
        <v>469.41300000000001</v>
      </c>
      <c r="K16" s="24" t="s">
        <v>1496</v>
      </c>
      <c r="L16" s="25">
        <v>0.63055555555555554</v>
      </c>
      <c r="M16" s="22" t="s">
        <v>1469</v>
      </c>
      <c r="N16" s="26">
        <v>447.06</v>
      </c>
      <c r="O16" s="27">
        <f t="shared" si="0"/>
        <v>4.761904762E-2</v>
      </c>
      <c r="P16" s="23">
        <v>22.353000000000002</v>
      </c>
      <c r="Q16" s="28">
        <v>5</v>
      </c>
      <c r="S16" s="5" t="s">
        <v>1491</v>
      </c>
      <c r="T16" s="5" t="str">
        <f>VLOOKUP($S16,SupermarketData!$1:$1048576,3,FALSE)</f>
        <v>Mandalay</v>
      </c>
      <c r="U16" s="5" t="str">
        <f>VLOOKUP(SupermarketData!$S16,SupermarketData!$1:$1048576,4,)</f>
        <v>Normal</v>
      </c>
      <c r="V16" s="5" t="str">
        <f>VLOOKUP($S16,SupermarketData!$1:$1048576,5,FALSE)</f>
        <v>Male</v>
      </c>
      <c r="W16" s="5" t="str">
        <f>VLOOKUP($S16,SupermarketData!$1:$1048576,6,)</f>
        <v>Electronic accessories</v>
      </c>
      <c r="Y16" s="42">
        <v>203.93100000000001</v>
      </c>
      <c r="Z16" s="5" t="str">
        <f>_xlfn.XLOOKUP($Y16,SupermarketData!$J:$J,SupermarketData!$A:$A)</f>
        <v>174-75-0888</v>
      </c>
    </row>
    <row r="17" spans="1:26" x14ac:dyDescent="0.35">
      <c r="A17" s="21" t="s">
        <v>1497</v>
      </c>
      <c r="B17" s="22" t="s">
        <v>1466</v>
      </c>
      <c r="C17" s="22" t="s">
        <v>1467</v>
      </c>
      <c r="D17" s="22" t="s">
        <v>1461</v>
      </c>
      <c r="E17" s="22" t="s">
        <v>27</v>
      </c>
      <c r="F17" s="22" t="s">
        <v>1468</v>
      </c>
      <c r="G17" s="22">
        <v>99.25</v>
      </c>
      <c r="H17" s="22">
        <v>2</v>
      </c>
      <c r="I17" s="22">
        <v>9.9250000000000007</v>
      </c>
      <c r="J17" s="23">
        <v>208.42500000000001</v>
      </c>
      <c r="K17" s="24" t="s">
        <v>1496</v>
      </c>
      <c r="L17" s="25">
        <v>0.54305555555555551</v>
      </c>
      <c r="M17" s="22" t="s">
        <v>1464</v>
      </c>
      <c r="N17" s="26">
        <v>198.5</v>
      </c>
      <c r="O17" s="27">
        <f t="shared" si="0"/>
        <v>4.761904762E-2</v>
      </c>
      <c r="P17" s="23">
        <v>9.9250000000000007</v>
      </c>
      <c r="Q17" s="28">
        <v>9</v>
      </c>
      <c r="S17" s="5" t="s">
        <v>1493</v>
      </c>
      <c r="T17" s="5" t="str">
        <f>VLOOKUP($S17,SupermarketData!$1:$1048576,3,FALSE)</f>
        <v>Naypyitaw</v>
      </c>
      <c r="U17" s="5" t="str">
        <f>VLOOKUP(SupermarketData!$S17,SupermarketData!$1:$1048576,4,)</f>
        <v>Normal</v>
      </c>
      <c r="V17" s="5" t="str">
        <f>VLOOKUP($S17,SupermarketData!$1:$1048576,5,FALSE)</f>
        <v>Male</v>
      </c>
      <c r="W17" s="5" t="str">
        <f>VLOOKUP($S17,SupermarketData!$1:$1048576,6,)</f>
        <v>Food and beverages</v>
      </c>
      <c r="Y17" s="42">
        <v>936.6</v>
      </c>
      <c r="Z17" s="5" t="str">
        <f>_xlfn.XLOOKUP($Y17,SupermarketData!$J:$J,SupermarketData!$A:$A)</f>
        <v>866-99-7614</v>
      </c>
    </row>
    <row r="18" spans="1:26" x14ac:dyDescent="0.35">
      <c r="A18" s="21" t="s">
        <v>1498</v>
      </c>
      <c r="B18" s="22" t="s">
        <v>1459</v>
      </c>
      <c r="C18" s="22" t="s">
        <v>1460</v>
      </c>
      <c r="D18" s="22" t="s">
        <v>1461</v>
      </c>
      <c r="E18" s="22" t="s">
        <v>19</v>
      </c>
      <c r="F18" s="22" t="s">
        <v>1486</v>
      </c>
      <c r="G18" s="22">
        <v>81.209999999999994</v>
      </c>
      <c r="H18" s="22">
        <v>10</v>
      </c>
      <c r="I18" s="22">
        <v>40.604999999999997</v>
      </c>
      <c r="J18" s="23">
        <v>852.70500000000004</v>
      </c>
      <c r="K18" s="24" t="s">
        <v>1499</v>
      </c>
      <c r="L18" s="25">
        <v>0.54236111111111107</v>
      </c>
      <c r="M18" s="22" t="s">
        <v>1477</v>
      </c>
      <c r="N18" s="26">
        <v>812.1</v>
      </c>
      <c r="O18" s="27">
        <f t="shared" si="0"/>
        <v>4.761904762E-2</v>
      </c>
      <c r="P18" s="23">
        <v>40.604999999999997</v>
      </c>
      <c r="Q18" s="28">
        <v>6.3</v>
      </c>
      <c r="S18" s="5" t="s">
        <v>1494</v>
      </c>
      <c r="T18" s="5" t="str">
        <f>VLOOKUP($S18,SupermarketData!$1:$1048576,3,FALSE)</f>
        <v>Mandalay</v>
      </c>
      <c r="U18" s="5" t="str">
        <f>VLOOKUP(SupermarketData!$S18,SupermarketData!$1:$1048576,4,)</f>
        <v>Normal</v>
      </c>
      <c r="V18" s="5" t="str">
        <f>VLOOKUP($S18,SupermarketData!$1:$1048576,5,FALSE)</f>
        <v>Female</v>
      </c>
      <c r="W18" s="5" t="str">
        <f>VLOOKUP($S18,SupermarketData!$1:$1048576,6,)</f>
        <v>Electronic accessories</v>
      </c>
      <c r="Y18" s="42">
        <v>356.32799999999997</v>
      </c>
      <c r="Z18" s="5" t="str">
        <f>_xlfn.XLOOKUP($Y18,SupermarketData!$J:$J,SupermarketData!$A:$A)</f>
        <v>134-54-4720</v>
      </c>
    </row>
    <row r="19" spans="1:26" x14ac:dyDescent="0.35">
      <c r="A19" s="21" t="s">
        <v>1500</v>
      </c>
      <c r="B19" s="22" t="s">
        <v>1475</v>
      </c>
      <c r="C19" s="22" t="s">
        <v>1476</v>
      </c>
      <c r="D19" s="22" t="s">
        <v>1461</v>
      </c>
      <c r="E19" s="22" t="s">
        <v>19</v>
      </c>
      <c r="F19" s="22" t="s">
        <v>1501</v>
      </c>
      <c r="G19" s="22">
        <v>49.33</v>
      </c>
      <c r="H19" s="22">
        <v>10</v>
      </c>
      <c r="I19" s="22">
        <v>24.664999999999999</v>
      </c>
      <c r="J19" s="23">
        <v>517.96500000000003</v>
      </c>
      <c r="K19" s="24">
        <v>43526</v>
      </c>
      <c r="L19" s="25">
        <v>0.69444444444444442</v>
      </c>
      <c r="M19" s="22" t="s">
        <v>1477</v>
      </c>
      <c r="N19" s="26">
        <v>493.3</v>
      </c>
      <c r="O19" s="27">
        <f t="shared" si="0"/>
        <v>4.761904762E-2</v>
      </c>
      <c r="P19" s="23">
        <v>24.664999999999999</v>
      </c>
      <c r="Q19" s="28">
        <v>9.4</v>
      </c>
      <c r="S19" s="5" t="s">
        <v>1495</v>
      </c>
      <c r="T19" s="5" t="str">
        <f>VLOOKUP($S19,SupermarketData!$1:$1048576,3,FALSE)</f>
        <v>Yangon</v>
      </c>
      <c r="U19" s="5" t="str">
        <f>VLOOKUP(SupermarketData!$S19,SupermarketData!$1:$1048576,4,)</f>
        <v>Member</v>
      </c>
      <c r="V19" s="5" t="str">
        <f>VLOOKUP($S19,SupermarketData!$1:$1048576,5,FALSE)</f>
        <v>Male</v>
      </c>
      <c r="W19" s="5" t="str">
        <f>VLOOKUP($S19,SupermarketData!$1:$1048576,6,)</f>
        <v>Electronic accessories</v>
      </c>
      <c r="Y19" s="42">
        <v>469.41300000000001</v>
      </c>
      <c r="Z19" s="5" t="str">
        <f>_xlfn.XLOOKUP($Y19,SupermarketData!$J:$J,SupermarketData!$A:$A)</f>
        <v>760-90-2357</v>
      </c>
    </row>
    <row r="20" spans="1:26" x14ac:dyDescent="0.35">
      <c r="A20" s="21" t="s">
        <v>1502</v>
      </c>
      <c r="B20" s="22" t="s">
        <v>1459</v>
      </c>
      <c r="C20" s="22" t="s">
        <v>1460</v>
      </c>
      <c r="D20" s="22" t="s">
        <v>1461</v>
      </c>
      <c r="E20" s="22" t="s">
        <v>19</v>
      </c>
      <c r="F20" s="22" t="s">
        <v>1468</v>
      </c>
      <c r="G20" s="22">
        <v>65.739999999999995</v>
      </c>
      <c r="H20" s="22">
        <v>9</v>
      </c>
      <c r="I20" s="22">
        <v>29.582999999999998</v>
      </c>
      <c r="J20" s="23">
        <v>621.24300000000005</v>
      </c>
      <c r="K20" s="24">
        <v>43466</v>
      </c>
      <c r="L20" s="25">
        <v>0.57986111111111116</v>
      </c>
      <c r="M20" s="22" t="s">
        <v>1464</v>
      </c>
      <c r="N20" s="26">
        <v>591.66</v>
      </c>
      <c r="O20" s="27">
        <f t="shared" si="0"/>
        <v>4.761904762E-2</v>
      </c>
      <c r="P20" s="23">
        <v>29.582999999999998</v>
      </c>
      <c r="Q20" s="28">
        <v>7.7</v>
      </c>
      <c r="S20" s="5" t="s">
        <v>1497</v>
      </c>
      <c r="T20" s="5" t="str">
        <f>VLOOKUP($S20,SupermarketData!$1:$1048576,3,FALSE)</f>
        <v>Mandalay</v>
      </c>
      <c r="U20" s="5" t="str">
        <f>VLOOKUP(SupermarketData!$S20,SupermarketData!$1:$1048576,4,)</f>
        <v>Normal</v>
      </c>
      <c r="V20" s="5" t="str">
        <f>VLOOKUP($S20,SupermarketData!$1:$1048576,5,FALSE)</f>
        <v>Male</v>
      </c>
      <c r="W20" s="5" t="str">
        <f>VLOOKUP($S20,SupermarketData!$1:$1048576,6,)</f>
        <v>Fashion accessories</v>
      </c>
      <c r="Y20" s="42">
        <v>208.42500000000001</v>
      </c>
      <c r="Z20" s="5" t="str">
        <f>_xlfn.XLOOKUP($Y20,SupermarketData!$J:$J,SupermarketData!$A:$A)</f>
        <v>514-37-2845</v>
      </c>
    </row>
    <row r="21" spans="1:26" x14ac:dyDescent="0.35">
      <c r="A21" s="21" t="s">
        <v>1503</v>
      </c>
      <c r="B21" s="22" t="s">
        <v>1466</v>
      </c>
      <c r="C21" s="22" t="s">
        <v>1467</v>
      </c>
      <c r="D21" s="22" t="s">
        <v>1461</v>
      </c>
      <c r="E21" s="22" t="s">
        <v>19</v>
      </c>
      <c r="F21" s="22" t="s">
        <v>1468</v>
      </c>
      <c r="G21" s="22">
        <v>79.86</v>
      </c>
      <c r="H21" s="22">
        <v>7</v>
      </c>
      <c r="I21" s="22">
        <v>27.951000000000001</v>
      </c>
      <c r="J21" s="23">
        <v>586.971</v>
      </c>
      <c r="K21" s="24">
        <v>43739</v>
      </c>
      <c r="L21" s="25">
        <v>0.43958333333333333</v>
      </c>
      <c r="M21" s="22" t="s">
        <v>1477</v>
      </c>
      <c r="N21" s="26">
        <v>559.02</v>
      </c>
      <c r="O21" s="27">
        <f t="shared" si="0"/>
        <v>4.761904762E-2</v>
      </c>
      <c r="P21" s="23">
        <v>27.951000000000001</v>
      </c>
      <c r="Q21" s="28">
        <v>5.5</v>
      </c>
      <c r="S21" s="5" t="s">
        <v>1498</v>
      </c>
      <c r="T21" s="5" t="str">
        <f>VLOOKUP($S21,SupermarketData!$1:$1048576,3,FALSE)</f>
        <v>Yangon</v>
      </c>
      <c r="U21" s="5" t="str">
        <f>VLOOKUP(SupermarketData!$S21,SupermarketData!$1:$1048576,4,)</f>
        <v>Normal</v>
      </c>
      <c r="V21" s="5" t="str">
        <f>VLOOKUP($S21,SupermarketData!$1:$1048576,5,FALSE)</f>
        <v>Female</v>
      </c>
      <c r="W21" s="5" t="str">
        <f>VLOOKUP($S21,SupermarketData!$1:$1048576,6,)</f>
        <v>Food and beverages</v>
      </c>
      <c r="Y21" s="42">
        <v>852.70500000000004</v>
      </c>
      <c r="Z21" s="5" t="str">
        <f>_xlfn.XLOOKUP($Y21,SupermarketData!$J:$J,SupermarketData!$A:$A)</f>
        <v>698-98-5964</v>
      </c>
    </row>
    <row r="22" spans="1:26" x14ac:dyDescent="0.35">
      <c r="A22" s="21" t="s">
        <v>1504</v>
      </c>
      <c r="B22" s="22" t="s">
        <v>1475</v>
      </c>
      <c r="C22" s="22" t="s">
        <v>1476</v>
      </c>
      <c r="D22" s="22" t="s">
        <v>1461</v>
      </c>
      <c r="E22" s="22" t="s">
        <v>19</v>
      </c>
      <c r="F22" s="22" t="s">
        <v>1501</v>
      </c>
      <c r="G22" s="22">
        <v>73.98</v>
      </c>
      <c r="H22" s="22">
        <v>7</v>
      </c>
      <c r="I22" s="22">
        <v>25.893000000000001</v>
      </c>
      <c r="J22" s="23">
        <v>543.75300000000004</v>
      </c>
      <c r="K22" s="24">
        <v>43499</v>
      </c>
      <c r="L22" s="25">
        <v>0.6958333333333333</v>
      </c>
      <c r="M22" s="22" t="s">
        <v>1469</v>
      </c>
      <c r="N22" s="26">
        <v>517.86</v>
      </c>
      <c r="O22" s="27">
        <f t="shared" si="0"/>
        <v>4.761904762E-2</v>
      </c>
      <c r="P22" s="23">
        <v>25.893000000000001</v>
      </c>
      <c r="Q22" s="28">
        <v>4.0999999999999996</v>
      </c>
      <c r="S22" s="5" t="s">
        <v>1500</v>
      </c>
      <c r="T22" s="5" t="str">
        <f>VLOOKUP($S22,SupermarketData!$1:$1048576,3,FALSE)</f>
        <v>Naypyitaw</v>
      </c>
      <c r="U22" s="5" t="str">
        <f>VLOOKUP(SupermarketData!$S22,SupermarketData!$1:$1048576,4,)</f>
        <v>Normal</v>
      </c>
      <c r="V22" s="5" t="str">
        <f>VLOOKUP($S22,SupermarketData!$1:$1048576,5,FALSE)</f>
        <v>Female</v>
      </c>
      <c r="W22" s="5" t="str">
        <f>VLOOKUP($S22,SupermarketData!$1:$1048576,6,)</f>
        <v>Sports and travel</v>
      </c>
      <c r="Y22" s="42">
        <v>517.96500000000003</v>
      </c>
      <c r="Z22" s="5" t="str">
        <f>_xlfn.XLOOKUP($Y22,SupermarketData!$J:$J,SupermarketData!$A:$A)</f>
        <v>718-57-9773</v>
      </c>
    </row>
    <row r="23" spans="1:26" x14ac:dyDescent="0.35">
      <c r="A23" s="21" t="s">
        <v>1505</v>
      </c>
      <c r="B23" s="22" t="s">
        <v>1466</v>
      </c>
      <c r="C23" s="22" t="s">
        <v>1467</v>
      </c>
      <c r="D23" s="22" t="s">
        <v>1479</v>
      </c>
      <c r="E23" s="22" t="s">
        <v>19</v>
      </c>
      <c r="F23" s="22" t="s">
        <v>1482</v>
      </c>
      <c r="G23" s="22">
        <v>82.04</v>
      </c>
      <c r="H23" s="22">
        <v>5</v>
      </c>
      <c r="I23" s="22">
        <v>20.51</v>
      </c>
      <c r="J23" s="23">
        <v>430.71</v>
      </c>
      <c r="K23" s="24" t="s">
        <v>1506</v>
      </c>
      <c r="L23" s="25">
        <v>0.71944444444444444</v>
      </c>
      <c r="M23" s="22" t="s">
        <v>1477</v>
      </c>
      <c r="N23" s="26">
        <v>410.2</v>
      </c>
      <c r="O23" s="27">
        <f t="shared" si="0"/>
        <v>4.761904762E-2</v>
      </c>
      <c r="P23" s="23">
        <v>20.51</v>
      </c>
      <c r="Q23" s="28">
        <v>7.6</v>
      </c>
      <c r="S23" s="5" t="s">
        <v>1502</v>
      </c>
      <c r="T23" s="5" t="str">
        <f>VLOOKUP($S23,SupermarketData!$1:$1048576,3,FALSE)</f>
        <v>Yangon</v>
      </c>
      <c r="U23" s="5" t="str">
        <f>VLOOKUP(SupermarketData!$S23,SupermarketData!$1:$1048576,4,)</f>
        <v>Normal</v>
      </c>
      <c r="V23" s="5" t="str">
        <f>VLOOKUP($S23,SupermarketData!$1:$1048576,5,FALSE)</f>
        <v>Female</v>
      </c>
      <c r="W23" s="5" t="str">
        <f>VLOOKUP($S23,SupermarketData!$1:$1048576,6,)</f>
        <v>Fashion accessories</v>
      </c>
      <c r="Y23" s="42">
        <v>621.24300000000005</v>
      </c>
      <c r="Z23" s="5" t="str">
        <f>_xlfn.XLOOKUP($Y23,SupermarketData!$J:$J,SupermarketData!$A:$A)</f>
        <v>651-88-7328</v>
      </c>
    </row>
    <row r="24" spans="1:26" x14ac:dyDescent="0.35">
      <c r="A24" s="21" t="s">
        <v>1507</v>
      </c>
      <c r="B24" s="22" t="s">
        <v>1466</v>
      </c>
      <c r="C24" s="22" t="s">
        <v>1467</v>
      </c>
      <c r="D24" s="22" t="s">
        <v>1479</v>
      </c>
      <c r="E24" s="22" t="s">
        <v>27</v>
      </c>
      <c r="F24" s="22" t="s">
        <v>1501</v>
      </c>
      <c r="G24" s="22">
        <v>26.67</v>
      </c>
      <c r="H24" s="22">
        <v>10</v>
      </c>
      <c r="I24" s="22">
        <v>13.335000000000001</v>
      </c>
      <c r="J24" s="23">
        <v>280.03500000000003</v>
      </c>
      <c r="K24" s="24" t="s">
        <v>1508</v>
      </c>
      <c r="L24" s="25">
        <v>0.49166666666666664</v>
      </c>
      <c r="M24" s="22" t="s">
        <v>1464</v>
      </c>
      <c r="N24" s="26">
        <v>266.7</v>
      </c>
      <c r="O24" s="27">
        <f t="shared" si="0"/>
        <v>4.761904762E-2</v>
      </c>
      <c r="P24" s="23">
        <v>13.335000000000001</v>
      </c>
      <c r="Q24" s="28">
        <v>8.6</v>
      </c>
      <c r="S24" s="5" t="s">
        <v>1503</v>
      </c>
      <c r="T24" s="5" t="str">
        <f>VLOOKUP($S24,SupermarketData!$1:$1048576,3,FALSE)</f>
        <v>Mandalay</v>
      </c>
      <c r="U24" s="5" t="str">
        <f>VLOOKUP(SupermarketData!$S24,SupermarketData!$1:$1048576,4,)</f>
        <v>Normal</v>
      </c>
      <c r="V24" s="5" t="str">
        <f>VLOOKUP($S24,SupermarketData!$1:$1048576,5,FALSE)</f>
        <v>Female</v>
      </c>
      <c r="W24" s="5" t="str">
        <f>VLOOKUP($S24,SupermarketData!$1:$1048576,6,)</f>
        <v>Fashion accessories</v>
      </c>
      <c r="Y24" s="42">
        <v>586.971</v>
      </c>
      <c r="Z24" s="5" t="str">
        <f>_xlfn.XLOOKUP($Y24,SupermarketData!$J:$J,SupermarketData!$A:$A)</f>
        <v>241-11-2261</v>
      </c>
    </row>
    <row r="25" spans="1:26" x14ac:dyDescent="0.35">
      <c r="A25" s="21" t="s">
        <v>1509</v>
      </c>
      <c r="B25" s="22" t="s">
        <v>1459</v>
      </c>
      <c r="C25" s="22" t="s">
        <v>1460</v>
      </c>
      <c r="D25" s="22" t="s">
        <v>1479</v>
      </c>
      <c r="E25" s="22" t="s">
        <v>27</v>
      </c>
      <c r="F25" s="22" t="s">
        <v>1486</v>
      </c>
      <c r="G25" s="22">
        <v>10.130000000000001</v>
      </c>
      <c r="H25" s="22">
        <v>7</v>
      </c>
      <c r="I25" s="22">
        <v>3.5455000000000001</v>
      </c>
      <c r="J25" s="23">
        <v>74.455500000000001</v>
      </c>
      <c r="K25" s="24">
        <v>43741</v>
      </c>
      <c r="L25" s="25">
        <v>0.81597222222222221</v>
      </c>
      <c r="M25" s="22" t="s">
        <v>1469</v>
      </c>
      <c r="N25" s="26">
        <v>70.91</v>
      </c>
      <c r="O25" s="27">
        <f t="shared" si="0"/>
        <v>4.761904762E-2</v>
      </c>
      <c r="P25" s="23">
        <v>3.5455000000000001</v>
      </c>
      <c r="Q25" s="28">
        <v>8.3000000000000007</v>
      </c>
      <c r="S25" s="5" t="s">
        <v>1504</v>
      </c>
      <c r="T25" s="5" t="str">
        <f>VLOOKUP($S25,SupermarketData!$1:$1048576,3,FALSE)</f>
        <v>Naypyitaw</v>
      </c>
      <c r="U25" s="5" t="str">
        <f>VLOOKUP(SupermarketData!$S25,SupermarketData!$1:$1048576,4,)</f>
        <v>Normal</v>
      </c>
      <c r="V25" s="5" t="str">
        <f>VLOOKUP($S25,SupermarketData!$1:$1048576,5,FALSE)</f>
        <v>Female</v>
      </c>
      <c r="W25" s="5" t="str">
        <f>VLOOKUP($S25,SupermarketData!$1:$1048576,6,)</f>
        <v>Sports and travel</v>
      </c>
      <c r="Y25" s="42">
        <v>543.75300000000004</v>
      </c>
      <c r="Z25" s="5" t="str">
        <f>_xlfn.XLOOKUP($Y25,SupermarketData!$J:$J,SupermarketData!$A:$A)</f>
        <v>408-26-9866</v>
      </c>
    </row>
    <row r="26" spans="1:26" x14ac:dyDescent="0.35">
      <c r="A26" s="21" t="s">
        <v>1510</v>
      </c>
      <c r="B26" s="22" t="s">
        <v>1466</v>
      </c>
      <c r="C26" s="22" t="s">
        <v>1467</v>
      </c>
      <c r="D26" s="22" t="s">
        <v>1461</v>
      </c>
      <c r="E26" s="22" t="s">
        <v>27</v>
      </c>
      <c r="F26" s="22" t="s">
        <v>1486</v>
      </c>
      <c r="G26" s="22">
        <v>72.39</v>
      </c>
      <c r="H26" s="22">
        <v>2</v>
      </c>
      <c r="I26" s="22">
        <v>7.2389999999999999</v>
      </c>
      <c r="J26" s="23">
        <v>152.01900000000001</v>
      </c>
      <c r="K26" s="24" t="s">
        <v>1511</v>
      </c>
      <c r="L26" s="25">
        <v>0.82986111111111116</v>
      </c>
      <c r="M26" s="22" t="s">
        <v>1477</v>
      </c>
      <c r="N26" s="26">
        <v>144.78</v>
      </c>
      <c r="O26" s="27">
        <f t="shared" si="0"/>
        <v>4.761904762E-2</v>
      </c>
      <c r="P26" s="23">
        <v>7.2389999999999999</v>
      </c>
      <c r="Q26" s="28">
        <v>8.1</v>
      </c>
      <c r="S26" s="5" t="s">
        <v>1505</v>
      </c>
      <c r="T26" s="5" t="str">
        <f>VLOOKUP($S26,SupermarketData!$1:$1048576,3,FALSE)</f>
        <v>Mandalay</v>
      </c>
      <c r="U26" s="5" t="str">
        <f>VLOOKUP(SupermarketData!$S26,SupermarketData!$1:$1048576,4,)</f>
        <v>Member</v>
      </c>
      <c r="V26" s="5" t="str">
        <f>VLOOKUP($S26,SupermarketData!$1:$1048576,5,FALSE)</f>
        <v>Female</v>
      </c>
      <c r="W26" s="5" t="str">
        <f>VLOOKUP($S26,SupermarketData!$1:$1048576,6,)</f>
        <v>Home and lifestyle</v>
      </c>
      <c r="Y26" s="42">
        <v>430.71</v>
      </c>
      <c r="Z26" s="5" t="str">
        <f>_xlfn.XLOOKUP($Y26,SupermarketData!$J:$J,SupermarketData!$A:$A)</f>
        <v>834-83-1826</v>
      </c>
    </row>
    <row r="27" spans="1:26" x14ac:dyDescent="0.35">
      <c r="A27" s="21" t="s">
        <v>1512</v>
      </c>
      <c r="B27" s="22" t="s">
        <v>1459</v>
      </c>
      <c r="C27" s="22" t="s">
        <v>1460</v>
      </c>
      <c r="D27" s="22" t="s">
        <v>1461</v>
      </c>
      <c r="E27" s="22" t="s">
        <v>27</v>
      </c>
      <c r="F27" s="22" t="s">
        <v>1501</v>
      </c>
      <c r="G27" s="22">
        <v>85.91</v>
      </c>
      <c r="H27" s="22">
        <v>5</v>
      </c>
      <c r="I27" s="22">
        <v>21.477499999999999</v>
      </c>
      <c r="J27" s="23">
        <v>451.02749999999997</v>
      </c>
      <c r="K27" s="24" t="s">
        <v>1513</v>
      </c>
      <c r="L27" s="25">
        <v>0.60624999999999996</v>
      </c>
      <c r="M27" s="22" t="s">
        <v>1477</v>
      </c>
      <c r="N27" s="26">
        <v>429.55</v>
      </c>
      <c r="O27" s="27">
        <f t="shared" si="0"/>
        <v>4.761904762E-2</v>
      </c>
      <c r="P27" s="23">
        <v>21.477499999999999</v>
      </c>
      <c r="Q27" s="28">
        <v>8.6</v>
      </c>
      <c r="S27" s="5" t="s">
        <v>1507</v>
      </c>
      <c r="T27" s="5" t="str">
        <f>VLOOKUP($S27,SupermarketData!$1:$1048576,3,FALSE)</f>
        <v>Mandalay</v>
      </c>
      <c r="U27" s="5" t="str">
        <f>VLOOKUP(SupermarketData!$S27,SupermarketData!$1:$1048576,4,)</f>
        <v>Member</v>
      </c>
      <c r="V27" s="5" t="str">
        <f>VLOOKUP($S27,SupermarketData!$1:$1048576,5,FALSE)</f>
        <v>Male</v>
      </c>
      <c r="W27" s="5" t="str">
        <f>VLOOKUP($S27,SupermarketData!$1:$1048576,6,)</f>
        <v>Sports and travel</v>
      </c>
      <c r="Y27" s="42">
        <v>280.03500000000003</v>
      </c>
      <c r="Z27" s="5" t="str">
        <f>_xlfn.XLOOKUP($Y27,SupermarketData!$J:$J,SupermarketData!$A:$A)</f>
        <v>343-61-3544</v>
      </c>
    </row>
    <row r="28" spans="1:26" x14ac:dyDescent="0.35">
      <c r="A28" s="21" t="s">
        <v>1514</v>
      </c>
      <c r="B28" s="22" t="s">
        <v>1466</v>
      </c>
      <c r="C28" s="22" t="s">
        <v>1467</v>
      </c>
      <c r="D28" s="22" t="s">
        <v>1479</v>
      </c>
      <c r="E28" s="22" t="s">
        <v>27</v>
      </c>
      <c r="F28" s="22" t="s">
        <v>1468</v>
      </c>
      <c r="G28" s="22">
        <v>81.31</v>
      </c>
      <c r="H28" s="22">
        <v>7</v>
      </c>
      <c r="I28" s="22">
        <v>28.458500000000001</v>
      </c>
      <c r="J28" s="23">
        <v>597.62850000000003</v>
      </c>
      <c r="K28" s="24">
        <v>43468</v>
      </c>
      <c r="L28" s="25">
        <v>0.8256944444444444</v>
      </c>
      <c r="M28" s="22" t="s">
        <v>1469</v>
      </c>
      <c r="N28" s="26">
        <v>569.16999999999996</v>
      </c>
      <c r="O28" s="27">
        <f t="shared" si="0"/>
        <v>4.761904762E-2</v>
      </c>
      <c r="P28" s="23">
        <v>28.458500000000001</v>
      </c>
      <c r="Q28" s="28">
        <v>6.3</v>
      </c>
      <c r="S28" s="5" t="s">
        <v>1509</v>
      </c>
      <c r="T28" s="5" t="str">
        <f>VLOOKUP($S28,SupermarketData!$1:$1048576,3,FALSE)</f>
        <v>Yangon</v>
      </c>
      <c r="U28" s="5" t="str">
        <f>VLOOKUP(SupermarketData!$S28,SupermarketData!$1:$1048576,4,)</f>
        <v>Member</v>
      </c>
      <c r="V28" s="5" t="str">
        <f>VLOOKUP($S28,SupermarketData!$1:$1048576,5,FALSE)</f>
        <v>Male</v>
      </c>
      <c r="W28" s="5" t="str">
        <f>VLOOKUP($S28,SupermarketData!$1:$1048576,6,)</f>
        <v>Food and beverages</v>
      </c>
      <c r="Y28" s="42">
        <v>74.455500000000001</v>
      </c>
      <c r="Z28" s="5" t="str">
        <f>_xlfn.XLOOKUP($Y28,SupermarketData!$J:$J,SupermarketData!$A:$A)</f>
        <v>239-48-4278</v>
      </c>
    </row>
    <row r="29" spans="1:26" x14ac:dyDescent="0.35">
      <c r="A29" s="21" t="s">
        <v>1515</v>
      </c>
      <c r="B29" s="22" t="s">
        <v>1466</v>
      </c>
      <c r="C29" s="22" t="s">
        <v>1467</v>
      </c>
      <c r="D29" s="22" t="s">
        <v>1461</v>
      </c>
      <c r="E29" s="22" t="s">
        <v>27</v>
      </c>
      <c r="F29" s="22" t="s">
        <v>1486</v>
      </c>
      <c r="G29" s="22">
        <v>60.3</v>
      </c>
      <c r="H29" s="22">
        <v>4</v>
      </c>
      <c r="I29" s="22">
        <v>12.06</v>
      </c>
      <c r="J29" s="23">
        <v>253.26</v>
      </c>
      <c r="K29" s="24" t="s">
        <v>1516</v>
      </c>
      <c r="L29" s="25">
        <v>0.77986111111111112</v>
      </c>
      <c r="M29" s="22" t="s">
        <v>1464</v>
      </c>
      <c r="N29" s="26">
        <v>241.2</v>
      </c>
      <c r="O29" s="27">
        <f t="shared" si="0"/>
        <v>4.761904762E-2</v>
      </c>
      <c r="P29" s="23">
        <v>12.06</v>
      </c>
      <c r="Q29" s="28">
        <v>5.8</v>
      </c>
      <c r="S29" s="5" t="s">
        <v>1510</v>
      </c>
      <c r="T29" s="5" t="str">
        <f>VLOOKUP($S29,SupermarketData!$1:$1048576,3,FALSE)</f>
        <v>Mandalay</v>
      </c>
      <c r="U29" s="5" t="str">
        <f>VLOOKUP(SupermarketData!$S29,SupermarketData!$1:$1048576,4,)</f>
        <v>Normal</v>
      </c>
      <c r="V29" s="5" t="str">
        <f>VLOOKUP($S29,SupermarketData!$1:$1048576,5,FALSE)</f>
        <v>Male</v>
      </c>
      <c r="W29" s="5" t="str">
        <f>VLOOKUP($S29,SupermarketData!$1:$1048576,6,)</f>
        <v>Food and beverages</v>
      </c>
      <c r="Y29" s="42">
        <v>152.01900000000001</v>
      </c>
      <c r="Z29" s="5" t="str">
        <f>_xlfn.XLOOKUP($Y29,SupermarketData!$J:$J,SupermarketData!$A:$A)</f>
        <v>355-34-6244</v>
      </c>
    </row>
    <row r="30" spans="1:26" x14ac:dyDescent="0.35">
      <c r="A30" s="21" t="s">
        <v>1517</v>
      </c>
      <c r="B30" s="22" t="s">
        <v>1475</v>
      </c>
      <c r="C30" s="22" t="s">
        <v>1476</v>
      </c>
      <c r="D30" s="22" t="s">
        <v>1461</v>
      </c>
      <c r="E30" s="22" t="s">
        <v>27</v>
      </c>
      <c r="F30" s="22" t="s">
        <v>1486</v>
      </c>
      <c r="G30" s="22">
        <v>31.77</v>
      </c>
      <c r="H30" s="22">
        <v>4</v>
      </c>
      <c r="I30" s="22">
        <v>6.3540000000000001</v>
      </c>
      <c r="J30" s="23">
        <v>133.434</v>
      </c>
      <c r="K30" s="24" t="s">
        <v>1518</v>
      </c>
      <c r="L30" s="25">
        <v>0.61319444444444449</v>
      </c>
      <c r="M30" s="22" t="s">
        <v>1469</v>
      </c>
      <c r="N30" s="26">
        <v>127.08</v>
      </c>
      <c r="O30" s="27">
        <f t="shared" si="0"/>
        <v>4.761904762E-2</v>
      </c>
      <c r="P30" s="23">
        <v>6.3540000000000001</v>
      </c>
      <c r="Q30" s="28">
        <v>6.2</v>
      </c>
      <c r="S30" s="5" t="s">
        <v>1512</v>
      </c>
      <c r="T30" s="5" t="str">
        <f>VLOOKUP($S30,SupermarketData!$1:$1048576,3,FALSE)</f>
        <v>Yangon</v>
      </c>
      <c r="U30" s="5" t="str">
        <f>VLOOKUP(SupermarketData!$S30,SupermarketData!$1:$1048576,4,)</f>
        <v>Normal</v>
      </c>
      <c r="V30" s="5" t="str">
        <f>VLOOKUP($S30,SupermarketData!$1:$1048576,5,FALSE)</f>
        <v>Male</v>
      </c>
      <c r="W30" s="5" t="str">
        <f>VLOOKUP($S30,SupermarketData!$1:$1048576,6,)</f>
        <v>Sports and travel</v>
      </c>
      <c r="Y30" s="42">
        <v>451.02749999999997</v>
      </c>
      <c r="Z30" s="5" t="str">
        <f>_xlfn.XLOOKUP($Y30,SupermarketData!$J:$J,SupermarketData!$A:$A)</f>
        <v>550-84-8664</v>
      </c>
    </row>
    <row r="31" spans="1:26" x14ac:dyDescent="0.35">
      <c r="A31" s="21" t="s">
        <v>1519</v>
      </c>
      <c r="B31" s="22" t="s">
        <v>1459</v>
      </c>
      <c r="C31" s="22" t="s">
        <v>1460</v>
      </c>
      <c r="D31" s="22" t="s">
        <v>1461</v>
      </c>
      <c r="E31" s="22" t="s">
        <v>19</v>
      </c>
      <c r="F31" s="22" t="s">
        <v>1473</v>
      </c>
      <c r="G31" s="22">
        <v>64.27</v>
      </c>
      <c r="H31" s="22">
        <v>4</v>
      </c>
      <c r="I31" s="22">
        <v>12.853999999999999</v>
      </c>
      <c r="J31" s="23">
        <v>269.93400000000003</v>
      </c>
      <c r="K31" s="24" t="s">
        <v>1520</v>
      </c>
      <c r="L31" s="25">
        <v>0.57916666666666672</v>
      </c>
      <c r="M31" s="22" t="s">
        <v>1464</v>
      </c>
      <c r="N31" s="26">
        <v>257.08</v>
      </c>
      <c r="O31" s="27">
        <f t="shared" si="0"/>
        <v>4.761904762E-2</v>
      </c>
      <c r="P31" s="23">
        <v>12.853999999999999</v>
      </c>
      <c r="Q31" s="28">
        <v>7.7</v>
      </c>
      <c r="S31" s="5" t="s">
        <v>1514</v>
      </c>
      <c r="T31" s="5" t="str">
        <f>VLOOKUP($S31,SupermarketData!$1:$1048576,3,FALSE)</f>
        <v>Mandalay</v>
      </c>
      <c r="U31" s="5" t="str">
        <f>VLOOKUP(SupermarketData!$S31,SupermarketData!$1:$1048576,4,)</f>
        <v>Member</v>
      </c>
      <c r="V31" s="5" t="str">
        <f>VLOOKUP($S31,SupermarketData!$1:$1048576,5,FALSE)</f>
        <v>Male</v>
      </c>
      <c r="W31" s="5" t="str">
        <f>VLOOKUP($S31,SupermarketData!$1:$1048576,6,)</f>
        <v>Fashion accessories</v>
      </c>
      <c r="Y31" s="42">
        <v>597.62850000000003</v>
      </c>
      <c r="Z31" s="5" t="str">
        <f>_xlfn.XLOOKUP($Y31,SupermarketData!$J:$J,SupermarketData!$A:$A)</f>
        <v>339-96-8318</v>
      </c>
    </row>
    <row r="32" spans="1:26" x14ac:dyDescent="0.35">
      <c r="A32" s="21" t="s">
        <v>1521</v>
      </c>
      <c r="B32" s="22" t="s">
        <v>1466</v>
      </c>
      <c r="C32" s="22" t="s">
        <v>1467</v>
      </c>
      <c r="D32" s="22" t="s">
        <v>1461</v>
      </c>
      <c r="E32" s="22" t="s">
        <v>27</v>
      </c>
      <c r="F32" s="22" t="s">
        <v>1473</v>
      </c>
      <c r="G32" s="22">
        <v>69.510000000000005</v>
      </c>
      <c r="H32" s="22">
        <v>2</v>
      </c>
      <c r="I32" s="22">
        <v>6.9509999999999996</v>
      </c>
      <c r="J32" s="23">
        <v>145.971</v>
      </c>
      <c r="K32" s="24">
        <v>43468</v>
      </c>
      <c r="L32" s="25">
        <v>0.51041666666666663</v>
      </c>
      <c r="M32" s="22" t="s">
        <v>1469</v>
      </c>
      <c r="N32" s="26">
        <v>139.02000000000001</v>
      </c>
      <c r="O32" s="27">
        <f t="shared" si="0"/>
        <v>4.761904762E-2</v>
      </c>
      <c r="P32" s="23">
        <v>6.9509999999999996</v>
      </c>
      <c r="Q32" s="28">
        <v>8.1</v>
      </c>
      <c r="S32" s="5" t="s">
        <v>1515</v>
      </c>
      <c r="T32" s="5" t="str">
        <f>VLOOKUP($S32,SupermarketData!$1:$1048576,3,FALSE)</f>
        <v>Mandalay</v>
      </c>
      <c r="U32" s="5" t="str">
        <f>VLOOKUP(SupermarketData!$S32,SupermarketData!$1:$1048576,4,)</f>
        <v>Normal</v>
      </c>
      <c r="V32" s="5" t="str">
        <f>VLOOKUP($S32,SupermarketData!$1:$1048576,5,FALSE)</f>
        <v>Male</v>
      </c>
      <c r="W32" s="5" t="str">
        <f>VLOOKUP($S32,SupermarketData!$1:$1048576,6,)</f>
        <v>Food and beverages</v>
      </c>
      <c r="Y32" s="42">
        <v>253.26</v>
      </c>
      <c r="Z32" s="5" t="str">
        <f>_xlfn.XLOOKUP($Y32,SupermarketData!$J:$J,SupermarketData!$A:$A)</f>
        <v>458-61-0011</v>
      </c>
    </row>
    <row r="33" spans="1:26" x14ac:dyDescent="0.35">
      <c r="A33" s="21" t="s">
        <v>1522</v>
      </c>
      <c r="B33" s="22" t="s">
        <v>1475</v>
      </c>
      <c r="C33" s="22" t="s">
        <v>1476</v>
      </c>
      <c r="D33" s="22" t="s">
        <v>1461</v>
      </c>
      <c r="E33" s="22" t="s">
        <v>27</v>
      </c>
      <c r="F33" s="22" t="s">
        <v>1486</v>
      </c>
      <c r="G33" s="22">
        <v>27.22</v>
      </c>
      <c r="H33" s="22">
        <v>3</v>
      </c>
      <c r="I33" s="22">
        <v>4.0830000000000002</v>
      </c>
      <c r="J33" s="23">
        <v>85.742999999999995</v>
      </c>
      <c r="K33" s="24">
        <v>43647</v>
      </c>
      <c r="L33" s="25">
        <v>0.52569444444444446</v>
      </c>
      <c r="M33" s="22" t="s">
        <v>1464</v>
      </c>
      <c r="N33" s="26">
        <v>81.66</v>
      </c>
      <c r="O33" s="27">
        <f t="shared" si="0"/>
        <v>4.761904762E-2</v>
      </c>
      <c r="P33" s="23">
        <v>4.0830000000000002</v>
      </c>
      <c r="Q33" s="28">
        <v>7.3</v>
      </c>
      <c r="S33" s="5" t="s">
        <v>1517</v>
      </c>
      <c r="T33" s="5" t="str">
        <f>VLOOKUP($S33,SupermarketData!$1:$1048576,3,FALSE)</f>
        <v>Naypyitaw</v>
      </c>
      <c r="U33" s="5" t="str">
        <f>VLOOKUP(SupermarketData!$S33,SupermarketData!$1:$1048576,4,)</f>
        <v>Normal</v>
      </c>
      <c r="V33" s="5" t="str">
        <f>VLOOKUP($S33,SupermarketData!$1:$1048576,5,FALSE)</f>
        <v>Male</v>
      </c>
      <c r="W33" s="5" t="str">
        <f>VLOOKUP($S33,SupermarketData!$1:$1048576,6,)</f>
        <v>Food and beverages</v>
      </c>
      <c r="Y33" s="42">
        <v>133.434</v>
      </c>
      <c r="Z33" s="5" t="str">
        <f>_xlfn.XLOOKUP($Y33,SupermarketData!$J:$J,SupermarketData!$A:$A)</f>
        <v>592-34-6155</v>
      </c>
    </row>
    <row r="34" spans="1:26" x14ac:dyDescent="0.35">
      <c r="A34" s="21" t="s">
        <v>1523</v>
      </c>
      <c r="B34" s="22" t="s">
        <v>1459</v>
      </c>
      <c r="C34" s="22" t="s">
        <v>1460</v>
      </c>
      <c r="D34" s="22" t="s">
        <v>1479</v>
      </c>
      <c r="E34" s="22" t="s">
        <v>19</v>
      </c>
      <c r="F34" s="22" t="s">
        <v>1473</v>
      </c>
      <c r="G34" s="22">
        <v>77.680000000000007</v>
      </c>
      <c r="H34" s="22">
        <v>4</v>
      </c>
      <c r="I34" s="22">
        <v>15.536</v>
      </c>
      <c r="J34" s="23">
        <v>326.25599999999997</v>
      </c>
      <c r="K34" s="24">
        <v>43467</v>
      </c>
      <c r="L34" s="25">
        <v>0.82916666666666672</v>
      </c>
      <c r="M34" s="22" t="s">
        <v>1464</v>
      </c>
      <c r="N34" s="26">
        <v>310.72000000000003</v>
      </c>
      <c r="O34" s="27">
        <f t="shared" si="0"/>
        <v>4.761904762E-2</v>
      </c>
      <c r="P34" s="23">
        <v>15.536</v>
      </c>
      <c r="Q34" s="28">
        <v>8.4</v>
      </c>
      <c r="S34" s="5" t="s">
        <v>1519</v>
      </c>
      <c r="T34" s="5" t="str">
        <f>VLOOKUP($S34,SupermarketData!$1:$1048576,3,FALSE)</f>
        <v>Yangon</v>
      </c>
      <c r="U34" s="5" t="str">
        <f>VLOOKUP(SupermarketData!$S34,SupermarketData!$1:$1048576,4,)</f>
        <v>Normal</v>
      </c>
      <c r="V34" s="5" t="str">
        <f>VLOOKUP($S34,SupermarketData!$1:$1048576,5,FALSE)</f>
        <v>Female</v>
      </c>
      <c r="W34" s="5" t="str">
        <f>VLOOKUP($S34,SupermarketData!$1:$1048576,6,)</f>
        <v>Health and beauty</v>
      </c>
      <c r="Y34" s="42">
        <v>269.93400000000003</v>
      </c>
      <c r="Z34" s="5" t="str">
        <f>_xlfn.XLOOKUP($Y34,SupermarketData!$J:$J,SupermarketData!$A:$A)</f>
        <v>797-88-0493</v>
      </c>
    </row>
    <row r="35" spans="1:26" x14ac:dyDescent="0.35">
      <c r="A35" s="21" t="s">
        <v>1524</v>
      </c>
      <c r="B35" s="22" t="s">
        <v>1475</v>
      </c>
      <c r="C35" s="22" t="s">
        <v>1476</v>
      </c>
      <c r="D35" s="22" t="s">
        <v>1479</v>
      </c>
      <c r="E35" s="22" t="s">
        <v>19</v>
      </c>
      <c r="F35" s="22" t="s">
        <v>1468</v>
      </c>
      <c r="G35" s="22">
        <v>92.98</v>
      </c>
      <c r="H35" s="22">
        <v>2</v>
      </c>
      <c r="I35" s="22">
        <v>9.298</v>
      </c>
      <c r="J35" s="23">
        <v>195.25800000000001</v>
      </c>
      <c r="K35" s="24" t="s">
        <v>1525</v>
      </c>
      <c r="L35" s="25">
        <v>0.62916666666666665</v>
      </c>
      <c r="M35" s="22" t="s">
        <v>1477</v>
      </c>
      <c r="N35" s="26">
        <v>185.96</v>
      </c>
      <c r="O35" s="27">
        <f t="shared" si="0"/>
        <v>4.761904762E-2</v>
      </c>
      <c r="P35" s="23">
        <v>9.298</v>
      </c>
      <c r="Q35" s="28">
        <v>8</v>
      </c>
      <c r="S35" s="5" t="s">
        <v>1521</v>
      </c>
      <c r="T35" s="5" t="str">
        <f>VLOOKUP($S35,SupermarketData!$1:$1048576,3,FALSE)</f>
        <v>Mandalay</v>
      </c>
      <c r="U35" s="5" t="str">
        <f>VLOOKUP(SupermarketData!$S35,SupermarketData!$1:$1048576,4,)</f>
        <v>Normal</v>
      </c>
      <c r="V35" s="5" t="str">
        <f>VLOOKUP($S35,SupermarketData!$1:$1048576,5,FALSE)</f>
        <v>Male</v>
      </c>
      <c r="W35" s="5" t="str">
        <f>VLOOKUP($S35,SupermarketData!$1:$1048576,6,)</f>
        <v>Health and beauty</v>
      </c>
      <c r="Y35" s="42">
        <v>145.971</v>
      </c>
      <c r="Z35" s="5" t="str">
        <f>_xlfn.XLOOKUP($Y35,SupermarketData!$J:$J,SupermarketData!$A:$A)</f>
        <v>207-73-1363</v>
      </c>
    </row>
    <row r="36" spans="1:26" x14ac:dyDescent="0.35">
      <c r="A36" s="21" t="s">
        <v>1526</v>
      </c>
      <c r="B36" s="22" t="s">
        <v>1466</v>
      </c>
      <c r="C36" s="22" t="s">
        <v>1467</v>
      </c>
      <c r="D36" s="22" t="s">
        <v>1479</v>
      </c>
      <c r="E36" s="22" t="s">
        <v>19</v>
      </c>
      <c r="F36" s="22" t="s">
        <v>1468</v>
      </c>
      <c r="G36" s="22">
        <v>18.079999999999998</v>
      </c>
      <c r="H36" s="22">
        <v>4</v>
      </c>
      <c r="I36" s="22">
        <v>3.6160000000000001</v>
      </c>
      <c r="J36" s="23">
        <v>75.936000000000007</v>
      </c>
      <c r="K36" s="24" t="s">
        <v>1518</v>
      </c>
      <c r="L36" s="25">
        <v>0.75208333333333333</v>
      </c>
      <c r="M36" s="22" t="s">
        <v>1477</v>
      </c>
      <c r="N36" s="26">
        <v>72.319999999999993</v>
      </c>
      <c r="O36" s="27">
        <f t="shared" si="0"/>
        <v>4.761904762E-2</v>
      </c>
      <c r="P36" s="23">
        <v>3.6160000000000001</v>
      </c>
      <c r="Q36" s="28">
        <v>9.5</v>
      </c>
      <c r="S36" s="5" t="s">
        <v>1522</v>
      </c>
      <c r="T36" s="5" t="str">
        <f>VLOOKUP($S36,SupermarketData!$1:$1048576,3,FALSE)</f>
        <v>Naypyitaw</v>
      </c>
      <c r="U36" s="5" t="str">
        <f>VLOOKUP(SupermarketData!$S36,SupermarketData!$1:$1048576,4,)</f>
        <v>Normal</v>
      </c>
      <c r="V36" s="5" t="str">
        <f>VLOOKUP($S36,SupermarketData!$1:$1048576,5,FALSE)</f>
        <v>Male</v>
      </c>
      <c r="W36" s="5" t="str">
        <f>VLOOKUP($S36,SupermarketData!$1:$1048576,6,)</f>
        <v>Food and beverages</v>
      </c>
      <c r="Y36" s="42">
        <v>85.742999999999995</v>
      </c>
      <c r="Z36" s="5" t="str">
        <f>_xlfn.XLOOKUP($Y36,SupermarketData!$J:$J,SupermarketData!$A:$A)</f>
        <v>390-31-6381</v>
      </c>
    </row>
    <row r="37" spans="1:26" x14ac:dyDescent="0.35">
      <c r="A37" s="21" t="s">
        <v>1527</v>
      </c>
      <c r="B37" s="22" t="s">
        <v>1466</v>
      </c>
      <c r="C37" s="22" t="s">
        <v>1467</v>
      </c>
      <c r="D37" s="22" t="s">
        <v>1461</v>
      </c>
      <c r="E37" s="22" t="s">
        <v>27</v>
      </c>
      <c r="F37" s="22" t="s">
        <v>1501</v>
      </c>
      <c r="G37" s="22">
        <v>63.06</v>
      </c>
      <c r="H37" s="22">
        <v>3</v>
      </c>
      <c r="I37" s="22">
        <v>9.4589999999999996</v>
      </c>
      <c r="J37" s="23">
        <v>198.63900000000001</v>
      </c>
      <c r="K37" s="24" t="s">
        <v>1528</v>
      </c>
      <c r="L37" s="25">
        <v>0.66527777777777775</v>
      </c>
      <c r="M37" s="22" t="s">
        <v>1469</v>
      </c>
      <c r="N37" s="26">
        <v>189.18</v>
      </c>
      <c r="O37" s="27">
        <f t="shared" si="0"/>
        <v>4.761904762E-2</v>
      </c>
      <c r="P37" s="23">
        <v>9.4589999999999996</v>
      </c>
      <c r="Q37" s="28">
        <v>7</v>
      </c>
      <c r="S37" s="5" t="s">
        <v>1523</v>
      </c>
      <c r="T37" s="5" t="str">
        <f>VLOOKUP($S37,SupermarketData!$1:$1048576,3,FALSE)</f>
        <v>Yangon</v>
      </c>
      <c r="U37" s="5" t="str">
        <f>VLOOKUP(SupermarketData!$S37,SupermarketData!$1:$1048576,4,)</f>
        <v>Member</v>
      </c>
      <c r="V37" s="5" t="str">
        <f>VLOOKUP($S37,SupermarketData!$1:$1048576,5,FALSE)</f>
        <v>Female</v>
      </c>
      <c r="W37" s="5" t="str">
        <f>VLOOKUP($S37,SupermarketData!$1:$1048576,6,)</f>
        <v>Health and beauty</v>
      </c>
      <c r="Y37" s="42">
        <v>326.25599999999997</v>
      </c>
      <c r="Z37" s="5" t="str">
        <f>_xlfn.XLOOKUP($Y37,SupermarketData!$J:$J,SupermarketData!$A:$A)</f>
        <v>443-82-0585</v>
      </c>
    </row>
    <row r="38" spans="1:26" x14ac:dyDescent="0.35">
      <c r="A38" s="21" t="s">
        <v>1529</v>
      </c>
      <c r="B38" s="22" t="s">
        <v>1459</v>
      </c>
      <c r="C38" s="22" t="s">
        <v>1460</v>
      </c>
      <c r="D38" s="22" t="s">
        <v>1461</v>
      </c>
      <c r="E38" s="22" t="s">
        <v>27</v>
      </c>
      <c r="F38" s="22" t="s">
        <v>1473</v>
      </c>
      <c r="G38" s="22">
        <v>51.71</v>
      </c>
      <c r="H38" s="22">
        <v>4</v>
      </c>
      <c r="I38" s="22">
        <v>10.342000000000001</v>
      </c>
      <c r="J38" s="23">
        <v>217.18199999999999</v>
      </c>
      <c r="K38" s="24">
        <v>43711</v>
      </c>
      <c r="L38" s="25">
        <v>0.57847222222222228</v>
      </c>
      <c r="M38" s="22" t="s">
        <v>1477</v>
      </c>
      <c r="N38" s="26">
        <v>206.84</v>
      </c>
      <c r="O38" s="27">
        <f t="shared" si="0"/>
        <v>4.761904762E-2</v>
      </c>
      <c r="P38" s="23">
        <v>10.342000000000001</v>
      </c>
      <c r="Q38" s="28">
        <v>9.8000000000000007</v>
      </c>
      <c r="S38" s="5" t="s">
        <v>1524</v>
      </c>
      <c r="T38" s="5" t="str">
        <f>VLOOKUP($S38,SupermarketData!$1:$1048576,3,FALSE)</f>
        <v>Naypyitaw</v>
      </c>
      <c r="U38" s="5" t="str">
        <f>VLOOKUP(SupermarketData!$S38,SupermarketData!$1:$1048576,4,)</f>
        <v>Member</v>
      </c>
      <c r="V38" s="5" t="str">
        <f>VLOOKUP($S38,SupermarketData!$1:$1048576,5,FALSE)</f>
        <v>Female</v>
      </c>
      <c r="W38" s="5" t="str">
        <f>VLOOKUP($S38,SupermarketData!$1:$1048576,6,)</f>
        <v>Fashion accessories</v>
      </c>
      <c r="Y38" s="42">
        <v>195.25800000000001</v>
      </c>
      <c r="Z38" s="5" t="str">
        <f>_xlfn.XLOOKUP($Y38,SupermarketData!$J:$J,SupermarketData!$A:$A)</f>
        <v>339-18-7061</v>
      </c>
    </row>
    <row r="39" spans="1:26" x14ac:dyDescent="0.35">
      <c r="A39" s="21" t="s">
        <v>1530</v>
      </c>
      <c r="B39" s="22" t="s">
        <v>1459</v>
      </c>
      <c r="C39" s="22" t="s">
        <v>1460</v>
      </c>
      <c r="D39" s="22" t="s">
        <v>1461</v>
      </c>
      <c r="E39" s="22" t="s">
        <v>19</v>
      </c>
      <c r="F39" s="22" t="s">
        <v>1486</v>
      </c>
      <c r="G39" s="22">
        <v>52.34</v>
      </c>
      <c r="H39" s="22">
        <v>3</v>
      </c>
      <c r="I39" s="22">
        <v>7.851</v>
      </c>
      <c r="J39" s="23">
        <v>164.87100000000001</v>
      </c>
      <c r="K39" s="24" t="s">
        <v>1531</v>
      </c>
      <c r="L39" s="25">
        <v>0.5854166666666667</v>
      </c>
      <c r="M39" s="22" t="s">
        <v>1464</v>
      </c>
      <c r="N39" s="26">
        <v>157.02000000000001</v>
      </c>
      <c r="O39" s="27">
        <f t="shared" si="0"/>
        <v>4.761904762E-2</v>
      </c>
      <c r="P39" s="23">
        <v>7.851</v>
      </c>
      <c r="Q39" s="28">
        <v>9.1999999999999993</v>
      </c>
      <c r="S39" s="5" t="s">
        <v>1526</v>
      </c>
      <c r="T39" s="5" t="str">
        <f>VLOOKUP($S39,SupermarketData!$1:$1048576,3,FALSE)</f>
        <v>Mandalay</v>
      </c>
      <c r="U39" s="5" t="str">
        <f>VLOOKUP(SupermarketData!$S39,SupermarketData!$1:$1048576,4,)</f>
        <v>Member</v>
      </c>
      <c r="V39" s="5" t="str">
        <f>VLOOKUP($S39,SupermarketData!$1:$1048576,5,FALSE)</f>
        <v>Female</v>
      </c>
      <c r="W39" s="5" t="str">
        <f>VLOOKUP($S39,SupermarketData!$1:$1048576,6,)</f>
        <v>Fashion accessories</v>
      </c>
      <c r="Y39" s="42">
        <v>75.936000000000007</v>
      </c>
      <c r="Z39" s="5" t="str">
        <f>_xlfn.XLOOKUP($Y39,SupermarketData!$J:$J,SupermarketData!$A:$A)</f>
        <v>359-90-3665</v>
      </c>
    </row>
    <row r="40" spans="1:26" x14ac:dyDescent="0.35">
      <c r="A40" s="21" t="s">
        <v>1532</v>
      </c>
      <c r="B40" s="22" t="s">
        <v>1459</v>
      </c>
      <c r="C40" s="22" t="s">
        <v>1460</v>
      </c>
      <c r="D40" s="22" t="s">
        <v>1461</v>
      </c>
      <c r="E40" s="22" t="s">
        <v>19</v>
      </c>
      <c r="F40" s="22" t="s">
        <v>1501</v>
      </c>
      <c r="G40" s="22">
        <v>43.06</v>
      </c>
      <c r="H40" s="22">
        <v>5</v>
      </c>
      <c r="I40" s="22">
        <v>10.765000000000001</v>
      </c>
      <c r="J40" s="23">
        <v>226.065</v>
      </c>
      <c r="K40" s="24">
        <v>43557</v>
      </c>
      <c r="L40" s="25">
        <v>0.69305555555555554</v>
      </c>
      <c r="M40" s="22" t="s">
        <v>1469</v>
      </c>
      <c r="N40" s="26">
        <v>215.3</v>
      </c>
      <c r="O40" s="27">
        <f t="shared" si="0"/>
        <v>4.761904762E-2</v>
      </c>
      <c r="P40" s="23">
        <v>10.765000000000001</v>
      </c>
      <c r="Q40" s="28">
        <v>7.7</v>
      </c>
      <c r="S40" s="5" t="s">
        <v>1527</v>
      </c>
      <c r="T40" s="5" t="str">
        <f>VLOOKUP($S40,SupermarketData!$1:$1048576,3,FALSE)</f>
        <v>Mandalay</v>
      </c>
      <c r="U40" s="5" t="str">
        <f>VLOOKUP(SupermarketData!$S40,SupermarketData!$1:$1048576,4,)</f>
        <v>Normal</v>
      </c>
      <c r="V40" s="5" t="str">
        <f>VLOOKUP($S40,SupermarketData!$1:$1048576,5,FALSE)</f>
        <v>Male</v>
      </c>
      <c r="W40" s="5" t="str">
        <f>VLOOKUP($S40,SupermarketData!$1:$1048576,6,)</f>
        <v>Sports and travel</v>
      </c>
      <c r="Y40" s="42">
        <v>198.63900000000001</v>
      </c>
      <c r="Z40" s="5" t="str">
        <f>_xlfn.XLOOKUP($Y40,SupermarketData!$J:$J,SupermarketData!$A:$A)</f>
        <v>375-72-3056</v>
      </c>
    </row>
    <row r="41" spans="1:26" x14ac:dyDescent="0.35">
      <c r="A41" s="21" t="s">
        <v>1533</v>
      </c>
      <c r="B41" s="22" t="s">
        <v>1475</v>
      </c>
      <c r="C41" s="22" t="s">
        <v>1476</v>
      </c>
      <c r="D41" s="22" t="s">
        <v>1461</v>
      </c>
      <c r="E41" s="22" t="s">
        <v>27</v>
      </c>
      <c r="F41" s="22" t="s">
        <v>1468</v>
      </c>
      <c r="G41" s="22">
        <v>59.61</v>
      </c>
      <c r="H41" s="22">
        <v>10</v>
      </c>
      <c r="I41" s="22">
        <v>29.805</v>
      </c>
      <c r="J41" s="23">
        <v>625.90499999999997</v>
      </c>
      <c r="K41" s="24" t="s">
        <v>1492</v>
      </c>
      <c r="L41" s="25">
        <v>0.46319444444444446</v>
      </c>
      <c r="M41" s="22" t="s">
        <v>1464</v>
      </c>
      <c r="N41" s="26">
        <v>596.1</v>
      </c>
      <c r="O41" s="27">
        <f t="shared" si="0"/>
        <v>4.761904762E-2</v>
      </c>
      <c r="P41" s="23">
        <v>29.805</v>
      </c>
      <c r="Q41" s="28">
        <v>5.3</v>
      </c>
      <c r="S41" s="5" t="s">
        <v>1529</v>
      </c>
      <c r="T41" s="5" t="str">
        <f>VLOOKUP($S41,SupermarketData!$1:$1048576,3,FALSE)</f>
        <v>Yangon</v>
      </c>
      <c r="U41" s="5" t="str">
        <f>VLOOKUP(SupermarketData!$S41,SupermarketData!$1:$1048576,4,)</f>
        <v>Normal</v>
      </c>
      <c r="V41" s="5" t="str">
        <f>VLOOKUP($S41,SupermarketData!$1:$1048576,5,FALSE)</f>
        <v>Male</v>
      </c>
      <c r="W41" s="5" t="str">
        <f>VLOOKUP($S41,SupermarketData!$1:$1048576,6,)</f>
        <v>Health and beauty</v>
      </c>
      <c r="Y41" s="42">
        <v>217.18199999999999</v>
      </c>
      <c r="Z41" s="5" t="str">
        <f>_xlfn.XLOOKUP($Y41,SupermarketData!$J:$J,SupermarketData!$A:$A)</f>
        <v>127-47-6963</v>
      </c>
    </row>
    <row r="42" spans="1:26" x14ac:dyDescent="0.35">
      <c r="A42" s="21" t="s">
        <v>1534</v>
      </c>
      <c r="B42" s="22" t="s">
        <v>1459</v>
      </c>
      <c r="C42" s="22" t="s">
        <v>1460</v>
      </c>
      <c r="D42" s="22" t="s">
        <v>1461</v>
      </c>
      <c r="E42" s="22" t="s">
        <v>27</v>
      </c>
      <c r="F42" s="22" t="s">
        <v>1473</v>
      </c>
      <c r="G42" s="22">
        <v>14.62</v>
      </c>
      <c r="H42" s="22">
        <v>5</v>
      </c>
      <c r="I42" s="22">
        <v>3.6549999999999998</v>
      </c>
      <c r="J42" s="23">
        <v>76.754999999999995</v>
      </c>
      <c r="K42" s="24">
        <v>43558</v>
      </c>
      <c r="L42" s="25">
        <v>0.51597222222222228</v>
      </c>
      <c r="M42" s="22" t="s">
        <v>1464</v>
      </c>
      <c r="N42" s="26">
        <v>73.099999999999994</v>
      </c>
      <c r="O42" s="27">
        <f t="shared" si="0"/>
        <v>4.761904762E-2</v>
      </c>
      <c r="P42" s="23">
        <v>3.6549999999999998</v>
      </c>
      <c r="Q42" s="28">
        <v>4.4000000000000004</v>
      </c>
      <c r="S42" s="5" t="s">
        <v>1530</v>
      </c>
      <c r="T42" s="5" t="str">
        <f>VLOOKUP($S42,SupermarketData!$1:$1048576,3,FALSE)</f>
        <v>Yangon</v>
      </c>
      <c r="U42" s="5" t="str">
        <f>VLOOKUP(SupermarketData!$S42,SupermarketData!$1:$1048576,4,)</f>
        <v>Normal</v>
      </c>
      <c r="V42" s="5" t="str">
        <f>VLOOKUP($S42,SupermarketData!$1:$1048576,5,FALSE)</f>
        <v>Female</v>
      </c>
      <c r="W42" s="5" t="str">
        <f>VLOOKUP($S42,SupermarketData!$1:$1048576,6,)</f>
        <v>Food and beverages</v>
      </c>
      <c r="Y42" s="42">
        <v>164.87100000000001</v>
      </c>
      <c r="Z42" s="5" t="str">
        <f>_xlfn.XLOOKUP($Y42,SupermarketData!$J:$J,SupermarketData!$A:$A)</f>
        <v>278-86-2735</v>
      </c>
    </row>
    <row r="43" spans="1:26" x14ac:dyDescent="0.35">
      <c r="A43" s="21" t="s">
        <v>1535</v>
      </c>
      <c r="B43" s="22" t="s">
        <v>1475</v>
      </c>
      <c r="C43" s="22" t="s">
        <v>1476</v>
      </c>
      <c r="D43" s="22" t="s">
        <v>1479</v>
      </c>
      <c r="E43" s="22" t="s">
        <v>27</v>
      </c>
      <c r="F43" s="22" t="s">
        <v>1473</v>
      </c>
      <c r="G43" s="22">
        <v>46.53</v>
      </c>
      <c r="H43" s="22">
        <v>6</v>
      </c>
      <c r="I43" s="22">
        <v>13.959</v>
      </c>
      <c r="J43" s="23">
        <v>293.13900000000001</v>
      </c>
      <c r="K43" s="24">
        <v>43527</v>
      </c>
      <c r="L43" s="25">
        <v>0.45416666666666666</v>
      </c>
      <c r="M43" s="22" t="s">
        <v>1477</v>
      </c>
      <c r="N43" s="26">
        <v>279.18</v>
      </c>
      <c r="O43" s="27">
        <f t="shared" si="0"/>
        <v>4.761904762E-2</v>
      </c>
      <c r="P43" s="23">
        <v>13.959</v>
      </c>
      <c r="Q43" s="28">
        <v>4.3</v>
      </c>
      <c r="S43" s="5" t="s">
        <v>1532</v>
      </c>
      <c r="T43" s="5" t="str">
        <f>VLOOKUP($S43,SupermarketData!$1:$1048576,3,FALSE)</f>
        <v>Yangon</v>
      </c>
      <c r="U43" s="5" t="str">
        <f>VLOOKUP(SupermarketData!$S43,SupermarketData!$1:$1048576,4,)</f>
        <v>Normal</v>
      </c>
      <c r="V43" s="5" t="str">
        <f>VLOOKUP($S43,SupermarketData!$1:$1048576,5,FALSE)</f>
        <v>Female</v>
      </c>
      <c r="W43" s="5" t="str">
        <f>VLOOKUP($S43,SupermarketData!$1:$1048576,6,)</f>
        <v>Sports and travel</v>
      </c>
      <c r="Y43" s="42">
        <v>226.065</v>
      </c>
      <c r="Z43" s="5" t="str">
        <f>_xlfn.XLOOKUP($Y43,SupermarketData!$J:$J,SupermarketData!$A:$A)</f>
        <v>695-28-6250</v>
      </c>
    </row>
    <row r="44" spans="1:26" x14ac:dyDescent="0.35">
      <c r="A44" s="21" t="s">
        <v>1536</v>
      </c>
      <c r="B44" s="22" t="s">
        <v>1475</v>
      </c>
      <c r="C44" s="22" t="s">
        <v>1476</v>
      </c>
      <c r="D44" s="22" t="s">
        <v>1479</v>
      </c>
      <c r="E44" s="22" t="s">
        <v>19</v>
      </c>
      <c r="F44" s="22" t="s">
        <v>1482</v>
      </c>
      <c r="G44" s="22">
        <v>24.24</v>
      </c>
      <c r="H44" s="22">
        <v>7</v>
      </c>
      <c r="I44" s="22">
        <v>8.484</v>
      </c>
      <c r="J44" s="23">
        <v>178.16399999999999</v>
      </c>
      <c r="K44" s="24" t="s">
        <v>1537</v>
      </c>
      <c r="L44" s="25">
        <v>0.73472222222222228</v>
      </c>
      <c r="M44" s="22" t="s">
        <v>1469</v>
      </c>
      <c r="N44" s="26">
        <v>169.68</v>
      </c>
      <c r="O44" s="27">
        <f t="shared" si="0"/>
        <v>4.761904762E-2</v>
      </c>
      <c r="P44" s="23">
        <v>8.484</v>
      </c>
      <c r="Q44" s="28">
        <v>9.4</v>
      </c>
      <c r="S44" s="5" t="s">
        <v>1533</v>
      </c>
      <c r="T44" s="5" t="str">
        <f>VLOOKUP($S44,SupermarketData!$1:$1048576,3,FALSE)</f>
        <v>Naypyitaw</v>
      </c>
      <c r="U44" s="5" t="str">
        <f>VLOOKUP(SupermarketData!$S44,SupermarketData!$1:$1048576,4,)</f>
        <v>Normal</v>
      </c>
      <c r="V44" s="5" t="str">
        <f>VLOOKUP($S44,SupermarketData!$1:$1048576,5,FALSE)</f>
        <v>Male</v>
      </c>
      <c r="W44" s="5" t="str">
        <f>VLOOKUP($S44,SupermarketData!$1:$1048576,6,)</f>
        <v>Fashion accessories</v>
      </c>
      <c r="Y44" s="42">
        <v>625.90499999999997</v>
      </c>
      <c r="Z44" s="5" t="str">
        <f>_xlfn.XLOOKUP($Y44,SupermarketData!$J:$J,SupermarketData!$A:$A)</f>
        <v>379-17-6588</v>
      </c>
    </row>
    <row r="45" spans="1:26" x14ac:dyDescent="0.35">
      <c r="A45" s="21" t="s">
        <v>1538</v>
      </c>
      <c r="B45" s="22" t="s">
        <v>1459</v>
      </c>
      <c r="C45" s="22" t="s">
        <v>1460</v>
      </c>
      <c r="D45" s="22" t="s">
        <v>1479</v>
      </c>
      <c r="E45" s="22" t="s">
        <v>19</v>
      </c>
      <c r="F45" s="22" t="s">
        <v>1501</v>
      </c>
      <c r="G45" s="22">
        <v>45.58</v>
      </c>
      <c r="H45" s="22">
        <v>1</v>
      </c>
      <c r="I45" s="22">
        <v>2.2789999999999999</v>
      </c>
      <c r="J45" s="23">
        <v>47.859000000000002</v>
      </c>
      <c r="K45" s="24">
        <v>43648</v>
      </c>
      <c r="L45" s="25">
        <v>0.59236111111111112</v>
      </c>
      <c r="M45" s="22" t="s">
        <v>1464</v>
      </c>
      <c r="N45" s="26">
        <v>45.58</v>
      </c>
      <c r="O45" s="27">
        <f t="shared" si="0"/>
        <v>4.761904762E-2</v>
      </c>
      <c r="P45" s="23">
        <v>2.2789999999999999</v>
      </c>
      <c r="Q45" s="28">
        <v>9.8000000000000007</v>
      </c>
      <c r="S45" s="5" t="s">
        <v>1534</v>
      </c>
      <c r="T45" s="5" t="str">
        <f>VLOOKUP($S45,SupermarketData!$1:$1048576,3,FALSE)</f>
        <v>Yangon</v>
      </c>
      <c r="U45" s="5" t="str">
        <f>VLOOKUP(SupermarketData!$S45,SupermarketData!$1:$1048576,4,)</f>
        <v>Normal</v>
      </c>
      <c r="V45" s="5" t="str">
        <f>VLOOKUP($S45,SupermarketData!$1:$1048576,5,FALSE)</f>
        <v>Male</v>
      </c>
      <c r="W45" s="5" t="str">
        <f>VLOOKUP($S45,SupermarketData!$1:$1048576,6,)</f>
        <v>Health and beauty</v>
      </c>
      <c r="Y45" s="42">
        <v>76.754999999999995</v>
      </c>
      <c r="Z45" s="5" t="str">
        <f>_xlfn.XLOOKUP($Y45,SupermarketData!$J:$J,SupermarketData!$A:$A)</f>
        <v>227-50-3718</v>
      </c>
    </row>
    <row r="46" spans="1:26" x14ac:dyDescent="0.35">
      <c r="A46" s="21" t="s">
        <v>1539</v>
      </c>
      <c r="B46" s="22" t="s">
        <v>1459</v>
      </c>
      <c r="C46" s="22" t="s">
        <v>1460</v>
      </c>
      <c r="D46" s="22" t="s">
        <v>1479</v>
      </c>
      <c r="E46" s="22" t="s">
        <v>19</v>
      </c>
      <c r="F46" s="22" t="s">
        <v>1501</v>
      </c>
      <c r="G46" s="22">
        <v>75.2</v>
      </c>
      <c r="H46" s="22">
        <v>3</v>
      </c>
      <c r="I46" s="22">
        <v>11.28</v>
      </c>
      <c r="J46" s="23">
        <v>236.88</v>
      </c>
      <c r="K46" s="24">
        <v>43587</v>
      </c>
      <c r="L46" s="25">
        <v>0.49375000000000002</v>
      </c>
      <c r="M46" s="22" t="s">
        <v>1469</v>
      </c>
      <c r="N46" s="26">
        <v>225.6</v>
      </c>
      <c r="O46" s="27">
        <f t="shared" si="0"/>
        <v>4.761904762E-2</v>
      </c>
      <c r="P46" s="23">
        <v>11.28</v>
      </c>
      <c r="Q46" s="28">
        <v>4.8</v>
      </c>
      <c r="S46" s="5" t="s">
        <v>1535</v>
      </c>
      <c r="T46" s="5" t="str">
        <f>VLOOKUP($S46,SupermarketData!$1:$1048576,3,FALSE)</f>
        <v>Naypyitaw</v>
      </c>
      <c r="U46" s="5" t="str">
        <f>VLOOKUP(SupermarketData!$S46,SupermarketData!$1:$1048576,4,)</f>
        <v>Member</v>
      </c>
      <c r="V46" s="5" t="str">
        <f>VLOOKUP($S46,SupermarketData!$1:$1048576,5,FALSE)</f>
        <v>Male</v>
      </c>
      <c r="W46" s="5" t="str">
        <f>VLOOKUP($S46,SupermarketData!$1:$1048576,6,)</f>
        <v>Health and beauty</v>
      </c>
      <c r="Y46" s="42">
        <v>293.13900000000001</v>
      </c>
      <c r="Z46" s="5" t="str">
        <f>_xlfn.XLOOKUP($Y46,SupermarketData!$J:$J,SupermarketData!$A:$A)</f>
        <v>302-15-2162</v>
      </c>
    </row>
    <row r="47" spans="1:26" x14ac:dyDescent="0.35">
      <c r="A47" s="21" t="s">
        <v>1540</v>
      </c>
      <c r="B47" s="22" t="s">
        <v>1466</v>
      </c>
      <c r="C47" s="22" t="s">
        <v>1467</v>
      </c>
      <c r="D47" s="22" t="s">
        <v>1479</v>
      </c>
      <c r="E47" s="22" t="s">
        <v>27</v>
      </c>
      <c r="F47" s="22" t="s">
        <v>1501</v>
      </c>
      <c r="G47" s="22">
        <v>96.8</v>
      </c>
      <c r="H47" s="22">
        <v>3</v>
      </c>
      <c r="I47" s="22">
        <v>14.52</v>
      </c>
      <c r="J47" s="23">
        <v>304.92</v>
      </c>
      <c r="K47" s="24" t="s">
        <v>1541</v>
      </c>
      <c r="L47" s="25">
        <v>0.54513888888888884</v>
      </c>
      <c r="M47" s="22" t="s">
        <v>1464</v>
      </c>
      <c r="N47" s="26">
        <v>290.39999999999998</v>
      </c>
      <c r="O47" s="27">
        <f t="shared" si="0"/>
        <v>4.761904762E-2</v>
      </c>
      <c r="P47" s="23">
        <v>14.52</v>
      </c>
      <c r="Q47" s="28">
        <v>5.3</v>
      </c>
      <c r="S47" s="5" t="s">
        <v>1536</v>
      </c>
      <c r="T47" s="5" t="str">
        <f>VLOOKUP($S47,SupermarketData!$1:$1048576,3,FALSE)</f>
        <v>Naypyitaw</v>
      </c>
      <c r="U47" s="5" t="str">
        <f>VLOOKUP(SupermarketData!$S47,SupermarketData!$1:$1048576,4,)</f>
        <v>Member</v>
      </c>
      <c r="V47" s="5" t="str">
        <f>VLOOKUP($S47,SupermarketData!$1:$1048576,5,FALSE)</f>
        <v>Female</v>
      </c>
      <c r="W47" s="5" t="str">
        <f>VLOOKUP($S47,SupermarketData!$1:$1048576,6,)</f>
        <v>Home and lifestyle</v>
      </c>
      <c r="Y47" s="42">
        <v>178.16399999999999</v>
      </c>
      <c r="Z47" s="5" t="str">
        <f>_xlfn.XLOOKUP($Y47,SupermarketData!$J:$J,SupermarketData!$A:$A)</f>
        <v>788-07-8452</v>
      </c>
    </row>
    <row r="48" spans="1:26" x14ac:dyDescent="0.35">
      <c r="A48" s="21" t="s">
        <v>1542</v>
      </c>
      <c r="B48" s="22" t="s">
        <v>1466</v>
      </c>
      <c r="C48" s="22" t="s">
        <v>1467</v>
      </c>
      <c r="D48" s="22" t="s">
        <v>1461</v>
      </c>
      <c r="E48" s="22" t="s">
        <v>27</v>
      </c>
      <c r="F48" s="22" t="s">
        <v>1473</v>
      </c>
      <c r="G48" s="22">
        <v>14.82</v>
      </c>
      <c r="H48" s="22">
        <v>3</v>
      </c>
      <c r="I48" s="22">
        <v>2.2229999999999999</v>
      </c>
      <c r="J48" s="23">
        <v>46.683</v>
      </c>
      <c r="K48" s="24">
        <v>43468</v>
      </c>
      <c r="L48" s="25">
        <v>0.47916666666666669</v>
      </c>
      <c r="M48" s="22" t="s">
        <v>1477</v>
      </c>
      <c r="N48" s="26">
        <v>44.46</v>
      </c>
      <c r="O48" s="27">
        <f t="shared" si="0"/>
        <v>4.761904762E-2</v>
      </c>
      <c r="P48" s="23">
        <v>2.2229999999999999</v>
      </c>
      <c r="Q48" s="28">
        <v>8.6999999999999993</v>
      </c>
      <c r="S48" s="5" t="s">
        <v>1538</v>
      </c>
      <c r="T48" s="5" t="str">
        <f>VLOOKUP($S48,SupermarketData!$1:$1048576,3,FALSE)</f>
        <v>Yangon</v>
      </c>
      <c r="U48" s="5" t="str">
        <f>VLOOKUP(SupermarketData!$S48,SupermarketData!$1:$1048576,4,)</f>
        <v>Member</v>
      </c>
      <c r="V48" s="5" t="str">
        <f>VLOOKUP($S48,SupermarketData!$1:$1048576,5,FALSE)</f>
        <v>Female</v>
      </c>
      <c r="W48" s="5" t="str">
        <f>VLOOKUP($S48,SupermarketData!$1:$1048576,6,)</f>
        <v>Sports and travel</v>
      </c>
      <c r="Y48" s="42">
        <v>47.859000000000002</v>
      </c>
      <c r="Z48" s="5" t="str">
        <f>_xlfn.XLOOKUP($Y48,SupermarketData!$J:$J,SupermarketData!$A:$A)</f>
        <v>560-49-6611</v>
      </c>
    </row>
    <row r="49" spans="1:26" x14ac:dyDescent="0.35">
      <c r="A49" s="21" t="s">
        <v>1543</v>
      </c>
      <c r="B49" s="22" t="s">
        <v>1459</v>
      </c>
      <c r="C49" s="22" t="s">
        <v>1460</v>
      </c>
      <c r="D49" s="22" t="s">
        <v>1461</v>
      </c>
      <c r="E49" s="22" t="s">
        <v>27</v>
      </c>
      <c r="F49" s="22" t="s">
        <v>1486</v>
      </c>
      <c r="G49" s="22">
        <v>52.2</v>
      </c>
      <c r="H49" s="22">
        <v>3</v>
      </c>
      <c r="I49" s="22">
        <v>7.83</v>
      </c>
      <c r="J49" s="23">
        <v>164.43</v>
      </c>
      <c r="K49" s="24" t="s">
        <v>1544</v>
      </c>
      <c r="L49" s="25">
        <v>0.5625</v>
      </c>
      <c r="M49" s="22" t="s">
        <v>1477</v>
      </c>
      <c r="N49" s="26">
        <v>156.6</v>
      </c>
      <c r="O49" s="27">
        <f t="shared" si="0"/>
        <v>4.761904762E-2</v>
      </c>
      <c r="P49" s="23">
        <v>7.83</v>
      </c>
      <c r="Q49" s="28">
        <v>9.5</v>
      </c>
      <c r="S49" s="5" t="s">
        <v>1539</v>
      </c>
      <c r="T49" s="5" t="str">
        <f>VLOOKUP($S49,SupermarketData!$1:$1048576,3,FALSE)</f>
        <v>Yangon</v>
      </c>
      <c r="U49" s="5" t="str">
        <f>VLOOKUP(SupermarketData!$S49,SupermarketData!$1:$1048576,4,)</f>
        <v>Member</v>
      </c>
      <c r="V49" s="5" t="str">
        <f>VLOOKUP($S49,SupermarketData!$1:$1048576,5,FALSE)</f>
        <v>Female</v>
      </c>
      <c r="W49" s="5" t="str">
        <f>VLOOKUP($S49,SupermarketData!$1:$1048576,6,)</f>
        <v>Sports and travel</v>
      </c>
      <c r="Y49" s="42">
        <v>236.88</v>
      </c>
      <c r="Z49" s="5" t="str">
        <f>_xlfn.XLOOKUP($Y49,SupermarketData!$J:$J,SupermarketData!$A:$A)</f>
        <v>880-35-0356</v>
      </c>
    </row>
    <row r="50" spans="1:26" x14ac:dyDescent="0.35">
      <c r="A50" s="21" t="s">
        <v>1545</v>
      </c>
      <c r="B50" s="22" t="s">
        <v>1475</v>
      </c>
      <c r="C50" s="22" t="s">
        <v>1476</v>
      </c>
      <c r="D50" s="22" t="s">
        <v>1461</v>
      </c>
      <c r="E50" s="22" t="s">
        <v>19</v>
      </c>
      <c r="F50" s="22" t="s">
        <v>1501</v>
      </c>
      <c r="G50" s="22">
        <v>46.66</v>
      </c>
      <c r="H50" s="22">
        <v>9</v>
      </c>
      <c r="I50" s="22">
        <v>20.997</v>
      </c>
      <c r="J50" s="23">
        <v>440.93700000000001</v>
      </c>
      <c r="K50" s="24" t="s">
        <v>1546</v>
      </c>
      <c r="L50" s="25">
        <v>0.7993055555555556</v>
      </c>
      <c r="M50" s="22" t="s">
        <v>1469</v>
      </c>
      <c r="N50" s="26">
        <v>419.94</v>
      </c>
      <c r="O50" s="27">
        <f t="shared" si="0"/>
        <v>4.761904762E-2</v>
      </c>
      <c r="P50" s="23">
        <v>20.997</v>
      </c>
      <c r="Q50" s="28">
        <v>5.3</v>
      </c>
      <c r="S50" s="5" t="s">
        <v>1540</v>
      </c>
      <c r="T50" s="5" t="str">
        <f>VLOOKUP($S50,SupermarketData!$1:$1048576,3,FALSE)</f>
        <v>Mandalay</v>
      </c>
      <c r="U50" s="5" t="str">
        <f>VLOOKUP(SupermarketData!$S50,SupermarketData!$1:$1048576,4,)</f>
        <v>Member</v>
      </c>
      <c r="V50" s="5" t="str">
        <f>VLOOKUP($S50,SupermarketData!$1:$1048576,5,FALSE)</f>
        <v>Male</v>
      </c>
      <c r="W50" s="5" t="str">
        <f>VLOOKUP($S50,SupermarketData!$1:$1048576,6,)</f>
        <v>Sports and travel</v>
      </c>
      <c r="Y50" s="42">
        <v>304.92</v>
      </c>
      <c r="Z50" s="5" t="str">
        <f>_xlfn.XLOOKUP($Y50,SupermarketData!$J:$J,SupermarketData!$A:$A)</f>
        <v>585-11-6748</v>
      </c>
    </row>
    <row r="51" spans="1:26" x14ac:dyDescent="0.35">
      <c r="A51" s="21" t="s">
        <v>1547</v>
      </c>
      <c r="B51" s="22" t="s">
        <v>1475</v>
      </c>
      <c r="C51" s="22" t="s">
        <v>1476</v>
      </c>
      <c r="D51" s="22" t="s">
        <v>1461</v>
      </c>
      <c r="E51" s="22" t="s">
        <v>19</v>
      </c>
      <c r="F51" s="22" t="s">
        <v>1468</v>
      </c>
      <c r="G51" s="22">
        <v>36.85</v>
      </c>
      <c r="H51" s="22">
        <v>5</v>
      </c>
      <c r="I51" s="22">
        <v>9.2125000000000004</v>
      </c>
      <c r="J51" s="23">
        <v>193.46250000000001</v>
      </c>
      <c r="K51" s="24" t="s">
        <v>1548</v>
      </c>
      <c r="L51" s="25">
        <v>0.78680555555555554</v>
      </c>
      <c r="M51" s="22" t="s">
        <v>1464</v>
      </c>
      <c r="N51" s="26">
        <v>184.25</v>
      </c>
      <c r="O51" s="27">
        <f t="shared" si="0"/>
        <v>4.761904762E-2</v>
      </c>
      <c r="P51" s="23">
        <v>9.2125000000000004</v>
      </c>
      <c r="Q51" s="28">
        <v>9.1999999999999993</v>
      </c>
      <c r="S51" s="5" t="s">
        <v>1542</v>
      </c>
      <c r="T51" s="5" t="str">
        <f>VLOOKUP($S51,SupermarketData!$1:$1048576,3,FALSE)</f>
        <v>Mandalay</v>
      </c>
      <c r="U51" s="5" t="str">
        <f>VLOOKUP(SupermarketData!$S51,SupermarketData!$1:$1048576,4,)</f>
        <v>Normal</v>
      </c>
      <c r="V51" s="5" t="str">
        <f>VLOOKUP($S51,SupermarketData!$1:$1048576,5,FALSE)</f>
        <v>Male</v>
      </c>
      <c r="W51" s="5" t="str">
        <f>VLOOKUP($S51,SupermarketData!$1:$1048576,6,)</f>
        <v>Health and beauty</v>
      </c>
      <c r="Y51" s="42">
        <v>46.683</v>
      </c>
      <c r="Z51" s="5" t="str">
        <f>_xlfn.XLOOKUP($Y51,SupermarketData!$J:$J,SupermarketData!$A:$A)</f>
        <v>470-31-3286</v>
      </c>
    </row>
    <row r="52" spans="1:26" x14ac:dyDescent="0.35">
      <c r="A52" s="21" t="s">
        <v>1549</v>
      </c>
      <c r="B52" s="22" t="s">
        <v>1459</v>
      </c>
      <c r="C52" s="22" t="s">
        <v>1460</v>
      </c>
      <c r="D52" s="22" t="s">
        <v>1479</v>
      </c>
      <c r="E52" s="22" t="s">
        <v>19</v>
      </c>
      <c r="F52" s="22" t="s">
        <v>1482</v>
      </c>
      <c r="G52" s="22">
        <v>70.319999999999993</v>
      </c>
      <c r="H52" s="22">
        <v>2</v>
      </c>
      <c r="I52" s="22">
        <v>7.032</v>
      </c>
      <c r="J52" s="23">
        <v>147.672</v>
      </c>
      <c r="K52" s="24" t="s">
        <v>1550</v>
      </c>
      <c r="L52" s="25">
        <v>0.59861111111111109</v>
      </c>
      <c r="M52" s="22" t="s">
        <v>1469</v>
      </c>
      <c r="N52" s="26">
        <v>140.63999999999999</v>
      </c>
      <c r="O52" s="27">
        <f t="shared" si="0"/>
        <v>4.761904762E-2</v>
      </c>
      <c r="P52" s="23">
        <v>7.032</v>
      </c>
      <c r="Q52" s="28">
        <v>9.6</v>
      </c>
      <c r="S52" s="5" t="s">
        <v>1543</v>
      </c>
      <c r="T52" s="5" t="str">
        <f>VLOOKUP($S52,SupermarketData!$1:$1048576,3,FALSE)</f>
        <v>Yangon</v>
      </c>
      <c r="U52" s="5" t="str">
        <f>VLOOKUP(SupermarketData!$S52,SupermarketData!$1:$1048576,4,)</f>
        <v>Normal</v>
      </c>
      <c r="V52" s="5" t="str">
        <f>VLOOKUP($S52,SupermarketData!$1:$1048576,5,FALSE)</f>
        <v>Male</v>
      </c>
      <c r="W52" s="5" t="str">
        <f>VLOOKUP($S52,SupermarketData!$1:$1048576,6,)</f>
        <v>Food and beverages</v>
      </c>
      <c r="Y52" s="42">
        <v>164.43</v>
      </c>
      <c r="Z52" s="5" t="str">
        <f>_xlfn.XLOOKUP($Y52,SupermarketData!$J:$J,SupermarketData!$A:$A)</f>
        <v>152-68-2907</v>
      </c>
    </row>
    <row r="53" spans="1:26" x14ac:dyDescent="0.35">
      <c r="A53" s="21" t="s">
        <v>1551</v>
      </c>
      <c r="B53" s="22" t="s">
        <v>1475</v>
      </c>
      <c r="C53" s="22" t="s">
        <v>1476</v>
      </c>
      <c r="D53" s="22" t="s">
        <v>1461</v>
      </c>
      <c r="E53" s="22" t="s">
        <v>27</v>
      </c>
      <c r="F53" s="22" t="s">
        <v>1462</v>
      </c>
      <c r="G53" s="22">
        <v>83.08</v>
      </c>
      <c r="H53" s="22">
        <v>1</v>
      </c>
      <c r="I53" s="22">
        <v>4.1539999999999999</v>
      </c>
      <c r="J53" s="23">
        <v>87.233999999999995</v>
      </c>
      <c r="K53" s="24" t="s">
        <v>1463</v>
      </c>
      <c r="L53" s="25">
        <v>0.71944444444444444</v>
      </c>
      <c r="M53" s="22" t="s">
        <v>1469</v>
      </c>
      <c r="N53" s="26">
        <v>83.08</v>
      </c>
      <c r="O53" s="27">
        <f t="shared" si="0"/>
        <v>4.761904762E-2</v>
      </c>
      <c r="P53" s="23">
        <v>4.1539999999999999</v>
      </c>
      <c r="Q53" s="28">
        <v>6.4</v>
      </c>
      <c r="S53" s="5" t="s">
        <v>1545</v>
      </c>
      <c r="T53" s="5" t="str">
        <f>VLOOKUP($S53,SupermarketData!$1:$1048576,3,FALSE)</f>
        <v>Naypyitaw</v>
      </c>
      <c r="U53" s="5" t="str">
        <f>VLOOKUP(SupermarketData!$S53,SupermarketData!$1:$1048576,4,)</f>
        <v>Normal</v>
      </c>
      <c r="V53" s="5" t="str">
        <f>VLOOKUP($S53,SupermarketData!$1:$1048576,5,FALSE)</f>
        <v>Female</v>
      </c>
      <c r="W53" s="5" t="str">
        <f>VLOOKUP($S53,SupermarketData!$1:$1048576,6,)</f>
        <v>Sports and travel</v>
      </c>
      <c r="Y53" s="42">
        <v>440.93700000000001</v>
      </c>
      <c r="Z53" s="5" t="str">
        <f>_xlfn.XLOOKUP($Y53,SupermarketData!$J:$J,SupermarketData!$A:$A)</f>
        <v>123-35-4896</v>
      </c>
    </row>
    <row r="54" spans="1:26" x14ac:dyDescent="0.35">
      <c r="A54" s="21" t="s">
        <v>1552</v>
      </c>
      <c r="B54" s="22" t="s">
        <v>1475</v>
      </c>
      <c r="C54" s="22" t="s">
        <v>1476</v>
      </c>
      <c r="D54" s="22" t="s">
        <v>1461</v>
      </c>
      <c r="E54" s="22" t="s">
        <v>19</v>
      </c>
      <c r="F54" s="22" t="s">
        <v>1468</v>
      </c>
      <c r="G54" s="22">
        <v>64.989999999999995</v>
      </c>
      <c r="H54" s="22">
        <v>1</v>
      </c>
      <c r="I54" s="22">
        <v>3.2494999999999998</v>
      </c>
      <c r="J54" s="23">
        <v>68.239500000000007</v>
      </c>
      <c r="K54" s="24" t="s">
        <v>1548</v>
      </c>
      <c r="L54" s="25">
        <v>0.42083333333333334</v>
      </c>
      <c r="M54" s="22" t="s">
        <v>1477</v>
      </c>
      <c r="N54" s="26">
        <v>64.989999999999995</v>
      </c>
      <c r="O54" s="27">
        <f t="shared" si="0"/>
        <v>4.761904762E-2</v>
      </c>
      <c r="P54" s="23">
        <v>3.2494999999999998</v>
      </c>
      <c r="Q54" s="28">
        <v>4.5</v>
      </c>
      <c r="Y54" s="42"/>
      <c r="Z54" s="5"/>
    </row>
    <row r="55" spans="1:26" x14ac:dyDescent="0.35">
      <c r="A55" s="21" t="s">
        <v>1553</v>
      </c>
      <c r="B55" s="22" t="s">
        <v>1475</v>
      </c>
      <c r="C55" s="22" t="s">
        <v>1476</v>
      </c>
      <c r="D55" s="22" t="s">
        <v>1461</v>
      </c>
      <c r="E55" s="22" t="s">
        <v>27</v>
      </c>
      <c r="F55" s="22" t="s">
        <v>1486</v>
      </c>
      <c r="G55" s="22">
        <v>77.56</v>
      </c>
      <c r="H55" s="22">
        <v>10</v>
      </c>
      <c r="I55" s="22">
        <v>38.78</v>
      </c>
      <c r="J55" s="23">
        <v>814.38</v>
      </c>
      <c r="K55" s="24" t="s">
        <v>1492</v>
      </c>
      <c r="L55" s="25">
        <v>0.85763888888888884</v>
      </c>
      <c r="M55" s="22" t="s">
        <v>1469</v>
      </c>
      <c r="N55" s="26">
        <v>775.6</v>
      </c>
      <c r="O55" s="27">
        <f t="shared" si="0"/>
        <v>4.761904762E-2</v>
      </c>
      <c r="P55" s="23">
        <v>38.78</v>
      </c>
      <c r="Q55" s="28">
        <v>6.9</v>
      </c>
    </row>
    <row r="56" spans="1:26" x14ac:dyDescent="0.35">
      <c r="A56" s="21" t="s">
        <v>1554</v>
      </c>
      <c r="B56" s="22" t="s">
        <v>1466</v>
      </c>
      <c r="C56" s="22" t="s">
        <v>1467</v>
      </c>
      <c r="D56" s="22" t="s">
        <v>1461</v>
      </c>
      <c r="E56" s="22" t="s">
        <v>19</v>
      </c>
      <c r="F56" s="22" t="s">
        <v>1501</v>
      </c>
      <c r="G56" s="22">
        <v>54.51</v>
      </c>
      <c r="H56" s="22">
        <v>6</v>
      </c>
      <c r="I56" s="22">
        <v>16.353000000000002</v>
      </c>
      <c r="J56" s="23">
        <v>343.41300000000001</v>
      </c>
      <c r="K56" s="24" t="s">
        <v>1555</v>
      </c>
      <c r="L56" s="25">
        <v>0.57916666666666672</v>
      </c>
      <c r="M56" s="22" t="s">
        <v>1469</v>
      </c>
      <c r="N56" s="26">
        <v>327.06</v>
      </c>
      <c r="O56" s="27">
        <f t="shared" si="0"/>
        <v>4.761904762E-2</v>
      </c>
      <c r="P56" s="23">
        <v>16.353000000000002</v>
      </c>
      <c r="Q56" s="28">
        <v>7.8</v>
      </c>
    </row>
    <row r="57" spans="1:26" x14ac:dyDescent="0.35">
      <c r="A57" s="21" t="s">
        <v>1556</v>
      </c>
      <c r="B57" s="22" t="s">
        <v>1475</v>
      </c>
      <c r="C57" s="22" t="s">
        <v>1476</v>
      </c>
      <c r="D57" s="22" t="s">
        <v>1479</v>
      </c>
      <c r="E57" s="22" t="s">
        <v>19</v>
      </c>
      <c r="F57" s="22" t="s">
        <v>1468</v>
      </c>
      <c r="G57" s="22">
        <v>51.89</v>
      </c>
      <c r="H57" s="22">
        <v>7</v>
      </c>
      <c r="I57" s="22">
        <v>18.1615</v>
      </c>
      <c r="J57" s="23">
        <v>381.39150000000001</v>
      </c>
      <c r="K57" s="24">
        <v>43678</v>
      </c>
      <c r="L57" s="25">
        <v>0.83888888888888891</v>
      </c>
      <c r="M57" s="22" t="s">
        <v>1464</v>
      </c>
      <c r="N57" s="26">
        <v>363.23</v>
      </c>
      <c r="O57" s="27">
        <f t="shared" si="0"/>
        <v>4.761904762E-2</v>
      </c>
      <c r="P57" s="23">
        <v>18.1615</v>
      </c>
      <c r="Q57" s="28">
        <v>4.5</v>
      </c>
    </row>
    <row r="58" spans="1:26" x14ac:dyDescent="0.35">
      <c r="A58" s="21" t="s">
        <v>1557</v>
      </c>
      <c r="B58" s="22" t="s">
        <v>1466</v>
      </c>
      <c r="C58" s="22" t="s">
        <v>1467</v>
      </c>
      <c r="D58" s="22" t="s">
        <v>1461</v>
      </c>
      <c r="E58" s="22" t="s">
        <v>27</v>
      </c>
      <c r="F58" s="22" t="s">
        <v>1482</v>
      </c>
      <c r="G58" s="22">
        <v>31.75</v>
      </c>
      <c r="H58" s="22">
        <v>4</v>
      </c>
      <c r="I58" s="22">
        <v>6.35</v>
      </c>
      <c r="J58" s="23">
        <v>133.35</v>
      </c>
      <c r="K58" s="24">
        <v>43679</v>
      </c>
      <c r="L58" s="25">
        <v>0.6430555555555556</v>
      </c>
      <c r="M58" s="22" t="s">
        <v>1464</v>
      </c>
      <c r="N58" s="26">
        <v>127</v>
      </c>
      <c r="O58" s="27">
        <f t="shared" si="0"/>
        <v>4.761904762E-2</v>
      </c>
      <c r="P58" s="23">
        <v>6.35</v>
      </c>
      <c r="Q58" s="28">
        <v>8.6</v>
      </c>
    </row>
    <row r="59" spans="1:26" x14ac:dyDescent="0.35">
      <c r="A59" s="21" t="s">
        <v>1558</v>
      </c>
      <c r="B59" s="22" t="s">
        <v>1459</v>
      </c>
      <c r="C59" s="22" t="s">
        <v>1460</v>
      </c>
      <c r="D59" s="22" t="s">
        <v>1479</v>
      </c>
      <c r="E59" s="22" t="s">
        <v>19</v>
      </c>
      <c r="F59" s="22" t="s">
        <v>1468</v>
      </c>
      <c r="G59" s="22">
        <v>53.65</v>
      </c>
      <c r="H59" s="22">
        <v>7</v>
      </c>
      <c r="I59" s="22">
        <v>18.7775</v>
      </c>
      <c r="J59" s="23">
        <v>394.32749999999999</v>
      </c>
      <c r="K59" s="24">
        <v>43740</v>
      </c>
      <c r="L59" s="25">
        <v>0.53888888888888886</v>
      </c>
      <c r="M59" s="22" t="s">
        <v>1469</v>
      </c>
      <c r="N59" s="26">
        <v>375.55</v>
      </c>
      <c r="O59" s="27">
        <f t="shared" si="0"/>
        <v>4.761904762E-2</v>
      </c>
      <c r="P59" s="23">
        <v>18.7775</v>
      </c>
      <c r="Q59" s="28">
        <v>5.2</v>
      </c>
    </row>
    <row r="60" spans="1:26" x14ac:dyDescent="0.35">
      <c r="A60" s="21" t="s">
        <v>1559</v>
      </c>
      <c r="B60" s="22" t="s">
        <v>1475</v>
      </c>
      <c r="C60" s="22" t="s">
        <v>1476</v>
      </c>
      <c r="D60" s="22" t="s">
        <v>1479</v>
      </c>
      <c r="E60" s="22" t="s">
        <v>19</v>
      </c>
      <c r="F60" s="22" t="s">
        <v>1486</v>
      </c>
      <c r="G60" s="22">
        <v>49.79</v>
      </c>
      <c r="H60" s="22">
        <v>4</v>
      </c>
      <c r="I60" s="22">
        <v>9.9580000000000002</v>
      </c>
      <c r="J60" s="23">
        <v>209.11799999999999</v>
      </c>
      <c r="K60" s="24" t="s">
        <v>1560</v>
      </c>
      <c r="L60" s="25">
        <v>0.80277777777777781</v>
      </c>
      <c r="M60" s="22" t="s">
        <v>1477</v>
      </c>
      <c r="N60" s="26">
        <v>199.16</v>
      </c>
      <c r="O60" s="27">
        <f t="shared" si="0"/>
        <v>4.761904762E-2</v>
      </c>
      <c r="P60" s="23">
        <v>9.9580000000000002</v>
      </c>
      <c r="Q60" s="28">
        <v>6.4</v>
      </c>
    </row>
    <row r="61" spans="1:26" x14ac:dyDescent="0.35">
      <c r="A61" s="21" t="s">
        <v>1561</v>
      </c>
      <c r="B61" s="22" t="s">
        <v>1459</v>
      </c>
      <c r="C61" s="22" t="s">
        <v>1460</v>
      </c>
      <c r="D61" s="22" t="s">
        <v>1461</v>
      </c>
      <c r="E61" s="22" t="s">
        <v>27</v>
      </c>
      <c r="F61" s="22" t="s">
        <v>1468</v>
      </c>
      <c r="G61" s="22">
        <v>30.61</v>
      </c>
      <c r="H61" s="22">
        <v>1</v>
      </c>
      <c r="I61" s="22">
        <v>1.5305</v>
      </c>
      <c r="J61" s="23">
        <v>32.140500000000003</v>
      </c>
      <c r="K61" s="24" t="s">
        <v>1463</v>
      </c>
      <c r="L61" s="25">
        <v>0.51388888888888884</v>
      </c>
      <c r="M61" s="22" t="s">
        <v>1469</v>
      </c>
      <c r="N61" s="26">
        <v>30.61</v>
      </c>
      <c r="O61" s="27">
        <f t="shared" si="0"/>
        <v>4.761904762E-2</v>
      </c>
      <c r="P61" s="23">
        <v>1.5305</v>
      </c>
      <c r="Q61" s="28">
        <v>5.2</v>
      </c>
    </row>
    <row r="62" spans="1:26" x14ac:dyDescent="0.35">
      <c r="A62" s="21" t="s">
        <v>1562</v>
      </c>
      <c r="B62" s="22" t="s">
        <v>1466</v>
      </c>
      <c r="C62" s="22" t="s">
        <v>1467</v>
      </c>
      <c r="D62" s="22" t="s">
        <v>1479</v>
      </c>
      <c r="E62" s="22" t="s">
        <v>27</v>
      </c>
      <c r="F62" s="22" t="s">
        <v>1486</v>
      </c>
      <c r="G62" s="22">
        <v>57.89</v>
      </c>
      <c r="H62" s="22">
        <v>2</v>
      </c>
      <c r="I62" s="22">
        <v>5.7889999999999997</v>
      </c>
      <c r="J62" s="23">
        <v>121.569</v>
      </c>
      <c r="K62" s="24" t="s">
        <v>1499</v>
      </c>
      <c r="L62" s="25">
        <v>0.44236111111111109</v>
      </c>
      <c r="M62" s="22" t="s">
        <v>1469</v>
      </c>
      <c r="N62" s="26">
        <v>115.78</v>
      </c>
      <c r="O62" s="27">
        <f t="shared" si="0"/>
        <v>4.761904762E-2</v>
      </c>
      <c r="P62" s="23">
        <v>5.7889999999999997</v>
      </c>
      <c r="Q62" s="28">
        <v>8.9</v>
      </c>
    </row>
    <row r="63" spans="1:26" x14ac:dyDescent="0.35">
      <c r="A63" s="21" t="s">
        <v>1563</v>
      </c>
      <c r="B63" s="22" t="s">
        <v>1459</v>
      </c>
      <c r="C63" s="22" t="s">
        <v>1460</v>
      </c>
      <c r="D63" s="22" t="s">
        <v>1461</v>
      </c>
      <c r="E63" s="22" t="s">
        <v>19</v>
      </c>
      <c r="F63" s="22" t="s">
        <v>1462</v>
      </c>
      <c r="G63" s="22">
        <v>28.96</v>
      </c>
      <c r="H63" s="22">
        <v>1</v>
      </c>
      <c r="I63" s="22">
        <v>1.448</v>
      </c>
      <c r="J63" s="23">
        <v>30.408000000000001</v>
      </c>
      <c r="K63" s="24">
        <v>43648</v>
      </c>
      <c r="L63" s="25">
        <v>0.42916666666666664</v>
      </c>
      <c r="M63" s="22" t="s">
        <v>1477</v>
      </c>
      <c r="N63" s="26">
        <v>28.96</v>
      </c>
      <c r="O63" s="27">
        <f t="shared" si="0"/>
        <v>4.761904762E-2</v>
      </c>
      <c r="P63" s="23">
        <v>1.448</v>
      </c>
      <c r="Q63" s="28">
        <v>6.2</v>
      </c>
    </row>
    <row r="64" spans="1:26" x14ac:dyDescent="0.35">
      <c r="A64" s="21" t="s">
        <v>1564</v>
      </c>
      <c r="B64" s="22" t="s">
        <v>1475</v>
      </c>
      <c r="C64" s="22" t="s">
        <v>1476</v>
      </c>
      <c r="D64" s="22" t="s">
        <v>1479</v>
      </c>
      <c r="E64" s="22" t="s">
        <v>19</v>
      </c>
      <c r="F64" s="22" t="s">
        <v>1486</v>
      </c>
      <c r="G64" s="22">
        <v>98.97</v>
      </c>
      <c r="H64" s="22">
        <v>9</v>
      </c>
      <c r="I64" s="22">
        <v>44.536499999999997</v>
      </c>
      <c r="J64" s="23">
        <v>935.26649999999995</v>
      </c>
      <c r="K64" s="24">
        <v>43711</v>
      </c>
      <c r="L64" s="25">
        <v>0.47430555555555554</v>
      </c>
      <c r="M64" s="22" t="s">
        <v>1464</v>
      </c>
      <c r="N64" s="26">
        <v>890.73</v>
      </c>
      <c r="O64" s="27">
        <f t="shared" si="0"/>
        <v>4.761904762E-2</v>
      </c>
      <c r="P64" s="23">
        <v>44.536499999999997</v>
      </c>
      <c r="Q64" s="28">
        <v>6.7</v>
      </c>
    </row>
    <row r="65" spans="1:17" x14ac:dyDescent="0.35">
      <c r="A65" s="21" t="s">
        <v>1565</v>
      </c>
      <c r="B65" s="22" t="s">
        <v>1466</v>
      </c>
      <c r="C65" s="22" t="s">
        <v>1467</v>
      </c>
      <c r="D65" s="22" t="s">
        <v>1479</v>
      </c>
      <c r="E65" s="22" t="s">
        <v>27</v>
      </c>
      <c r="F65" s="22" t="s">
        <v>1468</v>
      </c>
      <c r="G65" s="22">
        <v>93.22</v>
      </c>
      <c r="H65" s="22">
        <v>3</v>
      </c>
      <c r="I65" s="22">
        <v>13.983000000000001</v>
      </c>
      <c r="J65" s="23">
        <v>293.64299999999997</v>
      </c>
      <c r="K65" s="24" t="s">
        <v>1566</v>
      </c>
      <c r="L65" s="25">
        <v>0.48958333333333331</v>
      </c>
      <c r="M65" s="22" t="s">
        <v>1464</v>
      </c>
      <c r="N65" s="26">
        <v>279.66000000000003</v>
      </c>
      <c r="O65" s="27">
        <f t="shared" si="0"/>
        <v>4.761904762E-2</v>
      </c>
      <c r="P65" s="23">
        <v>13.983000000000001</v>
      </c>
      <c r="Q65" s="28">
        <v>7.2</v>
      </c>
    </row>
    <row r="66" spans="1:17" x14ac:dyDescent="0.35">
      <c r="A66" s="21" t="s">
        <v>1567</v>
      </c>
      <c r="B66" s="22" t="s">
        <v>1475</v>
      </c>
      <c r="C66" s="22" t="s">
        <v>1476</v>
      </c>
      <c r="D66" s="22" t="s">
        <v>1479</v>
      </c>
      <c r="E66" s="22" t="s">
        <v>27</v>
      </c>
      <c r="F66" s="22" t="s">
        <v>1501</v>
      </c>
      <c r="G66" s="22">
        <v>80.930000000000007</v>
      </c>
      <c r="H66" s="22">
        <v>1</v>
      </c>
      <c r="I66" s="22">
        <v>4.0465</v>
      </c>
      <c r="J66" s="23">
        <v>84.976500000000001</v>
      </c>
      <c r="K66" s="24" t="s">
        <v>1528</v>
      </c>
      <c r="L66" s="25">
        <v>0.67222222222222228</v>
      </c>
      <c r="M66" s="22" t="s">
        <v>1477</v>
      </c>
      <c r="N66" s="26">
        <v>80.930000000000007</v>
      </c>
      <c r="O66" s="27">
        <f t="shared" ref="O66:O129" si="1">4.761904762/100</f>
        <v>4.761904762E-2</v>
      </c>
      <c r="P66" s="23">
        <v>4.0465</v>
      </c>
      <c r="Q66" s="28">
        <v>9</v>
      </c>
    </row>
    <row r="67" spans="1:17" x14ac:dyDescent="0.35">
      <c r="A67" s="21" t="s">
        <v>1568</v>
      </c>
      <c r="B67" s="22" t="s">
        <v>1459</v>
      </c>
      <c r="C67" s="22" t="s">
        <v>1460</v>
      </c>
      <c r="D67" s="22" t="s">
        <v>1479</v>
      </c>
      <c r="E67" s="22" t="s">
        <v>27</v>
      </c>
      <c r="F67" s="22" t="s">
        <v>1486</v>
      </c>
      <c r="G67" s="22">
        <v>67.45</v>
      </c>
      <c r="H67" s="22">
        <v>10</v>
      </c>
      <c r="I67" s="22">
        <v>33.725000000000001</v>
      </c>
      <c r="J67" s="23">
        <v>708.22500000000002</v>
      </c>
      <c r="K67" s="24">
        <v>43526</v>
      </c>
      <c r="L67" s="25">
        <v>0.47569444444444442</v>
      </c>
      <c r="M67" s="22" t="s">
        <v>1469</v>
      </c>
      <c r="N67" s="26">
        <v>674.5</v>
      </c>
      <c r="O67" s="27">
        <f t="shared" si="1"/>
        <v>4.761904762E-2</v>
      </c>
      <c r="P67" s="23">
        <v>33.725000000000001</v>
      </c>
      <c r="Q67" s="28">
        <v>4.2</v>
      </c>
    </row>
    <row r="68" spans="1:17" x14ac:dyDescent="0.35">
      <c r="A68" s="21" t="s">
        <v>1569</v>
      </c>
      <c r="B68" s="22" t="s">
        <v>1459</v>
      </c>
      <c r="C68" s="22" t="s">
        <v>1460</v>
      </c>
      <c r="D68" s="22" t="s">
        <v>1479</v>
      </c>
      <c r="E68" s="22" t="s">
        <v>19</v>
      </c>
      <c r="F68" s="22" t="s">
        <v>1501</v>
      </c>
      <c r="G68" s="22">
        <v>38.72</v>
      </c>
      <c r="H68" s="22">
        <v>9</v>
      </c>
      <c r="I68" s="22">
        <v>17.423999999999999</v>
      </c>
      <c r="J68" s="23">
        <v>365.904</v>
      </c>
      <c r="K68" s="24" t="s">
        <v>1496</v>
      </c>
      <c r="L68" s="25">
        <v>0.51666666666666672</v>
      </c>
      <c r="M68" s="22" t="s">
        <v>1469</v>
      </c>
      <c r="N68" s="26">
        <v>348.48</v>
      </c>
      <c r="O68" s="27">
        <f t="shared" si="1"/>
        <v>4.761904762E-2</v>
      </c>
      <c r="P68" s="23">
        <v>17.423999999999999</v>
      </c>
      <c r="Q68" s="28">
        <v>4.2</v>
      </c>
    </row>
    <row r="69" spans="1:17" x14ac:dyDescent="0.35">
      <c r="A69" s="21" t="s">
        <v>1570</v>
      </c>
      <c r="B69" s="22" t="s">
        <v>1466</v>
      </c>
      <c r="C69" s="22" t="s">
        <v>1467</v>
      </c>
      <c r="D69" s="22" t="s">
        <v>1479</v>
      </c>
      <c r="E69" s="22" t="s">
        <v>27</v>
      </c>
      <c r="F69" s="22" t="s">
        <v>1501</v>
      </c>
      <c r="G69" s="22">
        <v>72.599999999999994</v>
      </c>
      <c r="H69" s="22">
        <v>6</v>
      </c>
      <c r="I69" s="22">
        <v>21.78</v>
      </c>
      <c r="J69" s="23">
        <v>457.38</v>
      </c>
      <c r="K69" s="24" t="s">
        <v>1511</v>
      </c>
      <c r="L69" s="25">
        <v>0.82708333333333328</v>
      </c>
      <c r="M69" s="22" t="s">
        <v>1464</v>
      </c>
      <c r="N69" s="26">
        <v>435.6</v>
      </c>
      <c r="O69" s="27">
        <f t="shared" si="1"/>
        <v>4.761904762E-2</v>
      </c>
      <c r="P69" s="23">
        <v>21.78</v>
      </c>
      <c r="Q69" s="28">
        <v>6.9</v>
      </c>
    </row>
    <row r="70" spans="1:17" x14ac:dyDescent="0.35">
      <c r="A70" s="21" t="s">
        <v>1571</v>
      </c>
      <c r="B70" s="22" t="s">
        <v>1475</v>
      </c>
      <c r="C70" s="22" t="s">
        <v>1476</v>
      </c>
      <c r="D70" s="22" t="s">
        <v>1479</v>
      </c>
      <c r="E70" s="22" t="s">
        <v>27</v>
      </c>
      <c r="F70" s="22" t="s">
        <v>1462</v>
      </c>
      <c r="G70" s="22">
        <v>87.91</v>
      </c>
      <c r="H70" s="22">
        <v>5</v>
      </c>
      <c r="I70" s="22">
        <v>21.977499999999999</v>
      </c>
      <c r="J70" s="23">
        <v>461.52749999999997</v>
      </c>
      <c r="K70" s="24" t="s">
        <v>1492</v>
      </c>
      <c r="L70" s="25">
        <v>0.75694444444444442</v>
      </c>
      <c r="M70" s="22" t="s">
        <v>1469</v>
      </c>
      <c r="N70" s="26">
        <v>439.55</v>
      </c>
      <c r="O70" s="27">
        <f t="shared" si="1"/>
        <v>4.761904762E-2</v>
      </c>
      <c r="P70" s="23">
        <v>21.977499999999999</v>
      </c>
      <c r="Q70" s="28">
        <v>4.4000000000000004</v>
      </c>
    </row>
    <row r="71" spans="1:17" x14ac:dyDescent="0.35">
      <c r="A71" s="21" t="s">
        <v>1572</v>
      </c>
      <c r="B71" s="22" t="s">
        <v>1459</v>
      </c>
      <c r="C71" s="22" t="s">
        <v>1460</v>
      </c>
      <c r="D71" s="22" t="s">
        <v>1479</v>
      </c>
      <c r="E71" s="22" t="s">
        <v>27</v>
      </c>
      <c r="F71" s="22" t="s">
        <v>1486</v>
      </c>
      <c r="G71" s="22">
        <v>98.53</v>
      </c>
      <c r="H71" s="22">
        <v>6</v>
      </c>
      <c r="I71" s="22">
        <v>29.559000000000001</v>
      </c>
      <c r="J71" s="23">
        <v>620.73900000000003</v>
      </c>
      <c r="K71" s="24" t="s">
        <v>1463</v>
      </c>
      <c r="L71" s="25">
        <v>0.47361111111111109</v>
      </c>
      <c r="M71" s="22" t="s">
        <v>1477</v>
      </c>
      <c r="N71" s="26">
        <v>591.17999999999995</v>
      </c>
      <c r="O71" s="27">
        <f t="shared" si="1"/>
        <v>4.761904762E-2</v>
      </c>
      <c r="P71" s="23">
        <v>29.559000000000001</v>
      </c>
      <c r="Q71" s="28">
        <v>4</v>
      </c>
    </row>
    <row r="72" spans="1:17" x14ac:dyDescent="0.35">
      <c r="A72" s="21" t="s">
        <v>1573</v>
      </c>
      <c r="B72" s="22" t="s">
        <v>1475</v>
      </c>
      <c r="C72" s="22" t="s">
        <v>1476</v>
      </c>
      <c r="D72" s="22" t="s">
        <v>1479</v>
      </c>
      <c r="E72" s="22" t="s">
        <v>19</v>
      </c>
      <c r="F72" s="22" t="s">
        <v>1468</v>
      </c>
      <c r="G72" s="22">
        <v>43.46</v>
      </c>
      <c r="H72" s="22">
        <v>6</v>
      </c>
      <c r="I72" s="22">
        <v>13.038</v>
      </c>
      <c r="J72" s="23">
        <v>273.798</v>
      </c>
      <c r="K72" s="24">
        <v>43648</v>
      </c>
      <c r="L72" s="25">
        <v>0.74652777777777779</v>
      </c>
      <c r="M72" s="22" t="s">
        <v>1469</v>
      </c>
      <c r="N72" s="26">
        <v>260.76</v>
      </c>
      <c r="O72" s="27">
        <f t="shared" si="1"/>
        <v>4.761904762E-2</v>
      </c>
      <c r="P72" s="23">
        <v>13.038</v>
      </c>
      <c r="Q72" s="28">
        <v>8.5</v>
      </c>
    </row>
    <row r="73" spans="1:17" x14ac:dyDescent="0.35">
      <c r="A73" s="21" t="s">
        <v>1574</v>
      </c>
      <c r="B73" s="22" t="s">
        <v>1459</v>
      </c>
      <c r="C73" s="22" t="s">
        <v>1460</v>
      </c>
      <c r="D73" s="22" t="s">
        <v>1461</v>
      </c>
      <c r="E73" s="22" t="s">
        <v>19</v>
      </c>
      <c r="F73" s="22" t="s">
        <v>1486</v>
      </c>
      <c r="G73" s="22">
        <v>71.680000000000007</v>
      </c>
      <c r="H73" s="22">
        <v>3</v>
      </c>
      <c r="I73" s="22">
        <v>10.752000000000001</v>
      </c>
      <c r="J73" s="23">
        <v>225.792</v>
      </c>
      <c r="K73" s="24" t="s">
        <v>1560</v>
      </c>
      <c r="L73" s="25">
        <v>0.64583333333333337</v>
      </c>
      <c r="M73" s="22" t="s">
        <v>1477</v>
      </c>
      <c r="N73" s="26">
        <v>215.04</v>
      </c>
      <c r="O73" s="27">
        <f t="shared" si="1"/>
        <v>4.761904762E-2</v>
      </c>
      <c r="P73" s="23">
        <v>10.752000000000001</v>
      </c>
      <c r="Q73" s="28">
        <v>9.1999999999999993</v>
      </c>
    </row>
    <row r="74" spans="1:17" x14ac:dyDescent="0.35">
      <c r="A74" s="21" t="s">
        <v>1575</v>
      </c>
      <c r="B74" s="22" t="s">
        <v>1459</v>
      </c>
      <c r="C74" s="22" t="s">
        <v>1460</v>
      </c>
      <c r="D74" s="22" t="s">
        <v>1479</v>
      </c>
      <c r="E74" s="22" t="s">
        <v>19</v>
      </c>
      <c r="F74" s="22" t="s">
        <v>1486</v>
      </c>
      <c r="G74" s="22">
        <v>91.61</v>
      </c>
      <c r="H74" s="22">
        <v>1</v>
      </c>
      <c r="I74" s="22">
        <v>4.5804999999999998</v>
      </c>
      <c r="J74" s="23">
        <v>96.1905</v>
      </c>
      <c r="K74" s="24" t="s">
        <v>1496</v>
      </c>
      <c r="L74" s="25">
        <v>0.82222222222222219</v>
      </c>
      <c r="M74" s="22" t="s">
        <v>1464</v>
      </c>
      <c r="N74" s="26">
        <v>91.61</v>
      </c>
      <c r="O74" s="27">
        <f t="shared" si="1"/>
        <v>4.761904762E-2</v>
      </c>
      <c r="P74" s="23">
        <v>4.5804999999999998</v>
      </c>
      <c r="Q74" s="28">
        <v>9.8000000000000007</v>
      </c>
    </row>
    <row r="75" spans="1:17" x14ac:dyDescent="0.35">
      <c r="A75" s="21" t="s">
        <v>1576</v>
      </c>
      <c r="B75" s="22" t="s">
        <v>1466</v>
      </c>
      <c r="C75" s="22" t="s">
        <v>1467</v>
      </c>
      <c r="D75" s="22" t="s">
        <v>1479</v>
      </c>
      <c r="E75" s="22" t="s">
        <v>19</v>
      </c>
      <c r="F75" s="22" t="s">
        <v>1482</v>
      </c>
      <c r="G75" s="22">
        <v>94.59</v>
      </c>
      <c r="H75" s="22">
        <v>7</v>
      </c>
      <c r="I75" s="22">
        <v>33.106499999999997</v>
      </c>
      <c r="J75" s="23">
        <v>695.23649999999998</v>
      </c>
      <c r="K75" s="24" t="s">
        <v>1499</v>
      </c>
      <c r="L75" s="25">
        <v>0.64375000000000004</v>
      </c>
      <c r="M75" s="22" t="s">
        <v>1477</v>
      </c>
      <c r="N75" s="26">
        <v>662.13</v>
      </c>
      <c r="O75" s="27">
        <f t="shared" si="1"/>
        <v>4.761904762E-2</v>
      </c>
      <c r="P75" s="23">
        <v>33.106499999999997</v>
      </c>
      <c r="Q75" s="28">
        <v>4.9000000000000004</v>
      </c>
    </row>
    <row r="76" spans="1:17" x14ac:dyDescent="0.35">
      <c r="A76" s="21" t="s">
        <v>1577</v>
      </c>
      <c r="B76" s="22" t="s">
        <v>1466</v>
      </c>
      <c r="C76" s="22" t="s">
        <v>1467</v>
      </c>
      <c r="D76" s="22" t="s">
        <v>1461</v>
      </c>
      <c r="E76" s="22" t="s">
        <v>19</v>
      </c>
      <c r="F76" s="22" t="s">
        <v>1468</v>
      </c>
      <c r="G76" s="22">
        <v>83.25</v>
      </c>
      <c r="H76" s="22">
        <v>10</v>
      </c>
      <c r="I76" s="22">
        <v>41.625</v>
      </c>
      <c r="J76" s="23">
        <v>874.125</v>
      </c>
      <c r="K76" s="24">
        <v>43800</v>
      </c>
      <c r="L76" s="25">
        <v>0.47569444444444442</v>
      </c>
      <c r="M76" s="22" t="s">
        <v>1477</v>
      </c>
      <c r="N76" s="26">
        <v>832.5</v>
      </c>
      <c r="O76" s="27">
        <f t="shared" si="1"/>
        <v>4.761904762E-2</v>
      </c>
      <c r="P76" s="23">
        <v>41.625</v>
      </c>
      <c r="Q76" s="28">
        <v>4.4000000000000004</v>
      </c>
    </row>
    <row r="77" spans="1:17" x14ac:dyDescent="0.35">
      <c r="A77" s="21" t="s">
        <v>1578</v>
      </c>
      <c r="B77" s="22" t="s">
        <v>1466</v>
      </c>
      <c r="C77" s="22" t="s">
        <v>1467</v>
      </c>
      <c r="D77" s="22" t="s">
        <v>1479</v>
      </c>
      <c r="E77" s="22" t="s">
        <v>27</v>
      </c>
      <c r="F77" s="22" t="s">
        <v>1468</v>
      </c>
      <c r="G77" s="22">
        <v>91.35</v>
      </c>
      <c r="H77" s="22">
        <v>1</v>
      </c>
      <c r="I77" s="22">
        <v>4.5674999999999999</v>
      </c>
      <c r="J77" s="23">
        <v>95.917500000000004</v>
      </c>
      <c r="K77" s="24" t="s">
        <v>1579</v>
      </c>
      <c r="L77" s="25">
        <v>0.65416666666666667</v>
      </c>
      <c r="M77" s="22" t="s">
        <v>1464</v>
      </c>
      <c r="N77" s="26">
        <v>91.35</v>
      </c>
      <c r="O77" s="27">
        <f t="shared" si="1"/>
        <v>4.761904762E-2</v>
      </c>
      <c r="P77" s="23">
        <v>4.5674999999999999</v>
      </c>
      <c r="Q77" s="28">
        <v>6.8</v>
      </c>
    </row>
    <row r="78" spans="1:17" x14ac:dyDescent="0.35">
      <c r="A78" s="21" t="s">
        <v>1580</v>
      </c>
      <c r="B78" s="22" t="s">
        <v>1466</v>
      </c>
      <c r="C78" s="22" t="s">
        <v>1467</v>
      </c>
      <c r="D78" s="22" t="s">
        <v>1479</v>
      </c>
      <c r="E78" s="22" t="s">
        <v>19</v>
      </c>
      <c r="F78" s="22" t="s">
        <v>1486</v>
      </c>
      <c r="G78" s="22">
        <v>78.88</v>
      </c>
      <c r="H78" s="22">
        <v>2</v>
      </c>
      <c r="I78" s="22">
        <v>7.8879999999999999</v>
      </c>
      <c r="J78" s="23">
        <v>165.648</v>
      </c>
      <c r="K78" s="24" t="s">
        <v>1548</v>
      </c>
      <c r="L78" s="25">
        <v>0.6694444444444444</v>
      </c>
      <c r="M78" s="22" t="s">
        <v>1464</v>
      </c>
      <c r="N78" s="26">
        <v>157.76</v>
      </c>
      <c r="O78" s="27">
        <f t="shared" si="1"/>
        <v>4.761904762E-2</v>
      </c>
      <c r="P78" s="23">
        <v>7.8879999999999999</v>
      </c>
      <c r="Q78" s="28">
        <v>9.1</v>
      </c>
    </row>
    <row r="79" spans="1:17" x14ac:dyDescent="0.35">
      <c r="A79" s="21" t="s">
        <v>1581</v>
      </c>
      <c r="B79" s="22" t="s">
        <v>1459</v>
      </c>
      <c r="C79" s="22" t="s">
        <v>1460</v>
      </c>
      <c r="D79" s="22" t="s">
        <v>1461</v>
      </c>
      <c r="E79" s="22" t="s">
        <v>27</v>
      </c>
      <c r="F79" s="22" t="s">
        <v>1501</v>
      </c>
      <c r="G79" s="22">
        <v>60.87</v>
      </c>
      <c r="H79" s="22">
        <v>2</v>
      </c>
      <c r="I79" s="22">
        <v>6.0869999999999997</v>
      </c>
      <c r="J79" s="23">
        <v>127.827</v>
      </c>
      <c r="K79" s="24">
        <v>43711</v>
      </c>
      <c r="L79" s="25">
        <v>0.52569444444444446</v>
      </c>
      <c r="M79" s="22" t="s">
        <v>1469</v>
      </c>
      <c r="N79" s="26">
        <v>121.74</v>
      </c>
      <c r="O79" s="27">
        <f t="shared" si="1"/>
        <v>4.761904762E-2</v>
      </c>
      <c r="P79" s="23">
        <v>6.0869999999999997</v>
      </c>
      <c r="Q79" s="28">
        <v>8.6999999999999993</v>
      </c>
    </row>
    <row r="80" spans="1:17" x14ac:dyDescent="0.35">
      <c r="A80" s="21" t="s">
        <v>1582</v>
      </c>
      <c r="B80" s="22" t="s">
        <v>1466</v>
      </c>
      <c r="C80" s="22" t="s">
        <v>1467</v>
      </c>
      <c r="D80" s="22" t="s">
        <v>1479</v>
      </c>
      <c r="E80" s="22" t="s">
        <v>27</v>
      </c>
      <c r="F80" s="22" t="s">
        <v>1473</v>
      </c>
      <c r="G80" s="22">
        <v>82.58</v>
      </c>
      <c r="H80" s="22">
        <v>10</v>
      </c>
      <c r="I80" s="22">
        <v>41.29</v>
      </c>
      <c r="J80" s="23">
        <v>867.09</v>
      </c>
      <c r="K80" s="24" t="s">
        <v>1492</v>
      </c>
      <c r="L80" s="25">
        <v>0.6118055555555556</v>
      </c>
      <c r="M80" s="22" t="s">
        <v>1464</v>
      </c>
      <c r="N80" s="26">
        <v>825.8</v>
      </c>
      <c r="O80" s="27">
        <f t="shared" si="1"/>
        <v>4.761904762E-2</v>
      </c>
      <c r="P80" s="23">
        <v>41.29</v>
      </c>
      <c r="Q80" s="28">
        <v>5</v>
      </c>
    </row>
    <row r="81" spans="1:17" x14ac:dyDescent="0.35">
      <c r="A81" s="21" t="s">
        <v>1583</v>
      </c>
      <c r="B81" s="22" t="s">
        <v>1459</v>
      </c>
      <c r="C81" s="22" t="s">
        <v>1460</v>
      </c>
      <c r="D81" s="22" t="s">
        <v>1479</v>
      </c>
      <c r="E81" s="22" t="s">
        <v>27</v>
      </c>
      <c r="F81" s="22" t="s">
        <v>1482</v>
      </c>
      <c r="G81" s="22">
        <v>53.3</v>
      </c>
      <c r="H81" s="22">
        <v>3</v>
      </c>
      <c r="I81" s="22">
        <v>7.9950000000000001</v>
      </c>
      <c r="J81" s="23">
        <v>167.89500000000001</v>
      </c>
      <c r="K81" s="24" t="s">
        <v>1584</v>
      </c>
      <c r="L81" s="25">
        <v>0.59652777777777777</v>
      </c>
      <c r="M81" s="22" t="s">
        <v>1469</v>
      </c>
      <c r="N81" s="26">
        <v>159.9</v>
      </c>
      <c r="O81" s="27">
        <f t="shared" si="1"/>
        <v>4.761904762E-2</v>
      </c>
      <c r="P81" s="23">
        <v>7.9950000000000001</v>
      </c>
      <c r="Q81" s="28">
        <v>7.5</v>
      </c>
    </row>
    <row r="82" spans="1:17" x14ac:dyDescent="0.35">
      <c r="A82" s="21" t="s">
        <v>1585</v>
      </c>
      <c r="B82" s="22" t="s">
        <v>1459</v>
      </c>
      <c r="C82" s="22" t="s">
        <v>1460</v>
      </c>
      <c r="D82" s="22" t="s">
        <v>1461</v>
      </c>
      <c r="E82" s="22" t="s">
        <v>19</v>
      </c>
      <c r="F82" s="22" t="s">
        <v>1468</v>
      </c>
      <c r="G82" s="22">
        <v>12.09</v>
      </c>
      <c r="H82" s="22">
        <v>1</v>
      </c>
      <c r="I82" s="22">
        <v>0.60450000000000004</v>
      </c>
      <c r="J82" s="23">
        <v>12.6945</v>
      </c>
      <c r="K82" s="24" t="s">
        <v>1548</v>
      </c>
      <c r="L82" s="25">
        <v>0.7631944444444444</v>
      </c>
      <c r="M82" s="22" t="s">
        <v>1477</v>
      </c>
      <c r="N82" s="26">
        <v>12.09</v>
      </c>
      <c r="O82" s="27">
        <f t="shared" si="1"/>
        <v>4.761904762E-2</v>
      </c>
      <c r="P82" s="23">
        <v>0.60450000000000004</v>
      </c>
      <c r="Q82" s="28">
        <v>8.1999999999999993</v>
      </c>
    </row>
    <row r="83" spans="1:17" x14ac:dyDescent="0.35">
      <c r="A83" s="21" t="s">
        <v>1586</v>
      </c>
      <c r="B83" s="22" t="s">
        <v>1459</v>
      </c>
      <c r="C83" s="22" t="s">
        <v>1460</v>
      </c>
      <c r="D83" s="22" t="s">
        <v>1461</v>
      </c>
      <c r="E83" s="22" t="s">
        <v>27</v>
      </c>
      <c r="F83" s="22" t="s">
        <v>1501</v>
      </c>
      <c r="G83" s="22">
        <v>64.19</v>
      </c>
      <c r="H83" s="22">
        <v>10</v>
      </c>
      <c r="I83" s="22">
        <v>32.094999999999999</v>
      </c>
      <c r="J83" s="23">
        <v>673.995</v>
      </c>
      <c r="K83" s="24" t="s">
        <v>1528</v>
      </c>
      <c r="L83" s="25">
        <v>0.58888888888888891</v>
      </c>
      <c r="M83" s="22" t="s">
        <v>1477</v>
      </c>
      <c r="N83" s="26">
        <v>641.9</v>
      </c>
      <c r="O83" s="27">
        <f t="shared" si="1"/>
        <v>4.761904762E-2</v>
      </c>
      <c r="P83" s="23">
        <v>32.094999999999999</v>
      </c>
      <c r="Q83" s="28">
        <v>6.7</v>
      </c>
    </row>
    <row r="84" spans="1:17" x14ac:dyDescent="0.35">
      <c r="A84" s="21" t="s">
        <v>1587</v>
      </c>
      <c r="B84" s="22" t="s">
        <v>1459</v>
      </c>
      <c r="C84" s="22" t="s">
        <v>1460</v>
      </c>
      <c r="D84" s="22" t="s">
        <v>1461</v>
      </c>
      <c r="E84" s="22" t="s">
        <v>27</v>
      </c>
      <c r="F84" s="22" t="s">
        <v>1462</v>
      </c>
      <c r="G84" s="22">
        <v>78.31</v>
      </c>
      <c r="H84" s="22">
        <v>3</v>
      </c>
      <c r="I84" s="22">
        <v>11.746499999999999</v>
      </c>
      <c r="J84" s="23">
        <v>246.6765</v>
      </c>
      <c r="K84" s="24">
        <v>43588</v>
      </c>
      <c r="L84" s="25">
        <v>0.69305555555555554</v>
      </c>
      <c r="M84" s="22" t="s">
        <v>1469</v>
      </c>
      <c r="N84" s="26">
        <v>234.93</v>
      </c>
      <c r="O84" s="27">
        <f t="shared" si="1"/>
        <v>4.761904762E-2</v>
      </c>
      <c r="P84" s="23">
        <v>11.746499999999999</v>
      </c>
      <c r="Q84" s="28">
        <v>5.4</v>
      </c>
    </row>
    <row r="85" spans="1:17" x14ac:dyDescent="0.35">
      <c r="A85" s="21" t="s">
        <v>1588</v>
      </c>
      <c r="B85" s="22" t="s">
        <v>1459</v>
      </c>
      <c r="C85" s="22" t="s">
        <v>1460</v>
      </c>
      <c r="D85" s="22" t="s">
        <v>1479</v>
      </c>
      <c r="E85" s="22" t="s">
        <v>27</v>
      </c>
      <c r="F85" s="22" t="s">
        <v>1486</v>
      </c>
      <c r="G85" s="22">
        <v>83.77</v>
      </c>
      <c r="H85" s="22">
        <v>2</v>
      </c>
      <c r="I85" s="22">
        <v>8.3770000000000007</v>
      </c>
      <c r="J85" s="23">
        <v>175.917</v>
      </c>
      <c r="K85" s="24" t="s">
        <v>1589</v>
      </c>
      <c r="L85" s="25">
        <v>0.45416666666666666</v>
      </c>
      <c r="M85" s="22" t="s">
        <v>1477</v>
      </c>
      <c r="N85" s="26">
        <v>167.54</v>
      </c>
      <c r="O85" s="27">
        <f t="shared" si="1"/>
        <v>4.761904762E-2</v>
      </c>
      <c r="P85" s="23">
        <v>8.3770000000000007</v>
      </c>
      <c r="Q85" s="28">
        <v>7</v>
      </c>
    </row>
    <row r="86" spans="1:17" x14ac:dyDescent="0.35">
      <c r="A86" s="21" t="s">
        <v>1590</v>
      </c>
      <c r="B86" s="22" t="s">
        <v>1466</v>
      </c>
      <c r="C86" s="22" t="s">
        <v>1467</v>
      </c>
      <c r="D86" s="22" t="s">
        <v>1461</v>
      </c>
      <c r="E86" s="22" t="s">
        <v>27</v>
      </c>
      <c r="F86" s="22" t="s">
        <v>1482</v>
      </c>
      <c r="G86" s="22">
        <v>99.7</v>
      </c>
      <c r="H86" s="22">
        <v>3</v>
      </c>
      <c r="I86" s="22">
        <v>14.955</v>
      </c>
      <c r="J86" s="23">
        <v>314.05500000000001</v>
      </c>
      <c r="K86" s="24" t="s">
        <v>1591</v>
      </c>
      <c r="L86" s="25">
        <v>0.47847222222222224</v>
      </c>
      <c r="M86" s="22" t="s">
        <v>1469</v>
      </c>
      <c r="N86" s="26">
        <v>299.10000000000002</v>
      </c>
      <c r="O86" s="27">
        <f t="shared" si="1"/>
        <v>4.761904762E-2</v>
      </c>
      <c r="P86" s="23">
        <v>14.955</v>
      </c>
      <c r="Q86" s="28">
        <v>4.7</v>
      </c>
    </row>
    <row r="87" spans="1:17" x14ac:dyDescent="0.35">
      <c r="A87" s="21" t="s">
        <v>1592</v>
      </c>
      <c r="B87" s="22" t="s">
        <v>1466</v>
      </c>
      <c r="C87" s="22" t="s">
        <v>1467</v>
      </c>
      <c r="D87" s="22" t="s">
        <v>1479</v>
      </c>
      <c r="E87" s="22" t="s">
        <v>27</v>
      </c>
      <c r="F87" s="22" t="s">
        <v>1486</v>
      </c>
      <c r="G87" s="22">
        <v>79.91</v>
      </c>
      <c r="H87" s="22">
        <v>3</v>
      </c>
      <c r="I87" s="22">
        <v>11.986499999999999</v>
      </c>
      <c r="J87" s="23">
        <v>251.7165</v>
      </c>
      <c r="K87" s="24" t="s">
        <v>1496</v>
      </c>
      <c r="L87" s="25">
        <v>0.81111111111111112</v>
      </c>
      <c r="M87" s="22" t="s">
        <v>1477</v>
      </c>
      <c r="N87" s="26">
        <v>239.73</v>
      </c>
      <c r="O87" s="27">
        <f t="shared" si="1"/>
        <v>4.761904762E-2</v>
      </c>
      <c r="P87" s="23">
        <v>11.986499999999999</v>
      </c>
      <c r="Q87" s="28">
        <v>5</v>
      </c>
    </row>
    <row r="88" spans="1:17" x14ac:dyDescent="0.35">
      <c r="A88" s="21" t="s">
        <v>1593</v>
      </c>
      <c r="B88" s="22" t="s">
        <v>1466</v>
      </c>
      <c r="C88" s="22" t="s">
        <v>1467</v>
      </c>
      <c r="D88" s="22" t="s">
        <v>1479</v>
      </c>
      <c r="E88" s="22" t="s">
        <v>27</v>
      </c>
      <c r="F88" s="22" t="s">
        <v>1473</v>
      </c>
      <c r="G88" s="22">
        <v>66.47</v>
      </c>
      <c r="H88" s="22">
        <v>10</v>
      </c>
      <c r="I88" s="22">
        <v>33.234999999999999</v>
      </c>
      <c r="J88" s="23">
        <v>697.93499999999995</v>
      </c>
      <c r="K88" s="24" t="s">
        <v>1589</v>
      </c>
      <c r="L88" s="25">
        <v>0.62569444444444444</v>
      </c>
      <c r="M88" s="22" t="s">
        <v>1477</v>
      </c>
      <c r="N88" s="26">
        <v>664.7</v>
      </c>
      <c r="O88" s="27">
        <f t="shared" si="1"/>
        <v>4.761904762E-2</v>
      </c>
      <c r="P88" s="23">
        <v>33.234999999999999</v>
      </c>
      <c r="Q88" s="28">
        <v>5</v>
      </c>
    </row>
    <row r="89" spans="1:17" x14ac:dyDescent="0.35">
      <c r="A89" s="21" t="s">
        <v>1594</v>
      </c>
      <c r="B89" s="22" t="s">
        <v>1459</v>
      </c>
      <c r="C89" s="22" t="s">
        <v>1460</v>
      </c>
      <c r="D89" s="22" t="s">
        <v>1461</v>
      </c>
      <c r="E89" s="22" t="s">
        <v>27</v>
      </c>
      <c r="F89" s="22" t="s">
        <v>1473</v>
      </c>
      <c r="G89" s="22">
        <v>28.95</v>
      </c>
      <c r="H89" s="22">
        <v>7</v>
      </c>
      <c r="I89" s="22">
        <v>10.1325</v>
      </c>
      <c r="J89" s="23">
        <v>212.7825</v>
      </c>
      <c r="K89" s="24">
        <v>43527</v>
      </c>
      <c r="L89" s="25">
        <v>0.85486111111111107</v>
      </c>
      <c r="M89" s="22" t="s">
        <v>1477</v>
      </c>
      <c r="N89" s="26">
        <v>202.65</v>
      </c>
      <c r="O89" s="27">
        <f t="shared" si="1"/>
        <v>4.761904762E-2</v>
      </c>
      <c r="P89" s="23">
        <v>10.1325</v>
      </c>
      <c r="Q89" s="28">
        <v>6</v>
      </c>
    </row>
    <row r="90" spans="1:17" x14ac:dyDescent="0.35">
      <c r="A90" s="21" t="s">
        <v>1595</v>
      </c>
      <c r="B90" s="22" t="s">
        <v>1475</v>
      </c>
      <c r="C90" s="22" t="s">
        <v>1476</v>
      </c>
      <c r="D90" s="22" t="s">
        <v>1461</v>
      </c>
      <c r="E90" s="22" t="s">
        <v>19</v>
      </c>
      <c r="F90" s="22" t="s">
        <v>1462</v>
      </c>
      <c r="G90" s="22">
        <v>46.2</v>
      </c>
      <c r="H90" s="22">
        <v>1</v>
      </c>
      <c r="I90" s="22">
        <v>2.31</v>
      </c>
      <c r="J90" s="23">
        <v>48.51</v>
      </c>
      <c r="K90" s="24" t="s">
        <v>1596</v>
      </c>
      <c r="L90" s="25">
        <v>0.51111111111111107</v>
      </c>
      <c r="M90" s="22" t="s">
        <v>1464</v>
      </c>
      <c r="N90" s="26">
        <v>46.2</v>
      </c>
      <c r="O90" s="27">
        <f t="shared" si="1"/>
        <v>4.761904762E-2</v>
      </c>
      <c r="P90" s="23">
        <v>2.31</v>
      </c>
      <c r="Q90" s="28">
        <v>6.3</v>
      </c>
    </row>
    <row r="91" spans="1:17" x14ac:dyDescent="0.35">
      <c r="A91" s="21" t="s">
        <v>1597</v>
      </c>
      <c r="B91" s="22" t="s">
        <v>1466</v>
      </c>
      <c r="C91" s="22" t="s">
        <v>1467</v>
      </c>
      <c r="D91" s="22" t="s">
        <v>1479</v>
      </c>
      <c r="E91" s="22" t="s">
        <v>19</v>
      </c>
      <c r="F91" s="22" t="s">
        <v>1486</v>
      </c>
      <c r="G91" s="22">
        <v>17.63</v>
      </c>
      <c r="H91" s="22">
        <v>5</v>
      </c>
      <c r="I91" s="22">
        <v>4.4074999999999998</v>
      </c>
      <c r="J91" s="23">
        <v>92.557500000000005</v>
      </c>
      <c r="K91" s="24">
        <v>43680</v>
      </c>
      <c r="L91" s="25">
        <v>0.64375000000000004</v>
      </c>
      <c r="M91" s="22" t="s">
        <v>1464</v>
      </c>
      <c r="N91" s="26">
        <v>88.15</v>
      </c>
      <c r="O91" s="27">
        <f t="shared" si="1"/>
        <v>4.761904762E-2</v>
      </c>
      <c r="P91" s="23">
        <v>4.4074999999999998</v>
      </c>
      <c r="Q91" s="28">
        <v>8.5</v>
      </c>
    </row>
    <row r="92" spans="1:17" x14ac:dyDescent="0.35">
      <c r="A92" s="21" t="s">
        <v>1598</v>
      </c>
      <c r="B92" s="22" t="s">
        <v>1466</v>
      </c>
      <c r="C92" s="22" t="s">
        <v>1467</v>
      </c>
      <c r="D92" s="22" t="s">
        <v>1461</v>
      </c>
      <c r="E92" s="22" t="s">
        <v>27</v>
      </c>
      <c r="F92" s="22" t="s">
        <v>1468</v>
      </c>
      <c r="G92" s="22">
        <v>52.42</v>
      </c>
      <c r="H92" s="22">
        <v>3</v>
      </c>
      <c r="I92" s="22">
        <v>7.8630000000000004</v>
      </c>
      <c r="J92" s="23">
        <v>165.12299999999999</v>
      </c>
      <c r="K92" s="24" t="s">
        <v>1599</v>
      </c>
      <c r="L92" s="25">
        <v>0.73333333333333328</v>
      </c>
      <c r="M92" s="22" t="s">
        <v>1469</v>
      </c>
      <c r="N92" s="26">
        <v>157.26</v>
      </c>
      <c r="O92" s="27">
        <f t="shared" si="1"/>
        <v>4.761904762E-2</v>
      </c>
      <c r="P92" s="23">
        <v>7.8630000000000004</v>
      </c>
      <c r="Q92" s="28">
        <v>7.5</v>
      </c>
    </row>
    <row r="93" spans="1:17" x14ac:dyDescent="0.35">
      <c r="A93" s="21" t="s">
        <v>1600</v>
      </c>
      <c r="B93" s="22" t="s">
        <v>1466</v>
      </c>
      <c r="C93" s="22" t="s">
        <v>1467</v>
      </c>
      <c r="D93" s="22" t="s">
        <v>1479</v>
      </c>
      <c r="E93" s="22" t="s">
        <v>19</v>
      </c>
      <c r="F93" s="22" t="s">
        <v>1486</v>
      </c>
      <c r="G93" s="22">
        <v>98.79</v>
      </c>
      <c r="H93" s="22">
        <v>3</v>
      </c>
      <c r="I93" s="22">
        <v>14.8185</v>
      </c>
      <c r="J93" s="23">
        <v>311.18849999999998</v>
      </c>
      <c r="K93" s="24" t="s">
        <v>1601</v>
      </c>
      <c r="L93" s="25">
        <v>0.83333333333333337</v>
      </c>
      <c r="M93" s="22" t="s">
        <v>1469</v>
      </c>
      <c r="N93" s="26">
        <v>296.37</v>
      </c>
      <c r="O93" s="27">
        <f t="shared" si="1"/>
        <v>4.761904762E-2</v>
      </c>
      <c r="P93" s="23">
        <v>14.8185</v>
      </c>
      <c r="Q93" s="28">
        <v>6.4</v>
      </c>
    </row>
    <row r="94" spans="1:17" x14ac:dyDescent="0.35">
      <c r="A94" s="21" t="s">
        <v>1602</v>
      </c>
      <c r="B94" s="22" t="s">
        <v>1475</v>
      </c>
      <c r="C94" s="22" t="s">
        <v>1476</v>
      </c>
      <c r="D94" s="22" t="s">
        <v>1479</v>
      </c>
      <c r="E94" s="22" t="s">
        <v>19</v>
      </c>
      <c r="F94" s="22" t="s">
        <v>1462</v>
      </c>
      <c r="G94" s="22">
        <v>88.55</v>
      </c>
      <c r="H94" s="22">
        <v>8</v>
      </c>
      <c r="I94" s="22">
        <v>35.42</v>
      </c>
      <c r="J94" s="23">
        <v>743.82</v>
      </c>
      <c r="K94" s="24" t="s">
        <v>1596</v>
      </c>
      <c r="L94" s="25">
        <v>0.64513888888888893</v>
      </c>
      <c r="M94" s="22" t="s">
        <v>1469</v>
      </c>
      <c r="N94" s="26">
        <v>708.4</v>
      </c>
      <c r="O94" s="27">
        <f t="shared" si="1"/>
        <v>4.761904762E-2</v>
      </c>
      <c r="P94" s="23">
        <v>35.42</v>
      </c>
      <c r="Q94" s="28">
        <v>4.7</v>
      </c>
    </row>
    <row r="95" spans="1:17" x14ac:dyDescent="0.35">
      <c r="A95" s="21" t="s">
        <v>1603</v>
      </c>
      <c r="B95" s="22" t="s">
        <v>1466</v>
      </c>
      <c r="C95" s="22" t="s">
        <v>1467</v>
      </c>
      <c r="D95" s="22" t="s">
        <v>1479</v>
      </c>
      <c r="E95" s="22" t="s">
        <v>27</v>
      </c>
      <c r="F95" s="22" t="s">
        <v>1462</v>
      </c>
      <c r="G95" s="22">
        <v>55.67</v>
      </c>
      <c r="H95" s="22">
        <v>2</v>
      </c>
      <c r="I95" s="22">
        <v>5.5670000000000002</v>
      </c>
      <c r="J95" s="23">
        <v>116.907</v>
      </c>
      <c r="K95" s="24" t="s">
        <v>1531</v>
      </c>
      <c r="L95" s="25">
        <v>0.63055555555555554</v>
      </c>
      <c r="M95" s="22" t="s">
        <v>1469</v>
      </c>
      <c r="N95" s="26">
        <v>111.34</v>
      </c>
      <c r="O95" s="27">
        <f t="shared" si="1"/>
        <v>4.761904762E-2</v>
      </c>
      <c r="P95" s="23">
        <v>5.5670000000000002</v>
      </c>
      <c r="Q95" s="28">
        <v>6</v>
      </c>
    </row>
    <row r="96" spans="1:17" x14ac:dyDescent="0.35">
      <c r="A96" s="21" t="s">
        <v>1604</v>
      </c>
      <c r="B96" s="22" t="s">
        <v>1475</v>
      </c>
      <c r="C96" s="22" t="s">
        <v>1476</v>
      </c>
      <c r="D96" s="22" t="s">
        <v>1479</v>
      </c>
      <c r="E96" s="22" t="s">
        <v>19</v>
      </c>
      <c r="F96" s="22" t="s">
        <v>1486</v>
      </c>
      <c r="G96" s="22">
        <v>72.52</v>
      </c>
      <c r="H96" s="22">
        <v>8</v>
      </c>
      <c r="I96" s="22">
        <v>29.007999999999999</v>
      </c>
      <c r="J96" s="23">
        <v>609.16800000000001</v>
      </c>
      <c r="K96" s="24" t="s">
        <v>1605</v>
      </c>
      <c r="L96" s="25">
        <v>0.80972222222222223</v>
      </c>
      <c r="M96" s="22" t="s">
        <v>1477</v>
      </c>
      <c r="N96" s="26">
        <v>580.16</v>
      </c>
      <c r="O96" s="27">
        <f t="shared" si="1"/>
        <v>4.761904762E-2</v>
      </c>
      <c r="P96" s="23">
        <v>29.007999999999999</v>
      </c>
      <c r="Q96" s="28">
        <v>4</v>
      </c>
    </row>
    <row r="97" spans="1:17" x14ac:dyDescent="0.35">
      <c r="A97" s="21" t="s">
        <v>1606</v>
      </c>
      <c r="B97" s="22" t="s">
        <v>1475</v>
      </c>
      <c r="C97" s="22" t="s">
        <v>1476</v>
      </c>
      <c r="D97" s="22" t="s">
        <v>1479</v>
      </c>
      <c r="E97" s="22" t="s">
        <v>27</v>
      </c>
      <c r="F97" s="22" t="s">
        <v>1462</v>
      </c>
      <c r="G97" s="22">
        <v>12.05</v>
      </c>
      <c r="H97" s="22">
        <v>5</v>
      </c>
      <c r="I97" s="22">
        <v>3.0125000000000002</v>
      </c>
      <c r="J97" s="23">
        <v>63.262500000000003</v>
      </c>
      <c r="K97" s="24" t="s">
        <v>1579</v>
      </c>
      <c r="L97" s="25">
        <v>0.66180555555555554</v>
      </c>
      <c r="M97" s="22" t="s">
        <v>1469</v>
      </c>
      <c r="N97" s="26">
        <v>60.25</v>
      </c>
      <c r="O97" s="27">
        <f t="shared" si="1"/>
        <v>4.761904762E-2</v>
      </c>
      <c r="P97" s="23">
        <v>3.0125000000000002</v>
      </c>
      <c r="Q97" s="28">
        <v>5.5</v>
      </c>
    </row>
    <row r="98" spans="1:17" x14ac:dyDescent="0.35">
      <c r="A98" s="21" t="s">
        <v>1607</v>
      </c>
      <c r="B98" s="22" t="s">
        <v>1459</v>
      </c>
      <c r="C98" s="22" t="s">
        <v>1460</v>
      </c>
      <c r="D98" s="22" t="s">
        <v>1479</v>
      </c>
      <c r="E98" s="22" t="s">
        <v>27</v>
      </c>
      <c r="F98" s="22" t="s">
        <v>1482</v>
      </c>
      <c r="G98" s="22">
        <v>19.36</v>
      </c>
      <c r="H98" s="22">
        <v>9</v>
      </c>
      <c r="I98" s="22">
        <v>8.7119999999999997</v>
      </c>
      <c r="J98" s="23">
        <v>182.952</v>
      </c>
      <c r="K98" s="24" t="s">
        <v>1608</v>
      </c>
      <c r="L98" s="25">
        <v>0.77986111111111112</v>
      </c>
      <c r="M98" s="22" t="s">
        <v>1469</v>
      </c>
      <c r="N98" s="26">
        <v>174.24</v>
      </c>
      <c r="O98" s="27">
        <f t="shared" si="1"/>
        <v>4.761904762E-2</v>
      </c>
      <c r="P98" s="23">
        <v>8.7119999999999997</v>
      </c>
      <c r="Q98" s="28">
        <v>8.6999999999999993</v>
      </c>
    </row>
    <row r="99" spans="1:17" x14ac:dyDescent="0.35">
      <c r="A99" s="21" t="s">
        <v>1609</v>
      </c>
      <c r="B99" s="22" t="s">
        <v>1475</v>
      </c>
      <c r="C99" s="22" t="s">
        <v>1476</v>
      </c>
      <c r="D99" s="22" t="s">
        <v>1461</v>
      </c>
      <c r="E99" s="22" t="s">
        <v>27</v>
      </c>
      <c r="F99" s="22" t="s">
        <v>1473</v>
      </c>
      <c r="G99" s="22">
        <v>70.209999999999994</v>
      </c>
      <c r="H99" s="22">
        <v>6</v>
      </c>
      <c r="I99" s="22">
        <v>21.062999999999999</v>
      </c>
      <c r="J99" s="23">
        <v>442.32299999999998</v>
      </c>
      <c r="K99" s="24" t="s">
        <v>1605</v>
      </c>
      <c r="L99" s="25">
        <v>0.62361111111111112</v>
      </c>
      <c r="M99" s="22" t="s">
        <v>1464</v>
      </c>
      <c r="N99" s="26">
        <v>421.26</v>
      </c>
      <c r="O99" s="27">
        <f t="shared" si="1"/>
        <v>4.761904762E-2</v>
      </c>
      <c r="P99" s="23">
        <v>21.062999999999999</v>
      </c>
      <c r="Q99" s="28">
        <v>7.4</v>
      </c>
    </row>
    <row r="100" spans="1:17" x14ac:dyDescent="0.35">
      <c r="A100" s="21" t="s">
        <v>1610</v>
      </c>
      <c r="B100" s="22" t="s">
        <v>1466</v>
      </c>
      <c r="C100" s="22" t="s">
        <v>1467</v>
      </c>
      <c r="D100" s="22" t="s">
        <v>1479</v>
      </c>
      <c r="E100" s="22" t="s">
        <v>27</v>
      </c>
      <c r="F100" s="22" t="s">
        <v>1468</v>
      </c>
      <c r="G100" s="22">
        <v>33.630000000000003</v>
      </c>
      <c r="H100" s="22">
        <v>1</v>
      </c>
      <c r="I100" s="22">
        <v>1.6815</v>
      </c>
      <c r="J100" s="23">
        <v>35.311500000000002</v>
      </c>
      <c r="K100" s="24" t="s">
        <v>1496</v>
      </c>
      <c r="L100" s="25">
        <v>0.82986111111111116</v>
      </c>
      <c r="M100" s="22" t="s">
        <v>1464</v>
      </c>
      <c r="N100" s="26">
        <v>33.630000000000003</v>
      </c>
      <c r="O100" s="27">
        <f t="shared" si="1"/>
        <v>4.761904762E-2</v>
      </c>
      <c r="P100" s="23">
        <v>1.6815</v>
      </c>
      <c r="Q100" s="28">
        <v>5.6</v>
      </c>
    </row>
    <row r="101" spans="1:17" x14ac:dyDescent="0.35">
      <c r="A101" s="21" t="s">
        <v>1611</v>
      </c>
      <c r="B101" s="22" t="s">
        <v>1475</v>
      </c>
      <c r="C101" s="22" t="s">
        <v>1476</v>
      </c>
      <c r="D101" s="22" t="s">
        <v>1479</v>
      </c>
      <c r="E101" s="22" t="s">
        <v>19</v>
      </c>
      <c r="F101" s="22" t="s">
        <v>1501</v>
      </c>
      <c r="G101" s="22">
        <v>15.49</v>
      </c>
      <c r="H101" s="22">
        <v>2</v>
      </c>
      <c r="I101" s="22">
        <v>1.5489999999999999</v>
      </c>
      <c r="J101" s="23">
        <v>32.529000000000003</v>
      </c>
      <c r="K101" s="24" t="s">
        <v>1612</v>
      </c>
      <c r="L101" s="25">
        <v>0.63194444444444442</v>
      </c>
      <c r="M101" s="22" t="s">
        <v>1464</v>
      </c>
      <c r="N101" s="26">
        <v>30.98</v>
      </c>
      <c r="O101" s="27">
        <f t="shared" si="1"/>
        <v>4.761904762E-2</v>
      </c>
      <c r="P101" s="23">
        <v>1.5489999999999999</v>
      </c>
      <c r="Q101" s="28">
        <v>6.3</v>
      </c>
    </row>
    <row r="102" spans="1:17" x14ac:dyDescent="0.35">
      <c r="A102" s="21" t="s">
        <v>1613</v>
      </c>
      <c r="B102" s="22" t="s">
        <v>1475</v>
      </c>
      <c r="C102" s="22" t="s">
        <v>1476</v>
      </c>
      <c r="D102" s="22" t="s">
        <v>1461</v>
      </c>
      <c r="E102" s="22" t="s">
        <v>27</v>
      </c>
      <c r="F102" s="22" t="s">
        <v>1462</v>
      </c>
      <c r="G102" s="22">
        <v>24.74</v>
      </c>
      <c r="H102" s="22">
        <v>10</v>
      </c>
      <c r="I102" s="22">
        <v>12.37</v>
      </c>
      <c r="J102" s="23">
        <v>259.77</v>
      </c>
      <c r="K102" s="24" t="s">
        <v>1614</v>
      </c>
      <c r="L102" s="25">
        <v>0.69722222222222219</v>
      </c>
      <c r="M102" s="22" t="s">
        <v>1464</v>
      </c>
      <c r="N102" s="26">
        <v>247.4</v>
      </c>
      <c r="O102" s="27">
        <f t="shared" si="1"/>
        <v>4.761904762E-2</v>
      </c>
      <c r="P102" s="23">
        <v>12.37</v>
      </c>
      <c r="Q102" s="28">
        <v>7.1</v>
      </c>
    </row>
    <row r="103" spans="1:17" x14ac:dyDescent="0.35">
      <c r="A103" s="21" t="s">
        <v>1615</v>
      </c>
      <c r="B103" s="22" t="s">
        <v>1466</v>
      </c>
      <c r="C103" s="22" t="s">
        <v>1467</v>
      </c>
      <c r="D103" s="22" t="s">
        <v>1461</v>
      </c>
      <c r="E103" s="22" t="s">
        <v>27</v>
      </c>
      <c r="F103" s="22" t="s">
        <v>1462</v>
      </c>
      <c r="G103" s="22">
        <v>75.66</v>
      </c>
      <c r="H103" s="22">
        <v>5</v>
      </c>
      <c r="I103" s="22">
        <v>18.914999999999999</v>
      </c>
      <c r="J103" s="23">
        <v>397.21499999999997</v>
      </c>
      <c r="K103" s="24" t="s">
        <v>1589</v>
      </c>
      <c r="L103" s="25">
        <v>0.76527777777777772</v>
      </c>
      <c r="M103" s="22" t="s">
        <v>1469</v>
      </c>
      <c r="N103" s="26">
        <v>378.3</v>
      </c>
      <c r="O103" s="27">
        <f t="shared" si="1"/>
        <v>4.761904762E-2</v>
      </c>
      <c r="P103" s="23">
        <v>18.914999999999999</v>
      </c>
      <c r="Q103" s="28">
        <v>7.8</v>
      </c>
    </row>
    <row r="104" spans="1:17" x14ac:dyDescent="0.35">
      <c r="A104" s="21" t="s">
        <v>1616</v>
      </c>
      <c r="B104" s="22" t="s">
        <v>1466</v>
      </c>
      <c r="C104" s="22" t="s">
        <v>1467</v>
      </c>
      <c r="D104" s="22" t="s">
        <v>1461</v>
      </c>
      <c r="E104" s="22" t="s">
        <v>19</v>
      </c>
      <c r="F104" s="22" t="s">
        <v>1473</v>
      </c>
      <c r="G104" s="22">
        <v>55.81</v>
      </c>
      <c r="H104" s="22">
        <v>6</v>
      </c>
      <c r="I104" s="22">
        <v>16.742999999999999</v>
      </c>
      <c r="J104" s="23">
        <v>351.60300000000001</v>
      </c>
      <c r="K104" s="24" t="s">
        <v>1617</v>
      </c>
      <c r="L104" s="25">
        <v>0.49444444444444446</v>
      </c>
      <c r="M104" s="22" t="s">
        <v>1464</v>
      </c>
      <c r="N104" s="26">
        <v>334.86</v>
      </c>
      <c r="O104" s="27">
        <f t="shared" si="1"/>
        <v>4.761904762E-2</v>
      </c>
      <c r="P104" s="23">
        <v>16.742999999999999</v>
      </c>
      <c r="Q104" s="28">
        <v>9.9</v>
      </c>
    </row>
    <row r="105" spans="1:17" x14ac:dyDescent="0.35">
      <c r="A105" s="21" t="s">
        <v>1618</v>
      </c>
      <c r="B105" s="22" t="s">
        <v>1459</v>
      </c>
      <c r="C105" s="22" t="s">
        <v>1460</v>
      </c>
      <c r="D105" s="22" t="s">
        <v>1479</v>
      </c>
      <c r="E105" s="22" t="s">
        <v>27</v>
      </c>
      <c r="F105" s="22" t="s">
        <v>1482</v>
      </c>
      <c r="G105" s="22">
        <v>72.78</v>
      </c>
      <c r="H105" s="22">
        <v>10</v>
      </c>
      <c r="I105" s="22">
        <v>36.39</v>
      </c>
      <c r="J105" s="23">
        <v>764.19</v>
      </c>
      <c r="K105" s="24">
        <v>43526</v>
      </c>
      <c r="L105" s="25">
        <v>0.72499999999999998</v>
      </c>
      <c r="M105" s="22" t="s">
        <v>1464</v>
      </c>
      <c r="N105" s="26">
        <v>727.8</v>
      </c>
      <c r="O105" s="27">
        <f t="shared" si="1"/>
        <v>4.761904762E-2</v>
      </c>
      <c r="P105" s="23">
        <v>36.39</v>
      </c>
      <c r="Q105" s="28">
        <v>7.3</v>
      </c>
    </row>
    <row r="106" spans="1:17" x14ac:dyDescent="0.35">
      <c r="A106" s="21" t="s">
        <v>1619</v>
      </c>
      <c r="B106" s="22" t="s">
        <v>1466</v>
      </c>
      <c r="C106" s="22" t="s">
        <v>1467</v>
      </c>
      <c r="D106" s="22" t="s">
        <v>1479</v>
      </c>
      <c r="E106" s="22" t="s">
        <v>27</v>
      </c>
      <c r="F106" s="22" t="s">
        <v>1501</v>
      </c>
      <c r="G106" s="22">
        <v>37.32</v>
      </c>
      <c r="H106" s="22">
        <v>9</v>
      </c>
      <c r="I106" s="22">
        <v>16.794</v>
      </c>
      <c r="J106" s="23">
        <v>352.67399999999998</v>
      </c>
      <c r="K106" s="24">
        <v>43619</v>
      </c>
      <c r="L106" s="25">
        <v>0.64652777777777781</v>
      </c>
      <c r="M106" s="22" t="s">
        <v>1469</v>
      </c>
      <c r="N106" s="26">
        <v>335.88</v>
      </c>
      <c r="O106" s="27">
        <f t="shared" si="1"/>
        <v>4.761904762E-2</v>
      </c>
      <c r="P106" s="23">
        <v>16.794</v>
      </c>
      <c r="Q106" s="28">
        <v>5.0999999999999996</v>
      </c>
    </row>
    <row r="107" spans="1:17" x14ac:dyDescent="0.35">
      <c r="A107" s="21" t="s">
        <v>1620</v>
      </c>
      <c r="B107" s="22" t="s">
        <v>1466</v>
      </c>
      <c r="C107" s="22" t="s">
        <v>1467</v>
      </c>
      <c r="D107" s="22" t="s">
        <v>1479</v>
      </c>
      <c r="E107" s="22" t="s">
        <v>27</v>
      </c>
      <c r="F107" s="22" t="s">
        <v>1468</v>
      </c>
      <c r="G107" s="22">
        <v>60.18</v>
      </c>
      <c r="H107" s="22">
        <v>4</v>
      </c>
      <c r="I107" s="22">
        <v>12.036</v>
      </c>
      <c r="J107" s="23">
        <v>252.756</v>
      </c>
      <c r="K107" s="24" t="s">
        <v>1579</v>
      </c>
      <c r="L107" s="25">
        <v>0.75277777777777777</v>
      </c>
      <c r="M107" s="22" t="s">
        <v>1477</v>
      </c>
      <c r="N107" s="26">
        <v>240.72</v>
      </c>
      <c r="O107" s="27">
        <f t="shared" si="1"/>
        <v>4.761904762E-2</v>
      </c>
      <c r="P107" s="23">
        <v>12.036</v>
      </c>
      <c r="Q107" s="28">
        <v>9.4</v>
      </c>
    </row>
    <row r="108" spans="1:17" x14ac:dyDescent="0.35">
      <c r="A108" s="21" t="s">
        <v>1621</v>
      </c>
      <c r="B108" s="22" t="s">
        <v>1459</v>
      </c>
      <c r="C108" s="22" t="s">
        <v>1460</v>
      </c>
      <c r="D108" s="22" t="s">
        <v>1461</v>
      </c>
      <c r="E108" s="22" t="s">
        <v>19</v>
      </c>
      <c r="F108" s="22" t="s">
        <v>1462</v>
      </c>
      <c r="G108" s="22">
        <v>15.69</v>
      </c>
      <c r="H108" s="22">
        <v>3</v>
      </c>
      <c r="I108" s="22">
        <v>2.3534999999999999</v>
      </c>
      <c r="J108" s="23">
        <v>49.423499999999997</v>
      </c>
      <c r="K108" s="24" t="s">
        <v>1492</v>
      </c>
      <c r="L108" s="25">
        <v>0.59236111111111112</v>
      </c>
      <c r="M108" s="22" t="s">
        <v>1477</v>
      </c>
      <c r="N108" s="26">
        <v>47.07</v>
      </c>
      <c r="O108" s="27">
        <f t="shared" si="1"/>
        <v>4.761904762E-2</v>
      </c>
      <c r="P108" s="23">
        <v>2.3534999999999999</v>
      </c>
      <c r="Q108" s="28">
        <v>5.8</v>
      </c>
    </row>
    <row r="109" spans="1:17" x14ac:dyDescent="0.35">
      <c r="A109" s="21" t="s">
        <v>1622</v>
      </c>
      <c r="B109" s="22" t="s">
        <v>1475</v>
      </c>
      <c r="C109" s="22" t="s">
        <v>1476</v>
      </c>
      <c r="D109" s="22" t="s">
        <v>1461</v>
      </c>
      <c r="E109" s="22" t="s">
        <v>19</v>
      </c>
      <c r="F109" s="22" t="s">
        <v>1462</v>
      </c>
      <c r="G109" s="22">
        <v>99.69</v>
      </c>
      <c r="H109" s="22">
        <v>1</v>
      </c>
      <c r="I109" s="22">
        <v>4.9844999999999997</v>
      </c>
      <c r="J109" s="23">
        <v>104.67449999999999</v>
      </c>
      <c r="K109" s="24" t="s">
        <v>1599</v>
      </c>
      <c r="L109" s="25">
        <v>0.43263888888888891</v>
      </c>
      <c r="M109" s="22" t="s">
        <v>1477</v>
      </c>
      <c r="N109" s="26">
        <v>99.69</v>
      </c>
      <c r="O109" s="27">
        <f t="shared" si="1"/>
        <v>4.761904762E-2</v>
      </c>
      <c r="P109" s="23">
        <v>4.9844999999999997</v>
      </c>
      <c r="Q109" s="28">
        <v>8</v>
      </c>
    </row>
    <row r="110" spans="1:17" x14ac:dyDescent="0.35">
      <c r="A110" s="21" t="s">
        <v>1623</v>
      </c>
      <c r="B110" s="22" t="s">
        <v>1459</v>
      </c>
      <c r="C110" s="22" t="s">
        <v>1460</v>
      </c>
      <c r="D110" s="22" t="s">
        <v>1479</v>
      </c>
      <c r="E110" s="22" t="s">
        <v>19</v>
      </c>
      <c r="F110" s="22" t="s">
        <v>1468</v>
      </c>
      <c r="G110" s="22">
        <v>88.15</v>
      </c>
      <c r="H110" s="22">
        <v>3</v>
      </c>
      <c r="I110" s="22">
        <v>13.2225</v>
      </c>
      <c r="J110" s="23">
        <v>277.67250000000001</v>
      </c>
      <c r="K110" s="24" t="s">
        <v>1608</v>
      </c>
      <c r="L110" s="25">
        <v>0.42430555555555555</v>
      </c>
      <c r="M110" s="22" t="s">
        <v>1469</v>
      </c>
      <c r="N110" s="26">
        <v>264.45</v>
      </c>
      <c r="O110" s="27">
        <f t="shared" si="1"/>
        <v>4.761904762E-2</v>
      </c>
      <c r="P110" s="23">
        <v>13.2225</v>
      </c>
      <c r="Q110" s="28">
        <v>7.9</v>
      </c>
    </row>
    <row r="111" spans="1:17" x14ac:dyDescent="0.35">
      <c r="A111" s="21" t="s">
        <v>1624</v>
      </c>
      <c r="B111" s="22" t="s">
        <v>1459</v>
      </c>
      <c r="C111" s="22" t="s">
        <v>1460</v>
      </c>
      <c r="D111" s="22" t="s">
        <v>1479</v>
      </c>
      <c r="E111" s="22" t="s">
        <v>19</v>
      </c>
      <c r="F111" s="22" t="s">
        <v>1501</v>
      </c>
      <c r="G111" s="22">
        <v>27.93</v>
      </c>
      <c r="H111" s="22">
        <v>5</v>
      </c>
      <c r="I111" s="22">
        <v>6.9824999999999999</v>
      </c>
      <c r="J111" s="23">
        <v>146.63249999999999</v>
      </c>
      <c r="K111" s="24" t="s">
        <v>1508</v>
      </c>
      <c r="L111" s="25">
        <v>0.65833333333333333</v>
      </c>
      <c r="M111" s="22" t="s">
        <v>1464</v>
      </c>
      <c r="N111" s="26">
        <v>139.65</v>
      </c>
      <c r="O111" s="27">
        <f t="shared" si="1"/>
        <v>4.761904762E-2</v>
      </c>
      <c r="P111" s="23">
        <v>6.9824999999999999</v>
      </c>
      <c r="Q111" s="28">
        <v>5.9</v>
      </c>
    </row>
    <row r="112" spans="1:17" x14ac:dyDescent="0.35">
      <c r="A112" s="21" t="s">
        <v>1625</v>
      </c>
      <c r="B112" s="22" t="s">
        <v>1459</v>
      </c>
      <c r="C112" s="22" t="s">
        <v>1460</v>
      </c>
      <c r="D112" s="22" t="s">
        <v>1479</v>
      </c>
      <c r="E112" s="22" t="s">
        <v>27</v>
      </c>
      <c r="F112" s="22" t="s">
        <v>1468</v>
      </c>
      <c r="G112" s="22">
        <v>55.45</v>
      </c>
      <c r="H112" s="22">
        <v>1</v>
      </c>
      <c r="I112" s="22">
        <v>2.7725</v>
      </c>
      <c r="J112" s="23">
        <v>58.222499999999997</v>
      </c>
      <c r="K112" s="24" t="s">
        <v>1626</v>
      </c>
      <c r="L112" s="25">
        <v>0.74027777777777781</v>
      </c>
      <c r="M112" s="22" t="s">
        <v>1477</v>
      </c>
      <c r="N112" s="26">
        <v>55.45</v>
      </c>
      <c r="O112" s="27">
        <f t="shared" si="1"/>
        <v>4.761904762E-2</v>
      </c>
      <c r="P112" s="23">
        <v>2.7725</v>
      </c>
      <c r="Q112" s="28">
        <v>4.9000000000000004</v>
      </c>
    </row>
    <row r="113" spans="1:17" x14ac:dyDescent="0.35">
      <c r="A113" s="21" t="s">
        <v>1627</v>
      </c>
      <c r="B113" s="22" t="s">
        <v>1466</v>
      </c>
      <c r="C113" s="22" t="s">
        <v>1467</v>
      </c>
      <c r="D113" s="22" t="s">
        <v>1461</v>
      </c>
      <c r="E113" s="22" t="s">
        <v>19</v>
      </c>
      <c r="F113" s="22" t="s">
        <v>1501</v>
      </c>
      <c r="G113" s="22">
        <v>42.97</v>
      </c>
      <c r="H113" s="22">
        <v>3</v>
      </c>
      <c r="I113" s="22">
        <v>6.4455</v>
      </c>
      <c r="J113" s="23">
        <v>135.35550000000001</v>
      </c>
      <c r="K113" s="24">
        <v>43526</v>
      </c>
      <c r="L113" s="25">
        <v>0.49027777777777776</v>
      </c>
      <c r="M113" s="22" t="s">
        <v>1464</v>
      </c>
      <c r="N113" s="26">
        <v>128.91</v>
      </c>
      <c r="O113" s="27">
        <f t="shared" si="1"/>
        <v>4.761904762E-2</v>
      </c>
      <c r="P113" s="23">
        <v>6.4455</v>
      </c>
      <c r="Q113" s="28">
        <v>9.3000000000000007</v>
      </c>
    </row>
    <row r="114" spans="1:17" x14ac:dyDescent="0.35">
      <c r="A114" s="21" t="s">
        <v>1628</v>
      </c>
      <c r="B114" s="22" t="s">
        <v>1475</v>
      </c>
      <c r="C114" s="22" t="s">
        <v>1476</v>
      </c>
      <c r="D114" s="22" t="s">
        <v>1479</v>
      </c>
      <c r="E114" s="22" t="s">
        <v>27</v>
      </c>
      <c r="F114" s="22" t="s">
        <v>1501</v>
      </c>
      <c r="G114" s="22">
        <v>17.14</v>
      </c>
      <c r="H114" s="22">
        <v>7</v>
      </c>
      <c r="I114" s="22">
        <v>5.9989999999999997</v>
      </c>
      <c r="J114" s="23">
        <v>125.979</v>
      </c>
      <c r="K114" s="24" t="s">
        <v>1612</v>
      </c>
      <c r="L114" s="25">
        <v>0.50486111111111109</v>
      </c>
      <c r="M114" s="22" t="s">
        <v>1477</v>
      </c>
      <c r="N114" s="26">
        <v>119.98</v>
      </c>
      <c r="O114" s="27">
        <f t="shared" si="1"/>
        <v>4.761904762E-2</v>
      </c>
      <c r="P114" s="23">
        <v>5.9989999999999997</v>
      </c>
      <c r="Q114" s="28">
        <v>7.9</v>
      </c>
    </row>
    <row r="115" spans="1:17" x14ac:dyDescent="0.35">
      <c r="A115" s="21" t="s">
        <v>1629</v>
      </c>
      <c r="B115" s="22" t="s">
        <v>1466</v>
      </c>
      <c r="C115" s="22" t="s">
        <v>1467</v>
      </c>
      <c r="D115" s="22" t="s">
        <v>1479</v>
      </c>
      <c r="E115" s="22" t="s">
        <v>19</v>
      </c>
      <c r="F115" s="22" t="s">
        <v>1468</v>
      </c>
      <c r="G115" s="22">
        <v>58.75</v>
      </c>
      <c r="H115" s="22">
        <v>6</v>
      </c>
      <c r="I115" s="22">
        <v>17.625</v>
      </c>
      <c r="J115" s="23">
        <v>370.125</v>
      </c>
      <c r="K115" s="24" t="s">
        <v>1550</v>
      </c>
      <c r="L115" s="25">
        <v>0.75972222222222219</v>
      </c>
      <c r="M115" s="22" t="s">
        <v>1477</v>
      </c>
      <c r="N115" s="26">
        <v>352.5</v>
      </c>
      <c r="O115" s="27">
        <f t="shared" si="1"/>
        <v>4.761904762E-2</v>
      </c>
      <c r="P115" s="23">
        <v>17.625</v>
      </c>
      <c r="Q115" s="28">
        <v>5.9</v>
      </c>
    </row>
    <row r="116" spans="1:17" x14ac:dyDescent="0.35">
      <c r="A116" s="21" t="s">
        <v>1630</v>
      </c>
      <c r="B116" s="22" t="s">
        <v>1475</v>
      </c>
      <c r="C116" s="22" t="s">
        <v>1476</v>
      </c>
      <c r="D116" s="22" t="s">
        <v>1479</v>
      </c>
      <c r="E116" s="22" t="s">
        <v>19</v>
      </c>
      <c r="F116" s="22" t="s">
        <v>1486</v>
      </c>
      <c r="G116" s="22">
        <v>87.1</v>
      </c>
      <c r="H116" s="22">
        <v>10</v>
      </c>
      <c r="I116" s="22">
        <v>43.55</v>
      </c>
      <c r="J116" s="23">
        <v>914.55</v>
      </c>
      <c r="K116" s="24">
        <v>43801</v>
      </c>
      <c r="L116" s="25">
        <v>0.61458333333333337</v>
      </c>
      <c r="M116" s="22" t="s">
        <v>1477</v>
      </c>
      <c r="N116" s="26">
        <v>871</v>
      </c>
      <c r="O116" s="27">
        <f t="shared" si="1"/>
        <v>4.761904762E-2</v>
      </c>
      <c r="P116" s="23">
        <v>43.55</v>
      </c>
      <c r="Q116" s="28">
        <v>9.9</v>
      </c>
    </row>
    <row r="117" spans="1:17" x14ac:dyDescent="0.35">
      <c r="A117" s="21" t="s">
        <v>1631</v>
      </c>
      <c r="B117" s="22" t="s">
        <v>1475</v>
      </c>
      <c r="C117" s="22" t="s">
        <v>1476</v>
      </c>
      <c r="D117" s="22" t="s">
        <v>1461</v>
      </c>
      <c r="E117" s="22" t="s">
        <v>19</v>
      </c>
      <c r="F117" s="22" t="s">
        <v>1501</v>
      </c>
      <c r="G117" s="22">
        <v>98.8</v>
      </c>
      <c r="H117" s="22">
        <v>2</v>
      </c>
      <c r="I117" s="22">
        <v>9.8800000000000008</v>
      </c>
      <c r="J117" s="23">
        <v>207.48</v>
      </c>
      <c r="K117" s="24" t="s">
        <v>1632</v>
      </c>
      <c r="L117" s="25">
        <v>0.48541666666666666</v>
      </c>
      <c r="M117" s="22" t="s">
        <v>1464</v>
      </c>
      <c r="N117" s="26">
        <v>197.6</v>
      </c>
      <c r="O117" s="27">
        <f t="shared" si="1"/>
        <v>4.761904762E-2</v>
      </c>
      <c r="P117" s="23">
        <v>9.8800000000000008</v>
      </c>
      <c r="Q117" s="28">
        <v>7.7</v>
      </c>
    </row>
    <row r="118" spans="1:17" x14ac:dyDescent="0.35">
      <c r="A118" s="21" t="s">
        <v>1633</v>
      </c>
      <c r="B118" s="22" t="s">
        <v>1459</v>
      </c>
      <c r="C118" s="22" t="s">
        <v>1460</v>
      </c>
      <c r="D118" s="22" t="s">
        <v>1461</v>
      </c>
      <c r="E118" s="22" t="s">
        <v>19</v>
      </c>
      <c r="F118" s="22" t="s">
        <v>1468</v>
      </c>
      <c r="G118" s="22">
        <v>48.63</v>
      </c>
      <c r="H118" s="22">
        <v>4</v>
      </c>
      <c r="I118" s="22">
        <v>9.7260000000000009</v>
      </c>
      <c r="J118" s="23">
        <v>204.24600000000001</v>
      </c>
      <c r="K118" s="24">
        <v>43557</v>
      </c>
      <c r="L118" s="25">
        <v>0.65555555555555556</v>
      </c>
      <c r="M118" s="22" t="s">
        <v>1469</v>
      </c>
      <c r="N118" s="26">
        <v>194.52</v>
      </c>
      <c r="O118" s="27">
        <f t="shared" si="1"/>
        <v>4.761904762E-2</v>
      </c>
      <c r="P118" s="23">
        <v>9.7260000000000009</v>
      </c>
      <c r="Q118" s="28">
        <v>7.6</v>
      </c>
    </row>
    <row r="119" spans="1:17" x14ac:dyDescent="0.35">
      <c r="A119" s="21" t="s">
        <v>1634</v>
      </c>
      <c r="B119" s="22" t="s">
        <v>1466</v>
      </c>
      <c r="C119" s="22" t="s">
        <v>1467</v>
      </c>
      <c r="D119" s="22" t="s">
        <v>1479</v>
      </c>
      <c r="E119" s="22" t="s">
        <v>27</v>
      </c>
      <c r="F119" s="22" t="s">
        <v>1486</v>
      </c>
      <c r="G119" s="22">
        <v>57.74</v>
      </c>
      <c r="H119" s="22">
        <v>3</v>
      </c>
      <c r="I119" s="22">
        <v>8.6609999999999996</v>
      </c>
      <c r="J119" s="23">
        <v>181.881</v>
      </c>
      <c r="K119" s="24" t="s">
        <v>1516</v>
      </c>
      <c r="L119" s="25">
        <v>0.54583333333333328</v>
      </c>
      <c r="M119" s="22" t="s">
        <v>1469</v>
      </c>
      <c r="N119" s="26">
        <v>173.22</v>
      </c>
      <c r="O119" s="27">
        <f t="shared" si="1"/>
        <v>4.761904762E-2</v>
      </c>
      <c r="P119" s="23">
        <v>8.6609999999999996</v>
      </c>
      <c r="Q119" s="28">
        <v>7.7</v>
      </c>
    </row>
    <row r="120" spans="1:17" x14ac:dyDescent="0.35">
      <c r="A120" s="21" t="s">
        <v>1635</v>
      </c>
      <c r="B120" s="22" t="s">
        <v>1466</v>
      </c>
      <c r="C120" s="22" t="s">
        <v>1467</v>
      </c>
      <c r="D120" s="22" t="s">
        <v>1461</v>
      </c>
      <c r="E120" s="22" t="s">
        <v>19</v>
      </c>
      <c r="F120" s="22" t="s">
        <v>1473</v>
      </c>
      <c r="G120" s="22">
        <v>17.97</v>
      </c>
      <c r="H120" s="22">
        <v>4</v>
      </c>
      <c r="I120" s="22">
        <v>3.5939999999999999</v>
      </c>
      <c r="J120" s="23">
        <v>75.474000000000004</v>
      </c>
      <c r="K120" s="24" t="s">
        <v>1601</v>
      </c>
      <c r="L120" s="25">
        <v>0.86319444444444449</v>
      </c>
      <c r="M120" s="22" t="s">
        <v>1469</v>
      </c>
      <c r="N120" s="26">
        <v>71.88</v>
      </c>
      <c r="O120" s="27">
        <f t="shared" si="1"/>
        <v>4.761904762E-2</v>
      </c>
      <c r="P120" s="23">
        <v>3.5939999999999999</v>
      </c>
      <c r="Q120" s="28">
        <v>6.4</v>
      </c>
    </row>
    <row r="121" spans="1:17" x14ac:dyDescent="0.35">
      <c r="A121" s="21" t="s">
        <v>1636</v>
      </c>
      <c r="B121" s="22" t="s">
        <v>1475</v>
      </c>
      <c r="C121" s="22" t="s">
        <v>1476</v>
      </c>
      <c r="D121" s="22" t="s">
        <v>1479</v>
      </c>
      <c r="E121" s="22" t="s">
        <v>19</v>
      </c>
      <c r="F121" s="22" t="s">
        <v>1473</v>
      </c>
      <c r="G121" s="22">
        <v>47.71</v>
      </c>
      <c r="H121" s="22">
        <v>6</v>
      </c>
      <c r="I121" s="22">
        <v>14.313000000000001</v>
      </c>
      <c r="J121" s="23">
        <v>300.57299999999998</v>
      </c>
      <c r="K121" s="24" t="s">
        <v>1579</v>
      </c>
      <c r="L121" s="25">
        <v>0.59652777777777777</v>
      </c>
      <c r="M121" s="22" t="s">
        <v>1469</v>
      </c>
      <c r="N121" s="26">
        <v>286.26</v>
      </c>
      <c r="O121" s="27">
        <f t="shared" si="1"/>
        <v>4.761904762E-2</v>
      </c>
      <c r="P121" s="23">
        <v>14.313000000000001</v>
      </c>
      <c r="Q121" s="28">
        <v>4.4000000000000004</v>
      </c>
    </row>
    <row r="122" spans="1:17" x14ac:dyDescent="0.35">
      <c r="A122" s="21" t="s">
        <v>1637</v>
      </c>
      <c r="B122" s="22" t="s">
        <v>1466</v>
      </c>
      <c r="C122" s="22" t="s">
        <v>1467</v>
      </c>
      <c r="D122" s="22" t="s">
        <v>1461</v>
      </c>
      <c r="E122" s="22" t="s">
        <v>19</v>
      </c>
      <c r="F122" s="22" t="s">
        <v>1501</v>
      </c>
      <c r="G122" s="22">
        <v>40.619999999999997</v>
      </c>
      <c r="H122" s="22">
        <v>2</v>
      </c>
      <c r="I122" s="22">
        <v>4.0620000000000003</v>
      </c>
      <c r="J122" s="23">
        <v>85.302000000000007</v>
      </c>
      <c r="K122" s="24" t="s">
        <v>1499</v>
      </c>
      <c r="L122" s="25">
        <v>0.41736111111111113</v>
      </c>
      <c r="M122" s="22" t="s">
        <v>1477</v>
      </c>
      <c r="N122" s="26">
        <v>81.239999999999995</v>
      </c>
      <c r="O122" s="27">
        <f t="shared" si="1"/>
        <v>4.761904762E-2</v>
      </c>
      <c r="P122" s="23">
        <v>4.0620000000000003</v>
      </c>
      <c r="Q122" s="28">
        <v>4.0999999999999996</v>
      </c>
    </row>
    <row r="123" spans="1:17" x14ac:dyDescent="0.35">
      <c r="A123" s="21" t="s">
        <v>1638</v>
      </c>
      <c r="B123" s="22" t="s">
        <v>1459</v>
      </c>
      <c r="C123" s="22" t="s">
        <v>1460</v>
      </c>
      <c r="D123" s="22" t="s">
        <v>1479</v>
      </c>
      <c r="E123" s="22" t="s">
        <v>27</v>
      </c>
      <c r="F123" s="22" t="s">
        <v>1468</v>
      </c>
      <c r="G123" s="22">
        <v>56.04</v>
      </c>
      <c r="H123" s="22">
        <v>10</v>
      </c>
      <c r="I123" s="22">
        <v>28.02</v>
      </c>
      <c r="J123" s="23">
        <v>588.41999999999996</v>
      </c>
      <c r="K123" s="24" t="s">
        <v>1518</v>
      </c>
      <c r="L123" s="25">
        <v>0.8125</v>
      </c>
      <c r="M123" s="22" t="s">
        <v>1469</v>
      </c>
      <c r="N123" s="26">
        <v>560.4</v>
      </c>
      <c r="O123" s="27">
        <f t="shared" si="1"/>
        <v>4.761904762E-2</v>
      </c>
      <c r="P123" s="23">
        <v>28.02</v>
      </c>
      <c r="Q123" s="28">
        <v>4.4000000000000004</v>
      </c>
    </row>
    <row r="124" spans="1:17" x14ac:dyDescent="0.35">
      <c r="A124" s="21" t="s">
        <v>1639</v>
      </c>
      <c r="B124" s="22" t="s">
        <v>1466</v>
      </c>
      <c r="C124" s="22" t="s">
        <v>1467</v>
      </c>
      <c r="D124" s="22" t="s">
        <v>1479</v>
      </c>
      <c r="E124" s="22" t="s">
        <v>27</v>
      </c>
      <c r="F124" s="22" t="s">
        <v>1486</v>
      </c>
      <c r="G124" s="22">
        <v>93.4</v>
      </c>
      <c r="H124" s="22">
        <v>2</v>
      </c>
      <c r="I124" s="22">
        <v>9.34</v>
      </c>
      <c r="J124" s="23">
        <v>196.14</v>
      </c>
      <c r="K124" s="24" t="s">
        <v>1605</v>
      </c>
      <c r="L124" s="25">
        <v>0.69027777777777777</v>
      </c>
      <c r="M124" s="22" t="s">
        <v>1464</v>
      </c>
      <c r="N124" s="26">
        <v>186.8</v>
      </c>
      <c r="O124" s="27">
        <f t="shared" si="1"/>
        <v>4.761904762E-2</v>
      </c>
      <c r="P124" s="23">
        <v>9.34</v>
      </c>
      <c r="Q124" s="28">
        <v>5.5</v>
      </c>
    </row>
    <row r="125" spans="1:17" x14ac:dyDescent="0.35">
      <c r="A125" s="21" t="s">
        <v>1640</v>
      </c>
      <c r="B125" s="22" t="s">
        <v>1466</v>
      </c>
      <c r="C125" s="22" t="s">
        <v>1467</v>
      </c>
      <c r="D125" s="22" t="s">
        <v>1461</v>
      </c>
      <c r="E125" s="22" t="s">
        <v>19</v>
      </c>
      <c r="F125" s="22" t="s">
        <v>1473</v>
      </c>
      <c r="G125" s="22">
        <v>73.41</v>
      </c>
      <c r="H125" s="22">
        <v>3</v>
      </c>
      <c r="I125" s="22">
        <v>11.0115</v>
      </c>
      <c r="J125" s="23">
        <v>231.2415</v>
      </c>
      <c r="K125" s="24">
        <v>43499</v>
      </c>
      <c r="L125" s="25">
        <v>0.54861111111111116</v>
      </c>
      <c r="M125" s="22" t="s">
        <v>1469</v>
      </c>
      <c r="N125" s="26">
        <v>220.23</v>
      </c>
      <c r="O125" s="27">
        <f t="shared" si="1"/>
        <v>4.761904762E-2</v>
      </c>
      <c r="P125" s="23">
        <v>11.0115</v>
      </c>
      <c r="Q125" s="28">
        <v>4</v>
      </c>
    </row>
    <row r="126" spans="1:17" x14ac:dyDescent="0.35">
      <c r="A126" s="21" t="s">
        <v>1641</v>
      </c>
      <c r="B126" s="22" t="s">
        <v>1475</v>
      </c>
      <c r="C126" s="22" t="s">
        <v>1476</v>
      </c>
      <c r="D126" s="22" t="s">
        <v>1461</v>
      </c>
      <c r="E126" s="22" t="s">
        <v>27</v>
      </c>
      <c r="F126" s="22" t="s">
        <v>1473</v>
      </c>
      <c r="G126" s="22">
        <v>33.64</v>
      </c>
      <c r="H126" s="22">
        <v>8</v>
      </c>
      <c r="I126" s="22">
        <v>13.456</v>
      </c>
      <c r="J126" s="23">
        <v>282.57600000000002</v>
      </c>
      <c r="K126" s="24" t="s">
        <v>1544</v>
      </c>
      <c r="L126" s="25">
        <v>0.71527777777777779</v>
      </c>
      <c r="M126" s="22" t="s">
        <v>1477</v>
      </c>
      <c r="N126" s="26">
        <v>269.12</v>
      </c>
      <c r="O126" s="27">
        <f t="shared" si="1"/>
        <v>4.761904762E-2</v>
      </c>
      <c r="P126" s="23">
        <v>13.456</v>
      </c>
      <c r="Q126" s="28">
        <v>9.3000000000000007</v>
      </c>
    </row>
    <row r="127" spans="1:17" x14ac:dyDescent="0.35">
      <c r="A127" s="21" t="s">
        <v>1642</v>
      </c>
      <c r="B127" s="22" t="s">
        <v>1459</v>
      </c>
      <c r="C127" s="22" t="s">
        <v>1460</v>
      </c>
      <c r="D127" s="22" t="s">
        <v>1461</v>
      </c>
      <c r="E127" s="22" t="s">
        <v>19</v>
      </c>
      <c r="F127" s="22" t="s">
        <v>1462</v>
      </c>
      <c r="G127" s="22">
        <v>45.48</v>
      </c>
      <c r="H127" s="22">
        <v>10</v>
      </c>
      <c r="I127" s="22">
        <v>22.74</v>
      </c>
      <c r="J127" s="23">
        <v>477.54</v>
      </c>
      <c r="K127" s="24">
        <v>43468</v>
      </c>
      <c r="L127" s="25">
        <v>0.43194444444444446</v>
      </c>
      <c r="M127" s="22" t="s">
        <v>1477</v>
      </c>
      <c r="N127" s="26">
        <v>454.8</v>
      </c>
      <c r="O127" s="27">
        <f t="shared" si="1"/>
        <v>4.761904762E-2</v>
      </c>
      <c r="P127" s="23">
        <v>22.74</v>
      </c>
      <c r="Q127" s="28">
        <v>4.8</v>
      </c>
    </row>
    <row r="128" spans="1:17" x14ac:dyDescent="0.35">
      <c r="A128" s="21" t="s">
        <v>1643</v>
      </c>
      <c r="B128" s="22" t="s">
        <v>1466</v>
      </c>
      <c r="C128" s="22" t="s">
        <v>1467</v>
      </c>
      <c r="D128" s="22" t="s">
        <v>1479</v>
      </c>
      <c r="E128" s="22" t="s">
        <v>27</v>
      </c>
      <c r="F128" s="22" t="s">
        <v>1468</v>
      </c>
      <c r="G128" s="22">
        <v>83.77</v>
      </c>
      <c r="H128" s="22">
        <v>2</v>
      </c>
      <c r="I128" s="22">
        <v>8.3770000000000007</v>
      </c>
      <c r="J128" s="23">
        <v>175.917</v>
      </c>
      <c r="K128" s="24" t="s">
        <v>1614</v>
      </c>
      <c r="L128" s="25">
        <v>0.83125000000000004</v>
      </c>
      <c r="M128" s="22" t="s">
        <v>1464</v>
      </c>
      <c r="N128" s="26">
        <v>167.54</v>
      </c>
      <c r="O128" s="27">
        <f t="shared" si="1"/>
        <v>4.761904762E-2</v>
      </c>
      <c r="P128" s="23">
        <v>8.3770000000000007</v>
      </c>
      <c r="Q128" s="28">
        <v>4.5999999999999996</v>
      </c>
    </row>
    <row r="129" spans="1:17" x14ac:dyDescent="0.35">
      <c r="A129" s="21" t="s">
        <v>1644</v>
      </c>
      <c r="B129" s="22" t="s">
        <v>1466</v>
      </c>
      <c r="C129" s="22" t="s">
        <v>1467</v>
      </c>
      <c r="D129" s="22" t="s">
        <v>1479</v>
      </c>
      <c r="E129" s="22" t="s">
        <v>19</v>
      </c>
      <c r="F129" s="22" t="s">
        <v>1501</v>
      </c>
      <c r="G129" s="22">
        <v>64.08</v>
      </c>
      <c r="H129" s="22">
        <v>7</v>
      </c>
      <c r="I129" s="22">
        <v>22.428000000000001</v>
      </c>
      <c r="J129" s="23">
        <v>470.988</v>
      </c>
      <c r="K129" s="24" t="s">
        <v>1645</v>
      </c>
      <c r="L129" s="25">
        <v>0.81180555555555556</v>
      </c>
      <c r="M129" s="22" t="s">
        <v>1477</v>
      </c>
      <c r="N129" s="26">
        <v>448.56</v>
      </c>
      <c r="O129" s="27">
        <f t="shared" si="1"/>
        <v>4.761904762E-2</v>
      </c>
      <c r="P129" s="23">
        <v>22.428000000000001</v>
      </c>
      <c r="Q129" s="28">
        <v>7.3</v>
      </c>
    </row>
    <row r="130" spans="1:17" x14ac:dyDescent="0.35">
      <c r="A130" s="21" t="s">
        <v>1646</v>
      </c>
      <c r="B130" s="22" t="s">
        <v>1459</v>
      </c>
      <c r="C130" s="22" t="s">
        <v>1460</v>
      </c>
      <c r="D130" s="22" t="s">
        <v>1479</v>
      </c>
      <c r="E130" s="22" t="s">
        <v>19</v>
      </c>
      <c r="F130" s="22" t="s">
        <v>1486</v>
      </c>
      <c r="G130" s="22">
        <v>73.47</v>
      </c>
      <c r="H130" s="22">
        <v>4</v>
      </c>
      <c r="I130" s="22">
        <v>14.694000000000001</v>
      </c>
      <c r="J130" s="23">
        <v>308.57400000000001</v>
      </c>
      <c r="K130" s="24" t="s">
        <v>1601</v>
      </c>
      <c r="L130" s="25">
        <v>0.77083333333333337</v>
      </c>
      <c r="M130" s="22" t="s">
        <v>1464</v>
      </c>
      <c r="N130" s="26">
        <v>293.88</v>
      </c>
      <c r="O130" s="27">
        <f t="shared" ref="O130:O193" si="2">4.761904762/100</f>
        <v>4.761904762E-2</v>
      </c>
      <c r="P130" s="23">
        <v>14.694000000000001</v>
      </c>
      <c r="Q130" s="28">
        <v>6</v>
      </c>
    </row>
    <row r="131" spans="1:17" x14ac:dyDescent="0.35">
      <c r="A131" s="21" t="s">
        <v>1647</v>
      </c>
      <c r="B131" s="22" t="s">
        <v>1475</v>
      </c>
      <c r="C131" s="22" t="s">
        <v>1476</v>
      </c>
      <c r="D131" s="22" t="s">
        <v>1461</v>
      </c>
      <c r="E131" s="22" t="s">
        <v>27</v>
      </c>
      <c r="F131" s="22" t="s">
        <v>1473</v>
      </c>
      <c r="G131" s="22">
        <v>58.95</v>
      </c>
      <c r="H131" s="22">
        <v>10</v>
      </c>
      <c r="I131" s="22">
        <v>29.475000000000001</v>
      </c>
      <c r="J131" s="23">
        <v>618.97500000000002</v>
      </c>
      <c r="K131" s="24">
        <v>43648</v>
      </c>
      <c r="L131" s="25">
        <v>0.6020833333333333</v>
      </c>
      <c r="M131" s="22" t="s">
        <v>1469</v>
      </c>
      <c r="N131" s="26">
        <v>589.5</v>
      </c>
      <c r="O131" s="27">
        <f t="shared" si="2"/>
        <v>4.761904762E-2</v>
      </c>
      <c r="P131" s="23">
        <v>29.475000000000001</v>
      </c>
      <c r="Q131" s="28">
        <v>8.1</v>
      </c>
    </row>
    <row r="132" spans="1:17" x14ac:dyDescent="0.35">
      <c r="A132" s="21" t="s">
        <v>1648</v>
      </c>
      <c r="B132" s="22" t="s">
        <v>1459</v>
      </c>
      <c r="C132" s="22" t="s">
        <v>1460</v>
      </c>
      <c r="D132" s="22" t="s">
        <v>1479</v>
      </c>
      <c r="E132" s="22" t="s">
        <v>27</v>
      </c>
      <c r="F132" s="22" t="s">
        <v>1486</v>
      </c>
      <c r="G132" s="22">
        <v>48.5</v>
      </c>
      <c r="H132" s="22">
        <v>6</v>
      </c>
      <c r="I132" s="22">
        <v>14.55</v>
      </c>
      <c r="J132" s="23">
        <v>305.55</v>
      </c>
      <c r="K132" s="24">
        <v>43770</v>
      </c>
      <c r="L132" s="25">
        <v>0.58125000000000004</v>
      </c>
      <c r="M132" s="22" t="s">
        <v>1469</v>
      </c>
      <c r="N132" s="26">
        <v>291</v>
      </c>
      <c r="O132" s="27">
        <f t="shared" si="2"/>
        <v>4.761904762E-2</v>
      </c>
      <c r="P132" s="23">
        <v>14.55</v>
      </c>
      <c r="Q132" s="28">
        <v>9.4</v>
      </c>
    </row>
    <row r="133" spans="1:17" x14ac:dyDescent="0.35">
      <c r="A133" s="21" t="s">
        <v>1649</v>
      </c>
      <c r="B133" s="22" t="s">
        <v>1466</v>
      </c>
      <c r="C133" s="22" t="s">
        <v>1467</v>
      </c>
      <c r="D133" s="22" t="s">
        <v>1479</v>
      </c>
      <c r="E133" s="22" t="s">
        <v>19</v>
      </c>
      <c r="F133" s="22" t="s">
        <v>1462</v>
      </c>
      <c r="G133" s="22">
        <v>39.479999999999997</v>
      </c>
      <c r="H133" s="22">
        <v>1</v>
      </c>
      <c r="I133" s="22">
        <v>1.974</v>
      </c>
      <c r="J133" s="23">
        <v>41.454000000000001</v>
      </c>
      <c r="K133" s="24">
        <v>43801</v>
      </c>
      <c r="L133" s="25">
        <v>0.82152777777777775</v>
      </c>
      <c r="M133" s="22" t="s">
        <v>1464</v>
      </c>
      <c r="N133" s="26">
        <v>39.479999999999997</v>
      </c>
      <c r="O133" s="27">
        <f t="shared" si="2"/>
        <v>4.761904762E-2</v>
      </c>
      <c r="P133" s="23">
        <v>1.974</v>
      </c>
      <c r="Q133" s="28">
        <v>6.5</v>
      </c>
    </row>
    <row r="134" spans="1:17" x14ac:dyDescent="0.35">
      <c r="A134" s="21" t="s">
        <v>1650</v>
      </c>
      <c r="B134" s="22" t="s">
        <v>1466</v>
      </c>
      <c r="C134" s="22" t="s">
        <v>1467</v>
      </c>
      <c r="D134" s="22" t="s">
        <v>1461</v>
      </c>
      <c r="E134" s="22" t="s">
        <v>19</v>
      </c>
      <c r="F134" s="22" t="s">
        <v>1501</v>
      </c>
      <c r="G134" s="22">
        <v>34.81</v>
      </c>
      <c r="H134" s="22">
        <v>1</v>
      </c>
      <c r="I134" s="22">
        <v>1.7404999999999999</v>
      </c>
      <c r="J134" s="23">
        <v>36.5505</v>
      </c>
      <c r="K134" s="24" t="s">
        <v>1518</v>
      </c>
      <c r="L134" s="25">
        <v>0.42430555555555555</v>
      </c>
      <c r="M134" s="22" t="s">
        <v>1477</v>
      </c>
      <c r="N134" s="26">
        <v>34.81</v>
      </c>
      <c r="O134" s="27">
        <f t="shared" si="2"/>
        <v>4.761904762E-2</v>
      </c>
      <c r="P134" s="23">
        <v>1.7404999999999999</v>
      </c>
      <c r="Q134" s="28">
        <v>7</v>
      </c>
    </row>
    <row r="135" spans="1:17" x14ac:dyDescent="0.35">
      <c r="A135" s="21" t="s">
        <v>1651</v>
      </c>
      <c r="B135" s="22" t="s">
        <v>1475</v>
      </c>
      <c r="C135" s="22" t="s">
        <v>1476</v>
      </c>
      <c r="D135" s="22" t="s">
        <v>1461</v>
      </c>
      <c r="E135" s="22" t="s">
        <v>19</v>
      </c>
      <c r="F135" s="22" t="s">
        <v>1468</v>
      </c>
      <c r="G135" s="22">
        <v>49.32</v>
      </c>
      <c r="H135" s="22">
        <v>6</v>
      </c>
      <c r="I135" s="22">
        <v>14.795999999999999</v>
      </c>
      <c r="J135" s="23">
        <v>310.71600000000001</v>
      </c>
      <c r="K135" s="24">
        <v>43709</v>
      </c>
      <c r="L135" s="25">
        <v>0.57361111111111107</v>
      </c>
      <c r="M135" s="22" t="s">
        <v>1469</v>
      </c>
      <c r="N135" s="26">
        <v>295.92</v>
      </c>
      <c r="O135" s="27">
        <f t="shared" si="2"/>
        <v>4.761904762E-2</v>
      </c>
      <c r="P135" s="23">
        <v>14.795999999999999</v>
      </c>
      <c r="Q135" s="28">
        <v>7.1</v>
      </c>
    </row>
    <row r="136" spans="1:17" x14ac:dyDescent="0.35">
      <c r="A136" s="21" t="s">
        <v>1652</v>
      </c>
      <c r="B136" s="22" t="s">
        <v>1459</v>
      </c>
      <c r="C136" s="22" t="s">
        <v>1460</v>
      </c>
      <c r="D136" s="22" t="s">
        <v>1479</v>
      </c>
      <c r="E136" s="22" t="s">
        <v>27</v>
      </c>
      <c r="F136" s="22" t="s">
        <v>1468</v>
      </c>
      <c r="G136" s="22">
        <v>21.48</v>
      </c>
      <c r="H136" s="22">
        <v>2</v>
      </c>
      <c r="I136" s="22">
        <v>2.1480000000000001</v>
      </c>
      <c r="J136" s="23">
        <v>45.107999999999997</v>
      </c>
      <c r="K136" s="24" t="s">
        <v>1599</v>
      </c>
      <c r="L136" s="25">
        <v>0.51527777777777772</v>
      </c>
      <c r="M136" s="22" t="s">
        <v>1469</v>
      </c>
      <c r="N136" s="26">
        <v>42.96</v>
      </c>
      <c r="O136" s="27">
        <f t="shared" si="2"/>
        <v>4.761904762E-2</v>
      </c>
      <c r="P136" s="23">
        <v>2.1480000000000001</v>
      </c>
      <c r="Q136" s="28">
        <v>6.6</v>
      </c>
    </row>
    <row r="137" spans="1:17" x14ac:dyDescent="0.35">
      <c r="A137" s="21" t="s">
        <v>1653</v>
      </c>
      <c r="B137" s="22" t="s">
        <v>1466</v>
      </c>
      <c r="C137" s="22" t="s">
        <v>1467</v>
      </c>
      <c r="D137" s="22" t="s">
        <v>1479</v>
      </c>
      <c r="E137" s="22" t="s">
        <v>19</v>
      </c>
      <c r="F137" s="22" t="s">
        <v>1501</v>
      </c>
      <c r="G137" s="22">
        <v>23.08</v>
      </c>
      <c r="H137" s="22">
        <v>6</v>
      </c>
      <c r="I137" s="22">
        <v>6.9240000000000004</v>
      </c>
      <c r="J137" s="23">
        <v>145.404</v>
      </c>
      <c r="K137" s="24" t="s">
        <v>1566</v>
      </c>
      <c r="L137" s="25">
        <v>0.80555555555555558</v>
      </c>
      <c r="M137" s="22" t="s">
        <v>1469</v>
      </c>
      <c r="N137" s="26">
        <v>138.47999999999999</v>
      </c>
      <c r="O137" s="27">
        <f t="shared" si="2"/>
        <v>4.761904762E-2</v>
      </c>
      <c r="P137" s="23">
        <v>6.9240000000000004</v>
      </c>
      <c r="Q137" s="28">
        <v>4.9000000000000004</v>
      </c>
    </row>
    <row r="138" spans="1:17" x14ac:dyDescent="0.35">
      <c r="A138" s="21" t="s">
        <v>1654</v>
      </c>
      <c r="B138" s="22" t="s">
        <v>1466</v>
      </c>
      <c r="C138" s="22" t="s">
        <v>1467</v>
      </c>
      <c r="D138" s="22" t="s">
        <v>1479</v>
      </c>
      <c r="E138" s="22" t="s">
        <v>19</v>
      </c>
      <c r="F138" s="22" t="s">
        <v>1482</v>
      </c>
      <c r="G138" s="22">
        <v>49.1</v>
      </c>
      <c r="H138" s="22">
        <v>2</v>
      </c>
      <c r="I138" s="22">
        <v>4.91</v>
      </c>
      <c r="J138" s="23">
        <v>103.11</v>
      </c>
      <c r="K138" s="24">
        <v>43678</v>
      </c>
      <c r="L138" s="25">
        <v>0.54027777777777775</v>
      </c>
      <c r="M138" s="22" t="s">
        <v>1477</v>
      </c>
      <c r="N138" s="26">
        <v>98.2</v>
      </c>
      <c r="O138" s="27">
        <f t="shared" si="2"/>
        <v>4.761904762E-2</v>
      </c>
      <c r="P138" s="23">
        <v>4.91</v>
      </c>
      <c r="Q138" s="28">
        <v>6.4</v>
      </c>
    </row>
    <row r="139" spans="1:17" x14ac:dyDescent="0.35">
      <c r="A139" s="21" t="s">
        <v>1655</v>
      </c>
      <c r="B139" s="22" t="s">
        <v>1466</v>
      </c>
      <c r="C139" s="22" t="s">
        <v>1467</v>
      </c>
      <c r="D139" s="22" t="s">
        <v>1479</v>
      </c>
      <c r="E139" s="22" t="s">
        <v>19</v>
      </c>
      <c r="F139" s="22" t="s">
        <v>1501</v>
      </c>
      <c r="G139" s="22">
        <v>64.83</v>
      </c>
      <c r="H139" s="22">
        <v>2</v>
      </c>
      <c r="I139" s="22">
        <v>6.4829999999999997</v>
      </c>
      <c r="J139" s="23">
        <v>136.143</v>
      </c>
      <c r="K139" s="24">
        <v>43678</v>
      </c>
      <c r="L139" s="25">
        <v>0.49930555555555556</v>
      </c>
      <c r="M139" s="22" t="s">
        <v>1477</v>
      </c>
      <c r="N139" s="26">
        <v>129.66</v>
      </c>
      <c r="O139" s="27">
        <f t="shared" si="2"/>
        <v>4.761904762E-2</v>
      </c>
      <c r="P139" s="23">
        <v>6.4829999999999997</v>
      </c>
      <c r="Q139" s="28">
        <v>8</v>
      </c>
    </row>
    <row r="140" spans="1:17" x14ac:dyDescent="0.35">
      <c r="A140" s="21" t="s">
        <v>1656</v>
      </c>
      <c r="B140" s="22" t="s">
        <v>1459</v>
      </c>
      <c r="C140" s="22" t="s">
        <v>1460</v>
      </c>
      <c r="D140" s="22" t="s">
        <v>1479</v>
      </c>
      <c r="E140" s="22" t="s">
        <v>27</v>
      </c>
      <c r="F140" s="22" t="s">
        <v>1482</v>
      </c>
      <c r="G140" s="22">
        <v>63.56</v>
      </c>
      <c r="H140" s="22">
        <v>10</v>
      </c>
      <c r="I140" s="22">
        <v>31.78</v>
      </c>
      <c r="J140" s="23">
        <v>667.38</v>
      </c>
      <c r="K140" s="24" t="s">
        <v>1612</v>
      </c>
      <c r="L140" s="25">
        <v>0.74930555555555556</v>
      </c>
      <c r="M140" s="22" t="s">
        <v>1464</v>
      </c>
      <c r="N140" s="26">
        <v>635.6</v>
      </c>
      <c r="O140" s="27">
        <f t="shared" si="2"/>
        <v>4.761904762E-2</v>
      </c>
      <c r="P140" s="23">
        <v>31.78</v>
      </c>
      <c r="Q140" s="28">
        <v>4.3</v>
      </c>
    </row>
    <row r="141" spans="1:17" x14ac:dyDescent="0.35">
      <c r="A141" s="21" t="s">
        <v>1657</v>
      </c>
      <c r="B141" s="22" t="s">
        <v>1475</v>
      </c>
      <c r="C141" s="22" t="s">
        <v>1476</v>
      </c>
      <c r="D141" s="22" t="s">
        <v>1479</v>
      </c>
      <c r="E141" s="22" t="s">
        <v>27</v>
      </c>
      <c r="F141" s="22" t="s">
        <v>1501</v>
      </c>
      <c r="G141" s="22">
        <v>72.88</v>
      </c>
      <c r="H141" s="22">
        <v>2</v>
      </c>
      <c r="I141" s="22">
        <v>7.2880000000000003</v>
      </c>
      <c r="J141" s="23">
        <v>153.048</v>
      </c>
      <c r="K141" s="24" t="s">
        <v>1658</v>
      </c>
      <c r="L141" s="25">
        <v>0.53541666666666665</v>
      </c>
      <c r="M141" s="22" t="s">
        <v>1464</v>
      </c>
      <c r="N141" s="26">
        <v>145.76</v>
      </c>
      <c r="O141" s="27">
        <f t="shared" si="2"/>
        <v>4.761904762E-2</v>
      </c>
      <c r="P141" s="23">
        <v>7.2880000000000003</v>
      </c>
      <c r="Q141" s="28">
        <v>6.1</v>
      </c>
    </row>
    <row r="142" spans="1:17" x14ac:dyDescent="0.35">
      <c r="A142" s="21" t="s">
        <v>1659</v>
      </c>
      <c r="B142" s="22" t="s">
        <v>1459</v>
      </c>
      <c r="C142" s="22" t="s">
        <v>1460</v>
      </c>
      <c r="D142" s="22" t="s">
        <v>1461</v>
      </c>
      <c r="E142" s="22" t="s">
        <v>19</v>
      </c>
      <c r="F142" s="22" t="s">
        <v>1486</v>
      </c>
      <c r="G142" s="22">
        <v>67.099999999999994</v>
      </c>
      <c r="H142" s="22">
        <v>3</v>
      </c>
      <c r="I142" s="22">
        <v>10.065</v>
      </c>
      <c r="J142" s="23">
        <v>211.36500000000001</v>
      </c>
      <c r="K142" s="24" t="s">
        <v>1544</v>
      </c>
      <c r="L142" s="25">
        <v>0.44166666666666665</v>
      </c>
      <c r="M142" s="22" t="s">
        <v>1464</v>
      </c>
      <c r="N142" s="26">
        <v>201.3</v>
      </c>
      <c r="O142" s="27">
        <f t="shared" si="2"/>
        <v>4.761904762E-2</v>
      </c>
      <c r="P142" s="23">
        <v>10.065</v>
      </c>
      <c r="Q142" s="28">
        <v>7.5</v>
      </c>
    </row>
    <row r="143" spans="1:17" x14ac:dyDescent="0.35">
      <c r="A143" s="21" t="s">
        <v>1660</v>
      </c>
      <c r="B143" s="22" t="s">
        <v>1475</v>
      </c>
      <c r="C143" s="22" t="s">
        <v>1476</v>
      </c>
      <c r="D143" s="22" t="s">
        <v>1479</v>
      </c>
      <c r="E143" s="22" t="s">
        <v>19</v>
      </c>
      <c r="F143" s="22" t="s">
        <v>1501</v>
      </c>
      <c r="G143" s="22">
        <v>70.19</v>
      </c>
      <c r="H143" s="22">
        <v>9</v>
      </c>
      <c r="I143" s="22">
        <v>31.5855</v>
      </c>
      <c r="J143" s="23">
        <v>663.29549999999995</v>
      </c>
      <c r="K143" s="24" t="s">
        <v>1584</v>
      </c>
      <c r="L143" s="25">
        <v>0.56805555555555554</v>
      </c>
      <c r="M143" s="22" t="s">
        <v>1464</v>
      </c>
      <c r="N143" s="26">
        <v>631.71</v>
      </c>
      <c r="O143" s="27">
        <f t="shared" si="2"/>
        <v>4.761904762E-2</v>
      </c>
      <c r="P143" s="23">
        <v>31.5855</v>
      </c>
      <c r="Q143" s="28">
        <v>6.7</v>
      </c>
    </row>
    <row r="144" spans="1:17" x14ac:dyDescent="0.35">
      <c r="A144" s="21" t="s">
        <v>1661</v>
      </c>
      <c r="B144" s="22" t="s">
        <v>1475</v>
      </c>
      <c r="C144" s="22" t="s">
        <v>1476</v>
      </c>
      <c r="D144" s="22" t="s">
        <v>1479</v>
      </c>
      <c r="E144" s="22" t="s">
        <v>27</v>
      </c>
      <c r="F144" s="22" t="s">
        <v>1486</v>
      </c>
      <c r="G144" s="22">
        <v>55.04</v>
      </c>
      <c r="H144" s="22">
        <v>7</v>
      </c>
      <c r="I144" s="22">
        <v>19.263999999999999</v>
      </c>
      <c r="J144" s="23">
        <v>404.54399999999998</v>
      </c>
      <c r="K144" s="24">
        <v>43802</v>
      </c>
      <c r="L144" s="25">
        <v>0.81874999999999998</v>
      </c>
      <c r="M144" s="22" t="s">
        <v>1469</v>
      </c>
      <c r="N144" s="26">
        <v>385.28</v>
      </c>
      <c r="O144" s="27">
        <f t="shared" si="2"/>
        <v>4.761904762E-2</v>
      </c>
      <c r="P144" s="23">
        <v>19.263999999999999</v>
      </c>
      <c r="Q144" s="28">
        <v>5.2</v>
      </c>
    </row>
    <row r="145" spans="1:17" x14ac:dyDescent="0.35">
      <c r="A145" s="21" t="s">
        <v>1662</v>
      </c>
      <c r="B145" s="22" t="s">
        <v>1459</v>
      </c>
      <c r="C145" s="22" t="s">
        <v>1460</v>
      </c>
      <c r="D145" s="22" t="s">
        <v>1479</v>
      </c>
      <c r="E145" s="22" t="s">
        <v>27</v>
      </c>
      <c r="F145" s="22" t="s">
        <v>1473</v>
      </c>
      <c r="G145" s="22">
        <v>48.63</v>
      </c>
      <c r="H145" s="22">
        <v>10</v>
      </c>
      <c r="I145" s="22">
        <v>24.315000000000001</v>
      </c>
      <c r="J145" s="23">
        <v>510.61500000000001</v>
      </c>
      <c r="K145" s="24">
        <v>43558</v>
      </c>
      <c r="L145" s="25">
        <v>0.53055555555555556</v>
      </c>
      <c r="M145" s="22" t="s">
        <v>1464</v>
      </c>
      <c r="N145" s="26">
        <v>486.3</v>
      </c>
      <c r="O145" s="27">
        <f t="shared" si="2"/>
        <v>4.761904762E-2</v>
      </c>
      <c r="P145" s="23">
        <v>24.315000000000001</v>
      </c>
      <c r="Q145" s="28">
        <v>8.8000000000000007</v>
      </c>
    </row>
    <row r="146" spans="1:17" x14ac:dyDescent="0.35">
      <c r="A146" s="21" t="s">
        <v>1663</v>
      </c>
      <c r="B146" s="22" t="s">
        <v>1475</v>
      </c>
      <c r="C146" s="22" t="s">
        <v>1476</v>
      </c>
      <c r="D146" s="22" t="s">
        <v>1479</v>
      </c>
      <c r="E146" s="22" t="s">
        <v>19</v>
      </c>
      <c r="F146" s="22" t="s">
        <v>1468</v>
      </c>
      <c r="G146" s="22">
        <v>73.38</v>
      </c>
      <c r="H146" s="22">
        <v>7</v>
      </c>
      <c r="I146" s="22">
        <v>25.683</v>
      </c>
      <c r="J146" s="23">
        <v>539.34299999999996</v>
      </c>
      <c r="K146" s="24">
        <v>43740</v>
      </c>
      <c r="L146" s="25">
        <v>0.5805555555555556</v>
      </c>
      <c r="M146" s="22" t="s">
        <v>1464</v>
      </c>
      <c r="N146" s="26">
        <v>513.66</v>
      </c>
      <c r="O146" s="27">
        <f t="shared" si="2"/>
        <v>4.761904762E-2</v>
      </c>
      <c r="P146" s="23">
        <v>25.683</v>
      </c>
      <c r="Q146" s="28">
        <v>9.5</v>
      </c>
    </row>
    <row r="147" spans="1:17" x14ac:dyDescent="0.35">
      <c r="A147" s="21" t="s">
        <v>1664</v>
      </c>
      <c r="B147" s="22" t="s">
        <v>1475</v>
      </c>
      <c r="C147" s="22" t="s">
        <v>1476</v>
      </c>
      <c r="D147" s="22" t="s">
        <v>1461</v>
      </c>
      <c r="E147" s="22" t="s">
        <v>19</v>
      </c>
      <c r="F147" s="22" t="s">
        <v>1486</v>
      </c>
      <c r="G147" s="22">
        <v>52.6</v>
      </c>
      <c r="H147" s="22">
        <v>9</v>
      </c>
      <c r="I147" s="22">
        <v>23.67</v>
      </c>
      <c r="J147" s="23">
        <v>497.07</v>
      </c>
      <c r="K147" s="24" t="s">
        <v>1612</v>
      </c>
      <c r="L147" s="25">
        <v>0.61250000000000004</v>
      </c>
      <c r="M147" s="22" t="s">
        <v>1464</v>
      </c>
      <c r="N147" s="26">
        <v>473.4</v>
      </c>
      <c r="O147" s="27">
        <f t="shared" si="2"/>
        <v>4.761904762E-2</v>
      </c>
      <c r="P147" s="23">
        <v>23.67</v>
      </c>
      <c r="Q147" s="28">
        <v>7.6</v>
      </c>
    </row>
    <row r="148" spans="1:17" x14ac:dyDescent="0.35">
      <c r="A148" s="21" t="s">
        <v>1665</v>
      </c>
      <c r="B148" s="22" t="s">
        <v>1459</v>
      </c>
      <c r="C148" s="22" t="s">
        <v>1460</v>
      </c>
      <c r="D148" s="22" t="s">
        <v>1479</v>
      </c>
      <c r="E148" s="22" t="s">
        <v>19</v>
      </c>
      <c r="F148" s="22" t="s">
        <v>1482</v>
      </c>
      <c r="G148" s="22">
        <v>87.37</v>
      </c>
      <c r="H148" s="22">
        <v>5</v>
      </c>
      <c r="I148" s="22">
        <v>21.842500000000001</v>
      </c>
      <c r="J148" s="23">
        <v>458.6925</v>
      </c>
      <c r="K148" s="24" t="s">
        <v>1508</v>
      </c>
      <c r="L148" s="25">
        <v>0.82291666666666663</v>
      </c>
      <c r="M148" s="22" t="s">
        <v>1464</v>
      </c>
      <c r="N148" s="26">
        <v>436.85</v>
      </c>
      <c r="O148" s="27">
        <f t="shared" si="2"/>
        <v>4.761904762E-2</v>
      </c>
      <c r="P148" s="23">
        <v>21.842500000000001</v>
      </c>
      <c r="Q148" s="28">
        <v>6.6</v>
      </c>
    </row>
    <row r="149" spans="1:17" x14ac:dyDescent="0.35">
      <c r="A149" s="21" t="s">
        <v>1666</v>
      </c>
      <c r="B149" s="22" t="s">
        <v>1459</v>
      </c>
      <c r="C149" s="22" t="s">
        <v>1460</v>
      </c>
      <c r="D149" s="22" t="s">
        <v>1479</v>
      </c>
      <c r="E149" s="22" t="s">
        <v>19</v>
      </c>
      <c r="F149" s="22" t="s">
        <v>1501</v>
      </c>
      <c r="G149" s="22">
        <v>27.04</v>
      </c>
      <c r="H149" s="22">
        <v>4</v>
      </c>
      <c r="I149" s="22">
        <v>5.4080000000000004</v>
      </c>
      <c r="J149" s="23">
        <v>113.568</v>
      </c>
      <c r="K149" s="24">
        <v>43466</v>
      </c>
      <c r="L149" s="25">
        <v>0.85138888888888886</v>
      </c>
      <c r="M149" s="22" t="s">
        <v>1469</v>
      </c>
      <c r="N149" s="26">
        <v>108.16</v>
      </c>
      <c r="O149" s="27">
        <f t="shared" si="2"/>
        <v>4.761904762E-2</v>
      </c>
      <c r="P149" s="23">
        <v>5.4080000000000004</v>
      </c>
      <c r="Q149" s="28">
        <v>6.9</v>
      </c>
    </row>
    <row r="150" spans="1:17" x14ac:dyDescent="0.35">
      <c r="A150" s="21" t="s">
        <v>1667</v>
      </c>
      <c r="B150" s="22" t="s">
        <v>1466</v>
      </c>
      <c r="C150" s="22" t="s">
        <v>1467</v>
      </c>
      <c r="D150" s="22" t="s">
        <v>1461</v>
      </c>
      <c r="E150" s="22" t="s">
        <v>27</v>
      </c>
      <c r="F150" s="22" t="s">
        <v>1482</v>
      </c>
      <c r="G150" s="22">
        <v>62.19</v>
      </c>
      <c r="H150" s="22">
        <v>4</v>
      </c>
      <c r="I150" s="22">
        <v>12.438000000000001</v>
      </c>
      <c r="J150" s="23">
        <v>261.19799999999998</v>
      </c>
      <c r="K150" s="24">
        <v>43617</v>
      </c>
      <c r="L150" s="25">
        <v>0.82361111111111107</v>
      </c>
      <c r="M150" s="22" t="s">
        <v>1469</v>
      </c>
      <c r="N150" s="26">
        <v>248.76</v>
      </c>
      <c r="O150" s="27">
        <f t="shared" si="2"/>
        <v>4.761904762E-2</v>
      </c>
      <c r="P150" s="23">
        <v>12.438000000000001</v>
      </c>
      <c r="Q150" s="28">
        <v>4.3</v>
      </c>
    </row>
    <row r="151" spans="1:17" x14ac:dyDescent="0.35">
      <c r="A151" s="21" t="s">
        <v>1668</v>
      </c>
      <c r="B151" s="22" t="s">
        <v>1459</v>
      </c>
      <c r="C151" s="22" t="s">
        <v>1460</v>
      </c>
      <c r="D151" s="22" t="s">
        <v>1479</v>
      </c>
      <c r="E151" s="22" t="s">
        <v>27</v>
      </c>
      <c r="F151" s="22" t="s">
        <v>1462</v>
      </c>
      <c r="G151" s="22">
        <v>69.58</v>
      </c>
      <c r="H151" s="22">
        <v>9</v>
      </c>
      <c r="I151" s="22">
        <v>31.311</v>
      </c>
      <c r="J151" s="23">
        <v>657.53099999999995</v>
      </c>
      <c r="K151" s="24" t="s">
        <v>1645</v>
      </c>
      <c r="L151" s="25">
        <v>0.81805555555555554</v>
      </c>
      <c r="M151" s="22" t="s">
        <v>1477</v>
      </c>
      <c r="N151" s="26">
        <v>626.22</v>
      </c>
      <c r="O151" s="27">
        <f t="shared" si="2"/>
        <v>4.761904762E-2</v>
      </c>
      <c r="P151" s="23">
        <v>31.311</v>
      </c>
      <c r="Q151" s="28">
        <v>7.8</v>
      </c>
    </row>
    <row r="152" spans="1:17" x14ac:dyDescent="0.35">
      <c r="A152" s="21" t="s">
        <v>1669</v>
      </c>
      <c r="B152" s="22" t="s">
        <v>1475</v>
      </c>
      <c r="C152" s="22" t="s">
        <v>1476</v>
      </c>
      <c r="D152" s="22" t="s">
        <v>1461</v>
      </c>
      <c r="E152" s="22" t="s">
        <v>27</v>
      </c>
      <c r="F152" s="22" t="s">
        <v>1482</v>
      </c>
      <c r="G152" s="22">
        <v>97.5</v>
      </c>
      <c r="H152" s="22">
        <v>10</v>
      </c>
      <c r="I152" s="22">
        <v>48.75</v>
      </c>
      <c r="J152" s="23">
        <v>1023.75</v>
      </c>
      <c r="K152" s="24">
        <v>43800</v>
      </c>
      <c r="L152" s="25">
        <v>0.6791666666666667</v>
      </c>
      <c r="M152" s="22" t="s">
        <v>1469</v>
      </c>
      <c r="N152" s="26">
        <v>975</v>
      </c>
      <c r="O152" s="27">
        <f t="shared" si="2"/>
        <v>4.761904762E-2</v>
      </c>
      <c r="P152" s="23">
        <v>48.75</v>
      </c>
      <c r="Q152" s="28">
        <v>8</v>
      </c>
    </row>
    <row r="153" spans="1:17" x14ac:dyDescent="0.35">
      <c r="A153" s="21" t="s">
        <v>1670</v>
      </c>
      <c r="B153" s="22" t="s">
        <v>1475</v>
      </c>
      <c r="C153" s="22" t="s">
        <v>1476</v>
      </c>
      <c r="D153" s="22" t="s">
        <v>1461</v>
      </c>
      <c r="E153" s="22" t="s">
        <v>19</v>
      </c>
      <c r="F153" s="22" t="s">
        <v>1468</v>
      </c>
      <c r="G153" s="22">
        <v>60.41</v>
      </c>
      <c r="H153" s="22">
        <v>8</v>
      </c>
      <c r="I153" s="22">
        <v>24.164000000000001</v>
      </c>
      <c r="J153" s="23">
        <v>507.44400000000002</v>
      </c>
      <c r="K153" s="24">
        <v>43648</v>
      </c>
      <c r="L153" s="25">
        <v>0.51597222222222228</v>
      </c>
      <c r="M153" s="22" t="s">
        <v>1469</v>
      </c>
      <c r="N153" s="26">
        <v>483.28</v>
      </c>
      <c r="O153" s="27">
        <f t="shared" si="2"/>
        <v>4.761904762E-2</v>
      </c>
      <c r="P153" s="23">
        <v>24.164000000000001</v>
      </c>
      <c r="Q153" s="28">
        <v>9.6</v>
      </c>
    </row>
    <row r="154" spans="1:17" x14ac:dyDescent="0.35">
      <c r="A154" s="21" t="s">
        <v>1671</v>
      </c>
      <c r="B154" s="22" t="s">
        <v>1466</v>
      </c>
      <c r="C154" s="22" t="s">
        <v>1467</v>
      </c>
      <c r="D154" s="22" t="s">
        <v>1461</v>
      </c>
      <c r="E154" s="22" t="s">
        <v>27</v>
      </c>
      <c r="F154" s="22" t="s">
        <v>1486</v>
      </c>
      <c r="G154" s="22">
        <v>32.32</v>
      </c>
      <c r="H154" s="22">
        <v>3</v>
      </c>
      <c r="I154" s="22">
        <v>4.8479999999999999</v>
      </c>
      <c r="J154" s="23">
        <v>101.80800000000001</v>
      </c>
      <c r="K154" s="24" t="s">
        <v>1531</v>
      </c>
      <c r="L154" s="25">
        <v>0.7993055555555556</v>
      </c>
      <c r="M154" s="22" t="s">
        <v>1477</v>
      </c>
      <c r="N154" s="26">
        <v>96.96</v>
      </c>
      <c r="O154" s="27">
        <f t="shared" si="2"/>
        <v>4.761904762E-2</v>
      </c>
      <c r="P154" s="23">
        <v>4.8479999999999999</v>
      </c>
      <c r="Q154" s="28">
        <v>4.3</v>
      </c>
    </row>
    <row r="155" spans="1:17" x14ac:dyDescent="0.35">
      <c r="A155" s="21" t="s">
        <v>1672</v>
      </c>
      <c r="B155" s="22" t="s">
        <v>1466</v>
      </c>
      <c r="C155" s="22" t="s">
        <v>1467</v>
      </c>
      <c r="D155" s="22" t="s">
        <v>1479</v>
      </c>
      <c r="E155" s="22" t="s">
        <v>19</v>
      </c>
      <c r="F155" s="22" t="s">
        <v>1468</v>
      </c>
      <c r="G155" s="22">
        <v>19.77</v>
      </c>
      <c r="H155" s="22">
        <v>10</v>
      </c>
      <c r="I155" s="22">
        <v>9.8849999999999998</v>
      </c>
      <c r="J155" s="23">
        <v>207.58500000000001</v>
      </c>
      <c r="K155" s="24" t="s">
        <v>1599</v>
      </c>
      <c r="L155" s="25">
        <v>0.7895833333333333</v>
      </c>
      <c r="M155" s="22" t="s">
        <v>1477</v>
      </c>
      <c r="N155" s="26">
        <v>197.7</v>
      </c>
      <c r="O155" s="27">
        <f t="shared" si="2"/>
        <v>4.761904762E-2</v>
      </c>
      <c r="P155" s="23">
        <v>9.8849999999999998</v>
      </c>
      <c r="Q155" s="28">
        <v>5</v>
      </c>
    </row>
    <row r="156" spans="1:17" x14ac:dyDescent="0.35">
      <c r="A156" s="21" t="s">
        <v>1673</v>
      </c>
      <c r="B156" s="22" t="s">
        <v>1466</v>
      </c>
      <c r="C156" s="22" t="s">
        <v>1467</v>
      </c>
      <c r="D156" s="22" t="s">
        <v>1479</v>
      </c>
      <c r="E156" s="22" t="s">
        <v>27</v>
      </c>
      <c r="F156" s="22" t="s">
        <v>1473</v>
      </c>
      <c r="G156" s="22">
        <v>80.47</v>
      </c>
      <c r="H156" s="22">
        <v>9</v>
      </c>
      <c r="I156" s="22">
        <v>36.211500000000001</v>
      </c>
      <c r="J156" s="23">
        <v>760.44150000000002</v>
      </c>
      <c r="K156" s="24">
        <v>43617</v>
      </c>
      <c r="L156" s="25">
        <v>0.47083333333333333</v>
      </c>
      <c r="M156" s="22" t="s">
        <v>1464</v>
      </c>
      <c r="N156" s="26">
        <v>724.23</v>
      </c>
      <c r="O156" s="27">
        <f t="shared" si="2"/>
        <v>4.761904762E-2</v>
      </c>
      <c r="P156" s="23">
        <v>36.211500000000001</v>
      </c>
      <c r="Q156" s="28">
        <v>9.1999999999999993</v>
      </c>
    </row>
    <row r="157" spans="1:17" x14ac:dyDescent="0.35">
      <c r="A157" s="21" t="s">
        <v>1674</v>
      </c>
      <c r="B157" s="22" t="s">
        <v>1466</v>
      </c>
      <c r="C157" s="22" t="s">
        <v>1467</v>
      </c>
      <c r="D157" s="22" t="s">
        <v>1479</v>
      </c>
      <c r="E157" s="22" t="s">
        <v>19</v>
      </c>
      <c r="F157" s="22" t="s">
        <v>1482</v>
      </c>
      <c r="G157" s="22">
        <v>88.39</v>
      </c>
      <c r="H157" s="22">
        <v>9</v>
      </c>
      <c r="I157" s="22">
        <v>39.775500000000001</v>
      </c>
      <c r="J157" s="23">
        <v>835.28549999999996</v>
      </c>
      <c r="K157" s="24">
        <v>43499</v>
      </c>
      <c r="L157" s="25">
        <v>0.52777777777777779</v>
      </c>
      <c r="M157" s="22" t="s">
        <v>1464</v>
      </c>
      <c r="N157" s="26">
        <v>795.51</v>
      </c>
      <c r="O157" s="27">
        <f t="shared" si="2"/>
        <v>4.761904762E-2</v>
      </c>
      <c r="P157" s="23">
        <v>39.775500000000001</v>
      </c>
      <c r="Q157" s="28">
        <v>6.3</v>
      </c>
    </row>
    <row r="158" spans="1:17" x14ac:dyDescent="0.35">
      <c r="A158" s="21" t="s">
        <v>1675</v>
      </c>
      <c r="B158" s="22" t="s">
        <v>1466</v>
      </c>
      <c r="C158" s="22" t="s">
        <v>1467</v>
      </c>
      <c r="D158" s="22" t="s">
        <v>1461</v>
      </c>
      <c r="E158" s="22" t="s">
        <v>27</v>
      </c>
      <c r="F158" s="22" t="s">
        <v>1473</v>
      </c>
      <c r="G158" s="22">
        <v>71.77</v>
      </c>
      <c r="H158" s="22">
        <v>7</v>
      </c>
      <c r="I158" s="22">
        <v>25.119499999999999</v>
      </c>
      <c r="J158" s="23">
        <v>527.5095</v>
      </c>
      <c r="K158" s="24" t="s">
        <v>1490</v>
      </c>
      <c r="L158" s="25">
        <v>0.58750000000000002</v>
      </c>
      <c r="M158" s="22" t="s">
        <v>1464</v>
      </c>
      <c r="N158" s="26">
        <v>502.39</v>
      </c>
      <c r="O158" s="27">
        <f t="shared" si="2"/>
        <v>4.761904762E-2</v>
      </c>
      <c r="P158" s="23">
        <v>25.119499999999999</v>
      </c>
      <c r="Q158" s="28">
        <v>8.9</v>
      </c>
    </row>
    <row r="159" spans="1:17" x14ac:dyDescent="0.35">
      <c r="A159" s="21" t="s">
        <v>1676</v>
      </c>
      <c r="B159" s="22" t="s">
        <v>1466</v>
      </c>
      <c r="C159" s="22" t="s">
        <v>1467</v>
      </c>
      <c r="D159" s="22" t="s">
        <v>1461</v>
      </c>
      <c r="E159" s="22" t="s">
        <v>19</v>
      </c>
      <c r="F159" s="22" t="s">
        <v>1462</v>
      </c>
      <c r="G159" s="22">
        <v>43</v>
      </c>
      <c r="H159" s="22">
        <v>4</v>
      </c>
      <c r="I159" s="22">
        <v>8.6</v>
      </c>
      <c r="J159" s="23">
        <v>180.6</v>
      </c>
      <c r="K159" s="24" t="s">
        <v>1677</v>
      </c>
      <c r="L159" s="25">
        <v>0.8666666666666667</v>
      </c>
      <c r="M159" s="22" t="s">
        <v>1469</v>
      </c>
      <c r="N159" s="26">
        <v>172</v>
      </c>
      <c r="O159" s="27">
        <f t="shared" si="2"/>
        <v>4.761904762E-2</v>
      </c>
      <c r="P159" s="23">
        <v>8.6</v>
      </c>
      <c r="Q159" s="28">
        <v>7.6</v>
      </c>
    </row>
    <row r="160" spans="1:17" x14ac:dyDescent="0.35">
      <c r="A160" s="21" t="s">
        <v>1678</v>
      </c>
      <c r="B160" s="22" t="s">
        <v>1475</v>
      </c>
      <c r="C160" s="22" t="s">
        <v>1476</v>
      </c>
      <c r="D160" s="22" t="s">
        <v>1479</v>
      </c>
      <c r="E160" s="22" t="s">
        <v>27</v>
      </c>
      <c r="F160" s="22" t="s">
        <v>1486</v>
      </c>
      <c r="G160" s="22">
        <v>68.98</v>
      </c>
      <c r="H160" s="22">
        <v>1</v>
      </c>
      <c r="I160" s="22">
        <v>3.4489999999999998</v>
      </c>
      <c r="J160" s="23">
        <v>72.429000000000002</v>
      </c>
      <c r="K160" s="24" t="s">
        <v>1679</v>
      </c>
      <c r="L160" s="25">
        <v>0.84236111111111112</v>
      </c>
      <c r="M160" s="22" t="s">
        <v>1464</v>
      </c>
      <c r="N160" s="26">
        <v>68.98</v>
      </c>
      <c r="O160" s="27">
        <f t="shared" si="2"/>
        <v>4.761904762E-2</v>
      </c>
      <c r="P160" s="23">
        <v>3.4489999999999998</v>
      </c>
      <c r="Q160" s="28">
        <v>4.8</v>
      </c>
    </row>
    <row r="161" spans="1:17" x14ac:dyDescent="0.35">
      <c r="A161" s="21" t="s">
        <v>1680</v>
      </c>
      <c r="B161" s="22" t="s">
        <v>1475</v>
      </c>
      <c r="C161" s="22" t="s">
        <v>1476</v>
      </c>
      <c r="D161" s="22" t="s">
        <v>1461</v>
      </c>
      <c r="E161" s="22" t="s">
        <v>27</v>
      </c>
      <c r="F161" s="22" t="s">
        <v>1468</v>
      </c>
      <c r="G161" s="22">
        <v>15.62</v>
      </c>
      <c r="H161" s="22">
        <v>8</v>
      </c>
      <c r="I161" s="22">
        <v>6.2480000000000002</v>
      </c>
      <c r="J161" s="23">
        <v>131.208</v>
      </c>
      <c r="K161" s="24" t="s">
        <v>1483</v>
      </c>
      <c r="L161" s="25">
        <v>0.85902777777777772</v>
      </c>
      <c r="M161" s="22" t="s">
        <v>1469</v>
      </c>
      <c r="N161" s="26">
        <v>124.96</v>
      </c>
      <c r="O161" s="27">
        <f t="shared" si="2"/>
        <v>4.761904762E-2</v>
      </c>
      <c r="P161" s="23">
        <v>6.2480000000000002</v>
      </c>
      <c r="Q161" s="28">
        <v>9.1</v>
      </c>
    </row>
    <row r="162" spans="1:17" x14ac:dyDescent="0.35">
      <c r="A162" s="21" t="s">
        <v>1681</v>
      </c>
      <c r="B162" s="22" t="s">
        <v>1459</v>
      </c>
      <c r="C162" s="22" t="s">
        <v>1460</v>
      </c>
      <c r="D162" s="22" t="s">
        <v>1461</v>
      </c>
      <c r="E162" s="22" t="s">
        <v>27</v>
      </c>
      <c r="F162" s="22" t="s">
        <v>1501</v>
      </c>
      <c r="G162" s="22">
        <v>25.7</v>
      </c>
      <c r="H162" s="22">
        <v>3</v>
      </c>
      <c r="I162" s="22">
        <v>3.855</v>
      </c>
      <c r="J162" s="23">
        <v>80.954999999999998</v>
      </c>
      <c r="K162" s="24" t="s">
        <v>1499</v>
      </c>
      <c r="L162" s="25">
        <v>0.74930555555555556</v>
      </c>
      <c r="M162" s="22" t="s">
        <v>1469</v>
      </c>
      <c r="N162" s="26">
        <v>77.099999999999994</v>
      </c>
      <c r="O162" s="27">
        <f t="shared" si="2"/>
        <v>4.761904762E-2</v>
      </c>
      <c r="P162" s="23">
        <v>3.855</v>
      </c>
      <c r="Q162" s="28">
        <v>6.1</v>
      </c>
    </row>
    <row r="163" spans="1:17" x14ac:dyDescent="0.35">
      <c r="A163" s="21" t="s">
        <v>1682</v>
      </c>
      <c r="B163" s="22" t="s">
        <v>1459</v>
      </c>
      <c r="C163" s="22" t="s">
        <v>1460</v>
      </c>
      <c r="D163" s="22" t="s">
        <v>1479</v>
      </c>
      <c r="E163" s="22" t="s">
        <v>27</v>
      </c>
      <c r="F163" s="22" t="s">
        <v>1486</v>
      </c>
      <c r="G163" s="22">
        <v>80.62</v>
      </c>
      <c r="H163" s="22">
        <v>6</v>
      </c>
      <c r="I163" s="22">
        <v>24.186</v>
      </c>
      <c r="J163" s="23">
        <v>507.90600000000001</v>
      </c>
      <c r="K163" s="24" t="s">
        <v>1683</v>
      </c>
      <c r="L163" s="25">
        <v>0.84583333333333333</v>
      </c>
      <c r="M163" s="22" t="s">
        <v>1464</v>
      </c>
      <c r="N163" s="26">
        <v>483.72</v>
      </c>
      <c r="O163" s="27">
        <f t="shared" si="2"/>
        <v>4.761904762E-2</v>
      </c>
      <c r="P163" s="23">
        <v>24.186</v>
      </c>
      <c r="Q163" s="28">
        <v>9.1</v>
      </c>
    </row>
    <row r="164" spans="1:17" x14ac:dyDescent="0.35">
      <c r="A164" s="21" t="s">
        <v>1684</v>
      </c>
      <c r="B164" s="22" t="s">
        <v>1475</v>
      </c>
      <c r="C164" s="22" t="s">
        <v>1476</v>
      </c>
      <c r="D164" s="22" t="s">
        <v>1479</v>
      </c>
      <c r="E164" s="22" t="s">
        <v>19</v>
      </c>
      <c r="F164" s="22" t="s">
        <v>1482</v>
      </c>
      <c r="G164" s="22">
        <v>75.53</v>
      </c>
      <c r="H164" s="22">
        <v>4</v>
      </c>
      <c r="I164" s="22">
        <v>15.106</v>
      </c>
      <c r="J164" s="23">
        <v>317.226</v>
      </c>
      <c r="K164" s="24" t="s">
        <v>1596</v>
      </c>
      <c r="L164" s="25">
        <v>0.66111111111111109</v>
      </c>
      <c r="M164" s="22" t="s">
        <v>1469</v>
      </c>
      <c r="N164" s="26">
        <v>302.12</v>
      </c>
      <c r="O164" s="27">
        <f t="shared" si="2"/>
        <v>4.761904762E-2</v>
      </c>
      <c r="P164" s="23">
        <v>15.106</v>
      </c>
      <c r="Q164" s="28">
        <v>8.3000000000000007</v>
      </c>
    </row>
    <row r="165" spans="1:17" x14ac:dyDescent="0.35">
      <c r="A165" s="21" t="s">
        <v>1685</v>
      </c>
      <c r="B165" s="22" t="s">
        <v>1475</v>
      </c>
      <c r="C165" s="22" t="s">
        <v>1476</v>
      </c>
      <c r="D165" s="22" t="s">
        <v>1461</v>
      </c>
      <c r="E165" s="22" t="s">
        <v>19</v>
      </c>
      <c r="F165" s="22" t="s">
        <v>1462</v>
      </c>
      <c r="G165" s="22">
        <v>77.63</v>
      </c>
      <c r="H165" s="22">
        <v>9</v>
      </c>
      <c r="I165" s="22">
        <v>34.933500000000002</v>
      </c>
      <c r="J165" s="23">
        <v>733.60350000000005</v>
      </c>
      <c r="K165" s="24" t="s">
        <v>1645</v>
      </c>
      <c r="L165" s="25">
        <v>0.63472222222222219</v>
      </c>
      <c r="M165" s="22" t="s">
        <v>1469</v>
      </c>
      <c r="N165" s="26">
        <v>698.67</v>
      </c>
      <c r="O165" s="27">
        <f t="shared" si="2"/>
        <v>4.761904762E-2</v>
      </c>
      <c r="P165" s="23">
        <v>34.933500000000002</v>
      </c>
      <c r="Q165" s="28">
        <v>7.2</v>
      </c>
    </row>
    <row r="166" spans="1:17" x14ac:dyDescent="0.35">
      <c r="A166" s="21" t="s">
        <v>1686</v>
      </c>
      <c r="B166" s="22" t="s">
        <v>1475</v>
      </c>
      <c r="C166" s="22" t="s">
        <v>1476</v>
      </c>
      <c r="D166" s="22" t="s">
        <v>1461</v>
      </c>
      <c r="E166" s="22" t="s">
        <v>19</v>
      </c>
      <c r="F166" s="22" t="s">
        <v>1473</v>
      </c>
      <c r="G166" s="22">
        <v>13.85</v>
      </c>
      <c r="H166" s="22">
        <v>9</v>
      </c>
      <c r="I166" s="22">
        <v>6.2324999999999999</v>
      </c>
      <c r="J166" s="23">
        <v>130.88249999999999</v>
      </c>
      <c r="K166" s="24">
        <v>43557</v>
      </c>
      <c r="L166" s="25">
        <v>0.53472222222222221</v>
      </c>
      <c r="M166" s="22" t="s">
        <v>1469</v>
      </c>
      <c r="N166" s="26">
        <v>124.65</v>
      </c>
      <c r="O166" s="27">
        <f t="shared" si="2"/>
        <v>4.761904762E-2</v>
      </c>
      <c r="P166" s="23">
        <v>6.2324999999999999</v>
      </c>
      <c r="Q166" s="28">
        <v>6</v>
      </c>
    </row>
    <row r="167" spans="1:17" x14ac:dyDescent="0.35">
      <c r="A167" s="21" t="s">
        <v>1687</v>
      </c>
      <c r="B167" s="22" t="s">
        <v>1475</v>
      </c>
      <c r="C167" s="22" t="s">
        <v>1476</v>
      </c>
      <c r="D167" s="22" t="s">
        <v>1479</v>
      </c>
      <c r="E167" s="22" t="s">
        <v>27</v>
      </c>
      <c r="F167" s="22" t="s">
        <v>1468</v>
      </c>
      <c r="G167" s="22">
        <v>98.7</v>
      </c>
      <c r="H167" s="22">
        <v>8</v>
      </c>
      <c r="I167" s="22">
        <v>39.479999999999997</v>
      </c>
      <c r="J167" s="23">
        <v>829.08</v>
      </c>
      <c r="K167" s="24" t="s">
        <v>1677</v>
      </c>
      <c r="L167" s="25">
        <v>0.44166666666666665</v>
      </c>
      <c r="M167" s="22" t="s">
        <v>1469</v>
      </c>
      <c r="N167" s="26">
        <v>789.6</v>
      </c>
      <c r="O167" s="27">
        <f t="shared" si="2"/>
        <v>4.761904762E-2</v>
      </c>
      <c r="P167" s="23">
        <v>39.479999999999997</v>
      </c>
      <c r="Q167" s="28">
        <v>8.5</v>
      </c>
    </row>
    <row r="168" spans="1:17" x14ac:dyDescent="0.35">
      <c r="A168" s="21" t="s">
        <v>1688</v>
      </c>
      <c r="B168" s="22" t="s">
        <v>1459</v>
      </c>
      <c r="C168" s="22" t="s">
        <v>1460</v>
      </c>
      <c r="D168" s="22" t="s">
        <v>1461</v>
      </c>
      <c r="E168" s="22" t="s">
        <v>19</v>
      </c>
      <c r="F168" s="22" t="s">
        <v>1473</v>
      </c>
      <c r="G168" s="22">
        <v>35.68</v>
      </c>
      <c r="H168" s="22">
        <v>5</v>
      </c>
      <c r="I168" s="22">
        <v>8.92</v>
      </c>
      <c r="J168" s="23">
        <v>187.32</v>
      </c>
      <c r="K168" s="24">
        <v>43618</v>
      </c>
      <c r="L168" s="25">
        <v>0.7729166666666667</v>
      </c>
      <c r="M168" s="22" t="s">
        <v>1477</v>
      </c>
      <c r="N168" s="26">
        <v>178.4</v>
      </c>
      <c r="O168" s="27">
        <f t="shared" si="2"/>
        <v>4.761904762E-2</v>
      </c>
      <c r="P168" s="23">
        <v>8.92</v>
      </c>
      <c r="Q168" s="28">
        <v>6.6</v>
      </c>
    </row>
    <row r="169" spans="1:17" x14ac:dyDescent="0.35">
      <c r="A169" s="21" t="s">
        <v>1689</v>
      </c>
      <c r="B169" s="22" t="s">
        <v>1459</v>
      </c>
      <c r="C169" s="22" t="s">
        <v>1460</v>
      </c>
      <c r="D169" s="22" t="s">
        <v>1479</v>
      </c>
      <c r="E169" s="22" t="s">
        <v>19</v>
      </c>
      <c r="F169" s="22" t="s">
        <v>1468</v>
      </c>
      <c r="G169" s="22">
        <v>71.459999999999994</v>
      </c>
      <c r="H169" s="22">
        <v>7</v>
      </c>
      <c r="I169" s="22">
        <v>25.010999999999999</v>
      </c>
      <c r="J169" s="23">
        <v>525.23099999999999</v>
      </c>
      <c r="K169" s="24" t="s">
        <v>1560</v>
      </c>
      <c r="L169" s="25">
        <v>0.67083333333333328</v>
      </c>
      <c r="M169" s="22" t="s">
        <v>1469</v>
      </c>
      <c r="N169" s="26">
        <v>500.22</v>
      </c>
      <c r="O169" s="27">
        <f t="shared" si="2"/>
        <v>4.761904762E-2</v>
      </c>
      <c r="P169" s="23">
        <v>25.010999999999999</v>
      </c>
      <c r="Q169" s="28">
        <v>4.5</v>
      </c>
    </row>
    <row r="170" spans="1:17" x14ac:dyDescent="0.35">
      <c r="A170" s="21" t="s">
        <v>1690</v>
      </c>
      <c r="B170" s="22" t="s">
        <v>1459</v>
      </c>
      <c r="C170" s="22" t="s">
        <v>1460</v>
      </c>
      <c r="D170" s="22" t="s">
        <v>1479</v>
      </c>
      <c r="E170" s="22" t="s">
        <v>27</v>
      </c>
      <c r="F170" s="22" t="s">
        <v>1462</v>
      </c>
      <c r="G170" s="22">
        <v>11.94</v>
      </c>
      <c r="H170" s="22">
        <v>3</v>
      </c>
      <c r="I170" s="22">
        <v>1.7909999999999999</v>
      </c>
      <c r="J170" s="23">
        <v>37.610999999999997</v>
      </c>
      <c r="K170" s="24" t="s">
        <v>1528</v>
      </c>
      <c r="L170" s="25">
        <v>0.53263888888888888</v>
      </c>
      <c r="M170" s="22" t="s">
        <v>1477</v>
      </c>
      <c r="N170" s="26">
        <v>35.82</v>
      </c>
      <c r="O170" s="27">
        <f t="shared" si="2"/>
        <v>4.761904762E-2</v>
      </c>
      <c r="P170" s="23">
        <v>1.7909999999999999</v>
      </c>
      <c r="Q170" s="28">
        <v>8.1</v>
      </c>
    </row>
    <row r="171" spans="1:17" x14ac:dyDescent="0.35">
      <c r="A171" s="21" t="s">
        <v>1691</v>
      </c>
      <c r="B171" s="22" t="s">
        <v>1459</v>
      </c>
      <c r="C171" s="22" t="s">
        <v>1460</v>
      </c>
      <c r="D171" s="22" t="s">
        <v>1461</v>
      </c>
      <c r="E171" s="22" t="s">
        <v>27</v>
      </c>
      <c r="F171" s="22" t="s">
        <v>1468</v>
      </c>
      <c r="G171" s="22">
        <v>45.38</v>
      </c>
      <c r="H171" s="22">
        <v>3</v>
      </c>
      <c r="I171" s="22">
        <v>6.8070000000000004</v>
      </c>
      <c r="J171" s="23">
        <v>142.947</v>
      </c>
      <c r="K171" s="24" t="s">
        <v>1546</v>
      </c>
      <c r="L171" s="25">
        <v>0.56527777777777777</v>
      </c>
      <c r="M171" s="22" t="s">
        <v>1477</v>
      </c>
      <c r="N171" s="26">
        <v>136.13999999999999</v>
      </c>
      <c r="O171" s="27">
        <f t="shared" si="2"/>
        <v>4.761904762E-2</v>
      </c>
      <c r="P171" s="23">
        <v>6.8070000000000004</v>
      </c>
      <c r="Q171" s="28">
        <v>7.2</v>
      </c>
    </row>
    <row r="172" spans="1:17" x14ac:dyDescent="0.35">
      <c r="A172" s="21" t="s">
        <v>1692</v>
      </c>
      <c r="B172" s="22" t="s">
        <v>1466</v>
      </c>
      <c r="C172" s="22" t="s">
        <v>1467</v>
      </c>
      <c r="D172" s="22" t="s">
        <v>1479</v>
      </c>
      <c r="E172" s="22" t="s">
        <v>19</v>
      </c>
      <c r="F172" s="22" t="s">
        <v>1468</v>
      </c>
      <c r="G172" s="22">
        <v>17.48</v>
      </c>
      <c r="H172" s="22">
        <v>6</v>
      </c>
      <c r="I172" s="22">
        <v>5.2439999999999998</v>
      </c>
      <c r="J172" s="23">
        <v>110.124</v>
      </c>
      <c r="K172" s="24" t="s">
        <v>1608</v>
      </c>
      <c r="L172" s="25">
        <v>0.62777777777777777</v>
      </c>
      <c r="M172" s="22" t="s">
        <v>1477</v>
      </c>
      <c r="N172" s="26">
        <v>104.88</v>
      </c>
      <c r="O172" s="27">
        <f t="shared" si="2"/>
        <v>4.761904762E-2</v>
      </c>
      <c r="P172" s="23">
        <v>5.2439999999999998</v>
      </c>
      <c r="Q172" s="28">
        <v>6.1</v>
      </c>
    </row>
    <row r="173" spans="1:17" x14ac:dyDescent="0.35">
      <c r="A173" s="21" t="s">
        <v>1693</v>
      </c>
      <c r="B173" s="22" t="s">
        <v>1466</v>
      </c>
      <c r="C173" s="22" t="s">
        <v>1467</v>
      </c>
      <c r="D173" s="22" t="s">
        <v>1461</v>
      </c>
      <c r="E173" s="22" t="s">
        <v>19</v>
      </c>
      <c r="F173" s="22" t="s">
        <v>1468</v>
      </c>
      <c r="G173" s="22">
        <v>25.56</v>
      </c>
      <c r="H173" s="22">
        <v>7</v>
      </c>
      <c r="I173" s="22">
        <v>8.9459999999999997</v>
      </c>
      <c r="J173" s="23">
        <v>187.86600000000001</v>
      </c>
      <c r="K173" s="24">
        <v>43498</v>
      </c>
      <c r="L173" s="25">
        <v>0.86250000000000004</v>
      </c>
      <c r="M173" s="22" t="s">
        <v>1464</v>
      </c>
      <c r="N173" s="26">
        <v>178.92</v>
      </c>
      <c r="O173" s="27">
        <f t="shared" si="2"/>
        <v>4.761904762E-2</v>
      </c>
      <c r="P173" s="23">
        <v>8.9459999999999997</v>
      </c>
      <c r="Q173" s="28">
        <v>7.1</v>
      </c>
    </row>
    <row r="174" spans="1:17" x14ac:dyDescent="0.35">
      <c r="A174" s="21" t="s">
        <v>1694</v>
      </c>
      <c r="B174" s="22" t="s">
        <v>1475</v>
      </c>
      <c r="C174" s="22" t="s">
        <v>1476</v>
      </c>
      <c r="D174" s="22" t="s">
        <v>1479</v>
      </c>
      <c r="E174" s="22" t="s">
        <v>19</v>
      </c>
      <c r="F174" s="22" t="s">
        <v>1501</v>
      </c>
      <c r="G174" s="22">
        <v>90.63</v>
      </c>
      <c r="H174" s="22">
        <v>9</v>
      </c>
      <c r="I174" s="22">
        <v>40.783499999999997</v>
      </c>
      <c r="J174" s="23">
        <v>856.45349999999996</v>
      </c>
      <c r="K174" s="24" t="s">
        <v>1608</v>
      </c>
      <c r="L174" s="25">
        <v>0.64444444444444449</v>
      </c>
      <c r="M174" s="22" t="s">
        <v>1464</v>
      </c>
      <c r="N174" s="26">
        <v>815.67</v>
      </c>
      <c r="O174" s="27">
        <f t="shared" si="2"/>
        <v>4.761904762E-2</v>
      </c>
      <c r="P174" s="23">
        <v>40.783499999999997</v>
      </c>
      <c r="Q174" s="28">
        <v>5.0999999999999996</v>
      </c>
    </row>
    <row r="175" spans="1:17" x14ac:dyDescent="0.35">
      <c r="A175" s="21" t="s">
        <v>1695</v>
      </c>
      <c r="B175" s="22" t="s">
        <v>1466</v>
      </c>
      <c r="C175" s="22" t="s">
        <v>1467</v>
      </c>
      <c r="D175" s="22" t="s">
        <v>1461</v>
      </c>
      <c r="E175" s="22" t="s">
        <v>27</v>
      </c>
      <c r="F175" s="22" t="s">
        <v>1482</v>
      </c>
      <c r="G175" s="22">
        <v>44.12</v>
      </c>
      <c r="H175" s="22">
        <v>3</v>
      </c>
      <c r="I175" s="22">
        <v>6.6180000000000003</v>
      </c>
      <c r="J175" s="23">
        <v>138.97800000000001</v>
      </c>
      <c r="K175" s="24" t="s">
        <v>1591</v>
      </c>
      <c r="L175" s="25">
        <v>0.57291666666666663</v>
      </c>
      <c r="M175" s="22" t="s">
        <v>1477</v>
      </c>
      <c r="N175" s="26">
        <v>132.36000000000001</v>
      </c>
      <c r="O175" s="27">
        <f t="shared" si="2"/>
        <v>4.761904762E-2</v>
      </c>
      <c r="P175" s="23">
        <v>6.6180000000000003</v>
      </c>
      <c r="Q175" s="28">
        <v>7.9</v>
      </c>
    </row>
    <row r="176" spans="1:17" x14ac:dyDescent="0.35">
      <c r="A176" s="21" t="s">
        <v>1696</v>
      </c>
      <c r="B176" s="22" t="s">
        <v>1475</v>
      </c>
      <c r="C176" s="22" t="s">
        <v>1476</v>
      </c>
      <c r="D176" s="22" t="s">
        <v>1479</v>
      </c>
      <c r="E176" s="22" t="s">
        <v>19</v>
      </c>
      <c r="F176" s="22" t="s">
        <v>1486</v>
      </c>
      <c r="G176" s="22">
        <v>36.770000000000003</v>
      </c>
      <c r="H176" s="22">
        <v>7</v>
      </c>
      <c r="I176" s="22">
        <v>12.8695</v>
      </c>
      <c r="J176" s="23">
        <v>270.2595</v>
      </c>
      <c r="K176" s="24">
        <v>43770</v>
      </c>
      <c r="L176" s="25">
        <v>0.84027777777777779</v>
      </c>
      <c r="M176" s="22" t="s">
        <v>1464</v>
      </c>
      <c r="N176" s="26">
        <v>257.39</v>
      </c>
      <c r="O176" s="27">
        <f t="shared" si="2"/>
        <v>4.761904762E-2</v>
      </c>
      <c r="P176" s="23">
        <v>12.8695</v>
      </c>
      <c r="Q176" s="28">
        <v>7.4</v>
      </c>
    </row>
    <row r="177" spans="1:17" x14ac:dyDescent="0.35">
      <c r="A177" s="21" t="s">
        <v>1697</v>
      </c>
      <c r="B177" s="22" t="s">
        <v>1466</v>
      </c>
      <c r="C177" s="22" t="s">
        <v>1467</v>
      </c>
      <c r="D177" s="22" t="s">
        <v>1479</v>
      </c>
      <c r="E177" s="22" t="s">
        <v>27</v>
      </c>
      <c r="F177" s="22" t="s">
        <v>1486</v>
      </c>
      <c r="G177" s="22">
        <v>23.34</v>
      </c>
      <c r="H177" s="22">
        <v>4</v>
      </c>
      <c r="I177" s="22">
        <v>4.6680000000000001</v>
      </c>
      <c r="J177" s="23">
        <v>98.028000000000006</v>
      </c>
      <c r="K177" s="24">
        <v>43557</v>
      </c>
      <c r="L177" s="25">
        <v>0.78680555555555554</v>
      </c>
      <c r="M177" s="22" t="s">
        <v>1469</v>
      </c>
      <c r="N177" s="26">
        <v>93.36</v>
      </c>
      <c r="O177" s="27">
        <f t="shared" si="2"/>
        <v>4.761904762E-2</v>
      </c>
      <c r="P177" s="23">
        <v>4.6680000000000001</v>
      </c>
      <c r="Q177" s="28">
        <v>7.4</v>
      </c>
    </row>
    <row r="178" spans="1:17" x14ac:dyDescent="0.35">
      <c r="A178" s="21" t="s">
        <v>1698</v>
      </c>
      <c r="B178" s="22" t="s">
        <v>1475</v>
      </c>
      <c r="C178" s="22" t="s">
        <v>1476</v>
      </c>
      <c r="D178" s="22" t="s">
        <v>1479</v>
      </c>
      <c r="E178" s="22" t="s">
        <v>19</v>
      </c>
      <c r="F178" s="22" t="s">
        <v>1473</v>
      </c>
      <c r="G178" s="22">
        <v>28.5</v>
      </c>
      <c r="H178" s="22">
        <v>8</v>
      </c>
      <c r="I178" s="22">
        <v>11.4</v>
      </c>
      <c r="J178" s="23">
        <v>239.4</v>
      </c>
      <c r="K178" s="24">
        <v>43618</v>
      </c>
      <c r="L178" s="25">
        <v>0.6</v>
      </c>
      <c r="M178" s="22" t="s">
        <v>1464</v>
      </c>
      <c r="N178" s="26">
        <v>228</v>
      </c>
      <c r="O178" s="27">
        <f t="shared" si="2"/>
        <v>4.761904762E-2</v>
      </c>
      <c r="P178" s="23">
        <v>11.4</v>
      </c>
      <c r="Q178" s="28">
        <v>6.6</v>
      </c>
    </row>
    <row r="179" spans="1:17" x14ac:dyDescent="0.35">
      <c r="A179" s="21" t="s">
        <v>1699</v>
      </c>
      <c r="B179" s="22" t="s">
        <v>1475</v>
      </c>
      <c r="C179" s="22" t="s">
        <v>1476</v>
      </c>
      <c r="D179" s="22" t="s">
        <v>1479</v>
      </c>
      <c r="E179" s="22" t="s">
        <v>27</v>
      </c>
      <c r="F179" s="22" t="s">
        <v>1482</v>
      </c>
      <c r="G179" s="22">
        <v>55.57</v>
      </c>
      <c r="H179" s="22">
        <v>3</v>
      </c>
      <c r="I179" s="22">
        <v>8.3354999999999997</v>
      </c>
      <c r="J179" s="23">
        <v>175.0455</v>
      </c>
      <c r="K179" s="24">
        <v>43678</v>
      </c>
      <c r="L179" s="25">
        <v>0.48749999999999999</v>
      </c>
      <c r="M179" s="22" t="s">
        <v>1477</v>
      </c>
      <c r="N179" s="26">
        <v>166.71</v>
      </c>
      <c r="O179" s="27">
        <f t="shared" si="2"/>
        <v>4.761904762E-2</v>
      </c>
      <c r="P179" s="23">
        <v>8.3354999999999997</v>
      </c>
      <c r="Q179" s="28">
        <v>5.9</v>
      </c>
    </row>
    <row r="180" spans="1:17" x14ac:dyDescent="0.35">
      <c r="A180" s="21" t="s">
        <v>1700</v>
      </c>
      <c r="B180" s="22" t="s">
        <v>1466</v>
      </c>
      <c r="C180" s="22" t="s">
        <v>1467</v>
      </c>
      <c r="D180" s="22" t="s">
        <v>1461</v>
      </c>
      <c r="E180" s="22" t="s">
        <v>27</v>
      </c>
      <c r="F180" s="22" t="s">
        <v>1501</v>
      </c>
      <c r="G180" s="22">
        <v>69.739999999999995</v>
      </c>
      <c r="H180" s="22">
        <v>10</v>
      </c>
      <c r="I180" s="22">
        <v>34.869999999999997</v>
      </c>
      <c r="J180" s="23">
        <v>732.27</v>
      </c>
      <c r="K180" s="24">
        <v>43588</v>
      </c>
      <c r="L180" s="25">
        <v>0.74236111111111114</v>
      </c>
      <c r="M180" s="22" t="s">
        <v>1477</v>
      </c>
      <c r="N180" s="26">
        <v>697.4</v>
      </c>
      <c r="O180" s="27">
        <f t="shared" si="2"/>
        <v>4.761904762E-2</v>
      </c>
      <c r="P180" s="23">
        <v>34.869999999999997</v>
      </c>
      <c r="Q180" s="28">
        <v>8.9</v>
      </c>
    </row>
    <row r="181" spans="1:17" x14ac:dyDescent="0.35">
      <c r="A181" s="21" t="s">
        <v>1701</v>
      </c>
      <c r="B181" s="22" t="s">
        <v>1475</v>
      </c>
      <c r="C181" s="22" t="s">
        <v>1476</v>
      </c>
      <c r="D181" s="22" t="s">
        <v>1461</v>
      </c>
      <c r="E181" s="22" t="s">
        <v>27</v>
      </c>
      <c r="F181" s="22" t="s">
        <v>1468</v>
      </c>
      <c r="G181" s="22">
        <v>97.26</v>
      </c>
      <c r="H181" s="22">
        <v>4</v>
      </c>
      <c r="I181" s="22">
        <v>19.452000000000002</v>
      </c>
      <c r="J181" s="23">
        <v>408.49200000000002</v>
      </c>
      <c r="K181" s="24" t="s">
        <v>1702</v>
      </c>
      <c r="L181" s="25">
        <v>0.6479166666666667</v>
      </c>
      <c r="M181" s="22" t="s">
        <v>1469</v>
      </c>
      <c r="N181" s="26">
        <v>389.04</v>
      </c>
      <c r="O181" s="27">
        <f t="shared" si="2"/>
        <v>4.761904762E-2</v>
      </c>
      <c r="P181" s="23">
        <v>19.452000000000002</v>
      </c>
      <c r="Q181" s="28">
        <v>6.8</v>
      </c>
    </row>
    <row r="182" spans="1:17" x14ac:dyDescent="0.35">
      <c r="A182" s="21" t="s">
        <v>1703</v>
      </c>
      <c r="B182" s="22" t="s">
        <v>1466</v>
      </c>
      <c r="C182" s="22" t="s">
        <v>1467</v>
      </c>
      <c r="D182" s="22" t="s">
        <v>1479</v>
      </c>
      <c r="E182" s="22" t="s">
        <v>19</v>
      </c>
      <c r="F182" s="22" t="s">
        <v>1482</v>
      </c>
      <c r="G182" s="22">
        <v>52.18</v>
      </c>
      <c r="H182" s="22">
        <v>7</v>
      </c>
      <c r="I182" s="22">
        <v>18.263000000000002</v>
      </c>
      <c r="J182" s="23">
        <v>383.52300000000002</v>
      </c>
      <c r="K182" s="24">
        <v>43711</v>
      </c>
      <c r="L182" s="25">
        <v>0.45416666666666666</v>
      </c>
      <c r="M182" s="22" t="s">
        <v>1464</v>
      </c>
      <c r="N182" s="26">
        <v>365.26</v>
      </c>
      <c r="O182" s="27">
        <f t="shared" si="2"/>
        <v>4.761904762E-2</v>
      </c>
      <c r="P182" s="23">
        <v>18.263000000000002</v>
      </c>
      <c r="Q182" s="28">
        <v>9.3000000000000007</v>
      </c>
    </row>
    <row r="183" spans="1:17" x14ac:dyDescent="0.35">
      <c r="A183" s="21" t="s">
        <v>1704</v>
      </c>
      <c r="B183" s="22" t="s">
        <v>1459</v>
      </c>
      <c r="C183" s="22" t="s">
        <v>1460</v>
      </c>
      <c r="D183" s="22" t="s">
        <v>1479</v>
      </c>
      <c r="E183" s="22" t="s">
        <v>19</v>
      </c>
      <c r="F183" s="22" t="s">
        <v>1468</v>
      </c>
      <c r="G183" s="22">
        <v>22.32</v>
      </c>
      <c r="H183" s="22">
        <v>4</v>
      </c>
      <c r="I183" s="22">
        <v>4.4640000000000004</v>
      </c>
      <c r="J183" s="23">
        <v>93.744</v>
      </c>
      <c r="K183" s="24">
        <v>43468</v>
      </c>
      <c r="L183" s="25">
        <v>0.68263888888888891</v>
      </c>
      <c r="M183" s="22" t="s">
        <v>1477</v>
      </c>
      <c r="N183" s="26">
        <v>89.28</v>
      </c>
      <c r="O183" s="27">
        <f t="shared" si="2"/>
        <v>4.761904762E-2</v>
      </c>
      <c r="P183" s="23">
        <v>4.4640000000000004</v>
      </c>
      <c r="Q183" s="28">
        <v>4.4000000000000004</v>
      </c>
    </row>
    <row r="184" spans="1:17" x14ac:dyDescent="0.35">
      <c r="A184" s="21" t="s">
        <v>1705</v>
      </c>
      <c r="B184" s="22" t="s">
        <v>1459</v>
      </c>
      <c r="C184" s="22" t="s">
        <v>1460</v>
      </c>
      <c r="D184" s="22" t="s">
        <v>1461</v>
      </c>
      <c r="E184" s="22" t="s">
        <v>27</v>
      </c>
      <c r="F184" s="22" t="s">
        <v>1473</v>
      </c>
      <c r="G184" s="22">
        <v>56</v>
      </c>
      <c r="H184" s="22">
        <v>3</v>
      </c>
      <c r="I184" s="22">
        <v>8.4</v>
      </c>
      <c r="J184" s="23">
        <v>176.4</v>
      </c>
      <c r="K184" s="24" t="s">
        <v>1683</v>
      </c>
      <c r="L184" s="25">
        <v>0.81458333333333333</v>
      </c>
      <c r="M184" s="22" t="s">
        <v>1469</v>
      </c>
      <c r="N184" s="26">
        <v>168</v>
      </c>
      <c r="O184" s="27">
        <f t="shared" si="2"/>
        <v>4.761904762E-2</v>
      </c>
      <c r="P184" s="23">
        <v>8.4</v>
      </c>
      <c r="Q184" s="28">
        <v>4.8</v>
      </c>
    </row>
    <row r="185" spans="1:17" x14ac:dyDescent="0.35">
      <c r="A185" s="21" t="s">
        <v>1706</v>
      </c>
      <c r="B185" s="22" t="s">
        <v>1459</v>
      </c>
      <c r="C185" s="22" t="s">
        <v>1460</v>
      </c>
      <c r="D185" s="22" t="s">
        <v>1479</v>
      </c>
      <c r="E185" s="22" t="s">
        <v>27</v>
      </c>
      <c r="F185" s="22" t="s">
        <v>1468</v>
      </c>
      <c r="G185" s="22">
        <v>19.7</v>
      </c>
      <c r="H185" s="22">
        <v>1</v>
      </c>
      <c r="I185" s="22">
        <v>0.98499999999999999</v>
      </c>
      <c r="J185" s="23">
        <v>20.684999999999999</v>
      </c>
      <c r="K185" s="24">
        <v>43679</v>
      </c>
      <c r="L185" s="25">
        <v>0.48541666666666666</v>
      </c>
      <c r="M185" s="22" t="s">
        <v>1469</v>
      </c>
      <c r="N185" s="26">
        <v>19.7</v>
      </c>
      <c r="O185" s="27">
        <f t="shared" si="2"/>
        <v>4.761904762E-2</v>
      </c>
      <c r="P185" s="23">
        <v>0.98499999999999999</v>
      </c>
      <c r="Q185" s="28">
        <v>9.5</v>
      </c>
    </row>
    <row r="186" spans="1:17" x14ac:dyDescent="0.35">
      <c r="A186" s="21" t="s">
        <v>1707</v>
      </c>
      <c r="B186" s="22" t="s">
        <v>1466</v>
      </c>
      <c r="C186" s="22" t="s">
        <v>1467</v>
      </c>
      <c r="D186" s="22" t="s">
        <v>1461</v>
      </c>
      <c r="E186" s="22" t="s">
        <v>27</v>
      </c>
      <c r="F186" s="22" t="s">
        <v>1462</v>
      </c>
      <c r="G186" s="22">
        <v>75.88</v>
      </c>
      <c r="H186" s="22">
        <v>7</v>
      </c>
      <c r="I186" s="22">
        <v>26.558</v>
      </c>
      <c r="J186" s="23">
        <v>557.71799999999996</v>
      </c>
      <c r="K186" s="24" t="s">
        <v>1566</v>
      </c>
      <c r="L186" s="25">
        <v>0.44305555555555554</v>
      </c>
      <c r="M186" s="22" t="s">
        <v>1469</v>
      </c>
      <c r="N186" s="26">
        <v>531.16</v>
      </c>
      <c r="O186" s="27">
        <f t="shared" si="2"/>
        <v>4.761904762E-2</v>
      </c>
      <c r="P186" s="23">
        <v>26.558</v>
      </c>
      <c r="Q186" s="28">
        <v>8.9</v>
      </c>
    </row>
    <row r="187" spans="1:17" x14ac:dyDescent="0.35">
      <c r="A187" s="21" t="s">
        <v>1708</v>
      </c>
      <c r="B187" s="22" t="s">
        <v>1466</v>
      </c>
      <c r="C187" s="22" t="s">
        <v>1467</v>
      </c>
      <c r="D187" s="22" t="s">
        <v>1479</v>
      </c>
      <c r="E187" s="22" t="s">
        <v>27</v>
      </c>
      <c r="F187" s="22" t="s">
        <v>1486</v>
      </c>
      <c r="G187" s="22">
        <v>53.72</v>
      </c>
      <c r="H187" s="22">
        <v>1</v>
      </c>
      <c r="I187" s="22">
        <v>2.6859999999999999</v>
      </c>
      <c r="J187" s="23">
        <v>56.405999999999999</v>
      </c>
      <c r="K187" s="24">
        <v>43468</v>
      </c>
      <c r="L187" s="25">
        <v>0.8354166666666667</v>
      </c>
      <c r="M187" s="22" t="s">
        <v>1469</v>
      </c>
      <c r="N187" s="26">
        <v>53.72</v>
      </c>
      <c r="O187" s="27">
        <f t="shared" si="2"/>
        <v>4.761904762E-2</v>
      </c>
      <c r="P187" s="23">
        <v>2.6859999999999999</v>
      </c>
      <c r="Q187" s="28">
        <v>6.4</v>
      </c>
    </row>
    <row r="188" spans="1:17" x14ac:dyDescent="0.35">
      <c r="A188" s="21" t="s">
        <v>1709</v>
      </c>
      <c r="B188" s="22" t="s">
        <v>1475</v>
      </c>
      <c r="C188" s="22" t="s">
        <v>1476</v>
      </c>
      <c r="D188" s="22" t="s">
        <v>1479</v>
      </c>
      <c r="E188" s="22" t="s">
        <v>27</v>
      </c>
      <c r="F188" s="22" t="s">
        <v>1473</v>
      </c>
      <c r="G188" s="22">
        <v>81.95</v>
      </c>
      <c r="H188" s="22">
        <v>10</v>
      </c>
      <c r="I188" s="22">
        <v>40.975000000000001</v>
      </c>
      <c r="J188" s="23">
        <v>860.47500000000002</v>
      </c>
      <c r="K188" s="24">
        <v>43741</v>
      </c>
      <c r="L188" s="25">
        <v>0.52708333333333335</v>
      </c>
      <c r="M188" s="22" t="s">
        <v>1477</v>
      </c>
      <c r="N188" s="26">
        <v>819.5</v>
      </c>
      <c r="O188" s="27">
        <f t="shared" si="2"/>
        <v>4.761904762E-2</v>
      </c>
      <c r="P188" s="23">
        <v>40.975000000000001</v>
      </c>
      <c r="Q188" s="28">
        <v>6</v>
      </c>
    </row>
    <row r="189" spans="1:17" x14ac:dyDescent="0.35">
      <c r="A189" s="21" t="s">
        <v>1710</v>
      </c>
      <c r="B189" s="22" t="s">
        <v>1475</v>
      </c>
      <c r="C189" s="22" t="s">
        <v>1476</v>
      </c>
      <c r="D189" s="22" t="s">
        <v>1479</v>
      </c>
      <c r="E189" s="22" t="s">
        <v>19</v>
      </c>
      <c r="F189" s="22" t="s">
        <v>1482</v>
      </c>
      <c r="G189" s="22">
        <v>81.2</v>
      </c>
      <c r="H189" s="22">
        <v>7</v>
      </c>
      <c r="I189" s="22">
        <v>28.42</v>
      </c>
      <c r="J189" s="23">
        <v>596.82000000000005</v>
      </c>
      <c r="K189" s="24" t="s">
        <v>1711</v>
      </c>
      <c r="L189" s="25">
        <v>0.66597222222222219</v>
      </c>
      <c r="M189" s="22" t="s">
        <v>1477</v>
      </c>
      <c r="N189" s="26">
        <v>568.4</v>
      </c>
      <c r="O189" s="27">
        <f t="shared" si="2"/>
        <v>4.761904762E-2</v>
      </c>
      <c r="P189" s="23">
        <v>28.42</v>
      </c>
      <c r="Q189" s="28">
        <v>8.1</v>
      </c>
    </row>
    <row r="190" spans="1:17" x14ac:dyDescent="0.35">
      <c r="A190" s="21" t="s">
        <v>1712</v>
      </c>
      <c r="B190" s="22" t="s">
        <v>1475</v>
      </c>
      <c r="C190" s="22" t="s">
        <v>1476</v>
      </c>
      <c r="D190" s="22" t="s">
        <v>1461</v>
      </c>
      <c r="E190" s="22" t="s">
        <v>27</v>
      </c>
      <c r="F190" s="22" t="s">
        <v>1462</v>
      </c>
      <c r="G190" s="22">
        <v>58.76</v>
      </c>
      <c r="H190" s="22">
        <v>10</v>
      </c>
      <c r="I190" s="22">
        <v>29.38</v>
      </c>
      <c r="J190" s="23">
        <v>616.98</v>
      </c>
      <c r="K190" s="24" t="s">
        <v>1508</v>
      </c>
      <c r="L190" s="25">
        <v>0.60138888888888886</v>
      </c>
      <c r="M190" s="22" t="s">
        <v>1469</v>
      </c>
      <c r="N190" s="26">
        <v>587.6</v>
      </c>
      <c r="O190" s="27">
        <f t="shared" si="2"/>
        <v>4.761904762E-2</v>
      </c>
      <c r="P190" s="23">
        <v>29.38</v>
      </c>
      <c r="Q190" s="28">
        <v>9</v>
      </c>
    </row>
    <row r="191" spans="1:17" x14ac:dyDescent="0.35">
      <c r="A191" s="21" t="s">
        <v>1713</v>
      </c>
      <c r="B191" s="22" t="s">
        <v>1466</v>
      </c>
      <c r="C191" s="22" t="s">
        <v>1467</v>
      </c>
      <c r="D191" s="22" t="s">
        <v>1479</v>
      </c>
      <c r="E191" s="22" t="s">
        <v>27</v>
      </c>
      <c r="F191" s="22" t="s">
        <v>1462</v>
      </c>
      <c r="G191" s="22">
        <v>91.56</v>
      </c>
      <c r="H191" s="22">
        <v>8</v>
      </c>
      <c r="I191" s="22">
        <v>36.624000000000002</v>
      </c>
      <c r="J191" s="23">
        <v>769.10400000000004</v>
      </c>
      <c r="K191" s="24">
        <v>43800</v>
      </c>
      <c r="L191" s="25">
        <v>0.76527777777777772</v>
      </c>
      <c r="M191" s="22" t="s">
        <v>1469</v>
      </c>
      <c r="N191" s="26">
        <v>732.48</v>
      </c>
      <c r="O191" s="27">
        <f t="shared" si="2"/>
        <v>4.761904762E-2</v>
      </c>
      <c r="P191" s="23">
        <v>36.624000000000002</v>
      </c>
      <c r="Q191" s="28">
        <v>6</v>
      </c>
    </row>
    <row r="192" spans="1:17" x14ac:dyDescent="0.35">
      <c r="A192" s="21" t="s">
        <v>1714</v>
      </c>
      <c r="B192" s="22" t="s">
        <v>1459</v>
      </c>
      <c r="C192" s="22" t="s">
        <v>1460</v>
      </c>
      <c r="D192" s="22" t="s">
        <v>1461</v>
      </c>
      <c r="E192" s="22" t="s">
        <v>27</v>
      </c>
      <c r="F192" s="22" t="s">
        <v>1482</v>
      </c>
      <c r="G192" s="22">
        <v>93.96</v>
      </c>
      <c r="H192" s="22">
        <v>9</v>
      </c>
      <c r="I192" s="22">
        <v>42.281999999999996</v>
      </c>
      <c r="J192" s="23">
        <v>887.92200000000003</v>
      </c>
      <c r="K192" s="24" t="s">
        <v>1496</v>
      </c>
      <c r="L192" s="25">
        <v>0.48055555555555557</v>
      </c>
      <c r="M192" s="22" t="s">
        <v>1464</v>
      </c>
      <c r="N192" s="26">
        <v>845.64</v>
      </c>
      <c r="O192" s="27">
        <f t="shared" si="2"/>
        <v>4.761904762E-2</v>
      </c>
      <c r="P192" s="23">
        <v>42.281999999999996</v>
      </c>
      <c r="Q192" s="28">
        <v>9.8000000000000007</v>
      </c>
    </row>
    <row r="193" spans="1:17" x14ac:dyDescent="0.35">
      <c r="A193" s="21" t="s">
        <v>1715</v>
      </c>
      <c r="B193" s="22" t="s">
        <v>1475</v>
      </c>
      <c r="C193" s="22" t="s">
        <v>1476</v>
      </c>
      <c r="D193" s="22" t="s">
        <v>1461</v>
      </c>
      <c r="E193" s="22" t="s">
        <v>27</v>
      </c>
      <c r="F193" s="22" t="s">
        <v>1482</v>
      </c>
      <c r="G193" s="22">
        <v>55.61</v>
      </c>
      <c r="H193" s="22">
        <v>7</v>
      </c>
      <c r="I193" s="22">
        <v>19.4635</v>
      </c>
      <c r="J193" s="23">
        <v>408.73349999999999</v>
      </c>
      <c r="K193" s="24" t="s">
        <v>1711</v>
      </c>
      <c r="L193" s="25">
        <v>0.52847222222222223</v>
      </c>
      <c r="M193" s="22" t="s">
        <v>1464</v>
      </c>
      <c r="N193" s="26">
        <v>389.27</v>
      </c>
      <c r="O193" s="27">
        <f t="shared" si="2"/>
        <v>4.761904762E-2</v>
      </c>
      <c r="P193" s="23">
        <v>19.4635</v>
      </c>
      <c r="Q193" s="28">
        <v>8.5</v>
      </c>
    </row>
    <row r="194" spans="1:17" x14ac:dyDescent="0.35">
      <c r="A194" s="21" t="s">
        <v>1716</v>
      </c>
      <c r="B194" s="22" t="s">
        <v>1475</v>
      </c>
      <c r="C194" s="22" t="s">
        <v>1476</v>
      </c>
      <c r="D194" s="22" t="s">
        <v>1461</v>
      </c>
      <c r="E194" s="22" t="s">
        <v>27</v>
      </c>
      <c r="F194" s="22" t="s">
        <v>1486</v>
      </c>
      <c r="G194" s="22">
        <v>84.83</v>
      </c>
      <c r="H194" s="22">
        <v>1</v>
      </c>
      <c r="I194" s="22">
        <v>4.2415000000000003</v>
      </c>
      <c r="J194" s="23">
        <v>89.0715</v>
      </c>
      <c r="K194" s="24" t="s">
        <v>1518</v>
      </c>
      <c r="L194" s="25">
        <v>0.63888888888888884</v>
      </c>
      <c r="M194" s="22" t="s">
        <v>1469</v>
      </c>
      <c r="N194" s="26">
        <v>84.83</v>
      </c>
      <c r="O194" s="27">
        <f t="shared" ref="O194:O257" si="3">4.761904762/100</f>
        <v>4.761904762E-2</v>
      </c>
      <c r="P194" s="23">
        <v>4.2415000000000003</v>
      </c>
      <c r="Q194" s="28">
        <v>8.8000000000000007</v>
      </c>
    </row>
    <row r="195" spans="1:17" x14ac:dyDescent="0.35">
      <c r="A195" s="21" t="s">
        <v>1717</v>
      </c>
      <c r="B195" s="22" t="s">
        <v>1459</v>
      </c>
      <c r="C195" s="22" t="s">
        <v>1460</v>
      </c>
      <c r="D195" s="22" t="s">
        <v>1479</v>
      </c>
      <c r="E195" s="22" t="s">
        <v>19</v>
      </c>
      <c r="F195" s="22" t="s">
        <v>1501</v>
      </c>
      <c r="G195" s="22">
        <v>71.63</v>
      </c>
      <c r="H195" s="22">
        <v>2</v>
      </c>
      <c r="I195" s="22">
        <v>7.1630000000000003</v>
      </c>
      <c r="J195" s="23">
        <v>150.423</v>
      </c>
      <c r="K195" s="24">
        <v>43801</v>
      </c>
      <c r="L195" s="25">
        <v>0.60624999999999996</v>
      </c>
      <c r="M195" s="22" t="s">
        <v>1469</v>
      </c>
      <c r="N195" s="26">
        <v>143.26</v>
      </c>
      <c r="O195" s="27">
        <f t="shared" si="3"/>
        <v>4.761904762E-2</v>
      </c>
      <c r="P195" s="23">
        <v>7.1630000000000003</v>
      </c>
      <c r="Q195" s="28">
        <v>8.8000000000000007</v>
      </c>
    </row>
    <row r="196" spans="1:17" x14ac:dyDescent="0.35">
      <c r="A196" s="21" t="s">
        <v>1718</v>
      </c>
      <c r="B196" s="22" t="s">
        <v>1459</v>
      </c>
      <c r="C196" s="22" t="s">
        <v>1460</v>
      </c>
      <c r="D196" s="22" t="s">
        <v>1479</v>
      </c>
      <c r="E196" s="22" t="s">
        <v>27</v>
      </c>
      <c r="F196" s="22" t="s">
        <v>1482</v>
      </c>
      <c r="G196" s="22">
        <v>37.69</v>
      </c>
      <c r="H196" s="22">
        <v>2</v>
      </c>
      <c r="I196" s="22">
        <v>3.7690000000000001</v>
      </c>
      <c r="J196" s="23">
        <v>79.149000000000001</v>
      </c>
      <c r="K196" s="24" t="s">
        <v>1516</v>
      </c>
      <c r="L196" s="25">
        <v>0.64513888888888893</v>
      </c>
      <c r="M196" s="22" t="s">
        <v>1469</v>
      </c>
      <c r="N196" s="26">
        <v>75.38</v>
      </c>
      <c r="O196" s="27">
        <f t="shared" si="3"/>
        <v>4.761904762E-2</v>
      </c>
      <c r="P196" s="23">
        <v>3.7690000000000001</v>
      </c>
      <c r="Q196" s="28">
        <v>9.5</v>
      </c>
    </row>
    <row r="197" spans="1:17" x14ac:dyDescent="0.35">
      <c r="A197" s="21" t="s">
        <v>1719</v>
      </c>
      <c r="B197" s="22" t="s">
        <v>1475</v>
      </c>
      <c r="C197" s="22" t="s">
        <v>1476</v>
      </c>
      <c r="D197" s="22" t="s">
        <v>1479</v>
      </c>
      <c r="E197" s="22" t="s">
        <v>19</v>
      </c>
      <c r="F197" s="22" t="s">
        <v>1501</v>
      </c>
      <c r="G197" s="22">
        <v>31.67</v>
      </c>
      <c r="H197" s="22">
        <v>8</v>
      </c>
      <c r="I197" s="22">
        <v>12.667999999999999</v>
      </c>
      <c r="J197" s="23">
        <v>266.02800000000002</v>
      </c>
      <c r="K197" s="24">
        <v>43497</v>
      </c>
      <c r="L197" s="25">
        <v>0.67986111111111114</v>
      </c>
      <c r="M197" s="22" t="s">
        <v>1477</v>
      </c>
      <c r="N197" s="26">
        <v>253.36</v>
      </c>
      <c r="O197" s="27">
        <f t="shared" si="3"/>
        <v>4.761904762E-2</v>
      </c>
      <c r="P197" s="23">
        <v>12.667999999999999</v>
      </c>
      <c r="Q197" s="28">
        <v>5.6</v>
      </c>
    </row>
    <row r="198" spans="1:17" x14ac:dyDescent="0.35">
      <c r="A198" s="21" t="s">
        <v>1720</v>
      </c>
      <c r="B198" s="22" t="s">
        <v>1475</v>
      </c>
      <c r="C198" s="22" t="s">
        <v>1476</v>
      </c>
      <c r="D198" s="22" t="s">
        <v>1479</v>
      </c>
      <c r="E198" s="22" t="s">
        <v>19</v>
      </c>
      <c r="F198" s="22" t="s">
        <v>1486</v>
      </c>
      <c r="G198" s="22">
        <v>38.42</v>
      </c>
      <c r="H198" s="22">
        <v>1</v>
      </c>
      <c r="I198" s="22">
        <v>1.921</v>
      </c>
      <c r="J198" s="23">
        <v>40.341000000000001</v>
      </c>
      <c r="K198" s="24">
        <v>43498</v>
      </c>
      <c r="L198" s="25">
        <v>0.68958333333333333</v>
      </c>
      <c r="M198" s="22" t="s">
        <v>1464</v>
      </c>
      <c r="N198" s="26">
        <v>38.42</v>
      </c>
      <c r="O198" s="27">
        <f t="shared" si="3"/>
        <v>4.761904762E-2</v>
      </c>
      <c r="P198" s="23">
        <v>1.921</v>
      </c>
      <c r="Q198" s="28">
        <v>8.6</v>
      </c>
    </row>
    <row r="199" spans="1:17" x14ac:dyDescent="0.35">
      <c r="A199" s="21" t="s">
        <v>1721</v>
      </c>
      <c r="B199" s="22" t="s">
        <v>1466</v>
      </c>
      <c r="C199" s="22" t="s">
        <v>1467</v>
      </c>
      <c r="D199" s="22" t="s">
        <v>1479</v>
      </c>
      <c r="E199" s="22" t="s">
        <v>27</v>
      </c>
      <c r="F199" s="22" t="s">
        <v>1468</v>
      </c>
      <c r="G199" s="22">
        <v>65.23</v>
      </c>
      <c r="H199" s="22">
        <v>10</v>
      </c>
      <c r="I199" s="22">
        <v>32.615000000000002</v>
      </c>
      <c r="J199" s="23">
        <v>684.91499999999996</v>
      </c>
      <c r="K199" s="24">
        <v>43678</v>
      </c>
      <c r="L199" s="25">
        <v>0.79652777777777772</v>
      </c>
      <c r="M199" s="22" t="s">
        <v>1477</v>
      </c>
      <c r="N199" s="26">
        <v>652.29999999999995</v>
      </c>
      <c r="O199" s="27">
        <f t="shared" si="3"/>
        <v>4.761904762E-2</v>
      </c>
      <c r="P199" s="23">
        <v>32.615000000000002</v>
      </c>
      <c r="Q199" s="28">
        <v>5.2</v>
      </c>
    </row>
    <row r="200" spans="1:17" x14ac:dyDescent="0.35">
      <c r="A200" s="21" t="s">
        <v>1722</v>
      </c>
      <c r="B200" s="22" t="s">
        <v>1475</v>
      </c>
      <c r="C200" s="22" t="s">
        <v>1476</v>
      </c>
      <c r="D200" s="22" t="s">
        <v>1479</v>
      </c>
      <c r="E200" s="22" t="s">
        <v>19</v>
      </c>
      <c r="F200" s="22" t="s">
        <v>1482</v>
      </c>
      <c r="G200" s="22">
        <v>10.53</v>
      </c>
      <c r="H200" s="22">
        <v>5</v>
      </c>
      <c r="I200" s="22">
        <v>2.6324999999999998</v>
      </c>
      <c r="J200" s="23">
        <v>55.282499999999999</v>
      </c>
      <c r="K200" s="24" t="s">
        <v>1487</v>
      </c>
      <c r="L200" s="25">
        <v>0.61319444444444449</v>
      </c>
      <c r="M200" s="22" t="s">
        <v>1477</v>
      </c>
      <c r="N200" s="26">
        <v>52.65</v>
      </c>
      <c r="O200" s="27">
        <f t="shared" si="3"/>
        <v>4.761904762E-2</v>
      </c>
      <c r="P200" s="23">
        <v>2.6324999999999998</v>
      </c>
      <c r="Q200" s="28">
        <v>5.8</v>
      </c>
    </row>
    <row r="201" spans="1:17" x14ac:dyDescent="0.35">
      <c r="A201" s="21" t="s">
        <v>1723</v>
      </c>
      <c r="B201" s="22" t="s">
        <v>1466</v>
      </c>
      <c r="C201" s="22" t="s">
        <v>1467</v>
      </c>
      <c r="D201" s="22" t="s">
        <v>1479</v>
      </c>
      <c r="E201" s="22" t="s">
        <v>19</v>
      </c>
      <c r="F201" s="22" t="s">
        <v>1482</v>
      </c>
      <c r="G201" s="22">
        <v>12.29</v>
      </c>
      <c r="H201" s="22">
        <v>9</v>
      </c>
      <c r="I201" s="22">
        <v>5.5305</v>
      </c>
      <c r="J201" s="23">
        <v>116.1405</v>
      </c>
      <c r="K201" s="24" t="s">
        <v>1520</v>
      </c>
      <c r="L201" s="25">
        <v>0.81111111111111112</v>
      </c>
      <c r="M201" s="22" t="s">
        <v>1477</v>
      </c>
      <c r="N201" s="26">
        <v>110.61</v>
      </c>
      <c r="O201" s="27">
        <f t="shared" si="3"/>
        <v>4.761904762E-2</v>
      </c>
      <c r="P201" s="23">
        <v>5.5305</v>
      </c>
      <c r="Q201" s="28">
        <v>8</v>
      </c>
    </row>
    <row r="202" spans="1:17" x14ac:dyDescent="0.35">
      <c r="A202" s="21" t="s">
        <v>1724</v>
      </c>
      <c r="B202" s="22" t="s">
        <v>1475</v>
      </c>
      <c r="C202" s="22" t="s">
        <v>1476</v>
      </c>
      <c r="D202" s="22" t="s">
        <v>1479</v>
      </c>
      <c r="E202" s="22" t="s">
        <v>27</v>
      </c>
      <c r="F202" s="22" t="s">
        <v>1473</v>
      </c>
      <c r="G202" s="22">
        <v>81.23</v>
      </c>
      <c r="H202" s="22">
        <v>7</v>
      </c>
      <c r="I202" s="22">
        <v>28.430499999999999</v>
      </c>
      <c r="J202" s="23">
        <v>597.04049999999995</v>
      </c>
      <c r="K202" s="24" t="s">
        <v>1589</v>
      </c>
      <c r="L202" s="25">
        <v>0.86388888888888893</v>
      </c>
      <c r="M202" s="22" t="s">
        <v>1464</v>
      </c>
      <c r="N202" s="26">
        <v>568.61</v>
      </c>
      <c r="O202" s="27">
        <f t="shared" si="3"/>
        <v>4.761904762E-2</v>
      </c>
      <c r="P202" s="23">
        <v>28.430499999999999</v>
      </c>
      <c r="Q202" s="28">
        <v>9</v>
      </c>
    </row>
    <row r="203" spans="1:17" x14ac:dyDescent="0.35">
      <c r="A203" s="21" t="s">
        <v>1725</v>
      </c>
      <c r="B203" s="22" t="s">
        <v>1466</v>
      </c>
      <c r="C203" s="22" t="s">
        <v>1467</v>
      </c>
      <c r="D203" s="22" t="s">
        <v>1479</v>
      </c>
      <c r="E203" s="22" t="s">
        <v>19</v>
      </c>
      <c r="F203" s="22" t="s">
        <v>1468</v>
      </c>
      <c r="G203" s="22">
        <v>22.32</v>
      </c>
      <c r="H203" s="22">
        <v>4</v>
      </c>
      <c r="I203" s="22">
        <v>4.4640000000000004</v>
      </c>
      <c r="J203" s="23">
        <v>93.744</v>
      </c>
      <c r="K203" s="24" t="s">
        <v>1492</v>
      </c>
      <c r="L203" s="25">
        <v>0.46944444444444444</v>
      </c>
      <c r="M203" s="22" t="s">
        <v>1469</v>
      </c>
      <c r="N203" s="26">
        <v>89.28</v>
      </c>
      <c r="O203" s="27">
        <f t="shared" si="3"/>
        <v>4.761904762E-2</v>
      </c>
      <c r="P203" s="23">
        <v>4.4640000000000004</v>
      </c>
      <c r="Q203" s="28">
        <v>4.0999999999999996</v>
      </c>
    </row>
    <row r="204" spans="1:17" x14ac:dyDescent="0.35">
      <c r="A204" s="21" t="s">
        <v>1726</v>
      </c>
      <c r="B204" s="22" t="s">
        <v>1459</v>
      </c>
      <c r="C204" s="22" t="s">
        <v>1460</v>
      </c>
      <c r="D204" s="22" t="s">
        <v>1461</v>
      </c>
      <c r="E204" s="22" t="s">
        <v>19</v>
      </c>
      <c r="F204" s="22" t="s">
        <v>1486</v>
      </c>
      <c r="G204" s="22">
        <v>27.28</v>
      </c>
      <c r="H204" s="22">
        <v>5</v>
      </c>
      <c r="I204" s="22">
        <v>6.82</v>
      </c>
      <c r="J204" s="23">
        <v>143.22</v>
      </c>
      <c r="K204" s="24">
        <v>43526</v>
      </c>
      <c r="L204" s="25">
        <v>0.43819444444444444</v>
      </c>
      <c r="M204" s="22" t="s">
        <v>1477</v>
      </c>
      <c r="N204" s="26">
        <v>136.4</v>
      </c>
      <c r="O204" s="27">
        <f t="shared" si="3"/>
        <v>4.761904762E-2</v>
      </c>
      <c r="P204" s="23">
        <v>6.82</v>
      </c>
      <c r="Q204" s="28">
        <v>8.6</v>
      </c>
    </row>
    <row r="205" spans="1:17" x14ac:dyDescent="0.35">
      <c r="A205" s="21" t="s">
        <v>1727</v>
      </c>
      <c r="B205" s="22" t="s">
        <v>1459</v>
      </c>
      <c r="C205" s="22" t="s">
        <v>1460</v>
      </c>
      <c r="D205" s="22" t="s">
        <v>1479</v>
      </c>
      <c r="E205" s="22" t="s">
        <v>19</v>
      </c>
      <c r="F205" s="22" t="s">
        <v>1462</v>
      </c>
      <c r="G205" s="22">
        <v>17.420000000000002</v>
      </c>
      <c r="H205" s="22">
        <v>10</v>
      </c>
      <c r="I205" s="22">
        <v>8.7100000000000009</v>
      </c>
      <c r="J205" s="23">
        <v>182.91</v>
      </c>
      <c r="K205" s="24" t="s">
        <v>1471</v>
      </c>
      <c r="L205" s="25">
        <v>0.52083333333333337</v>
      </c>
      <c r="M205" s="22" t="s">
        <v>1469</v>
      </c>
      <c r="N205" s="26">
        <v>174.2</v>
      </c>
      <c r="O205" s="27">
        <f t="shared" si="3"/>
        <v>4.761904762E-2</v>
      </c>
      <c r="P205" s="23">
        <v>8.7100000000000009</v>
      </c>
      <c r="Q205" s="28">
        <v>7</v>
      </c>
    </row>
    <row r="206" spans="1:17" x14ac:dyDescent="0.35">
      <c r="A206" s="21" t="s">
        <v>1728</v>
      </c>
      <c r="B206" s="22" t="s">
        <v>1466</v>
      </c>
      <c r="C206" s="22" t="s">
        <v>1467</v>
      </c>
      <c r="D206" s="22" t="s">
        <v>1461</v>
      </c>
      <c r="E206" s="22" t="s">
        <v>27</v>
      </c>
      <c r="F206" s="22" t="s">
        <v>1482</v>
      </c>
      <c r="G206" s="22">
        <v>73.28</v>
      </c>
      <c r="H206" s="22">
        <v>5</v>
      </c>
      <c r="I206" s="22">
        <v>18.32</v>
      </c>
      <c r="J206" s="23">
        <v>384.72</v>
      </c>
      <c r="K206" s="24" t="s">
        <v>1566</v>
      </c>
      <c r="L206" s="25">
        <v>0.62847222222222221</v>
      </c>
      <c r="M206" s="22" t="s">
        <v>1469</v>
      </c>
      <c r="N206" s="26">
        <v>366.4</v>
      </c>
      <c r="O206" s="27">
        <f t="shared" si="3"/>
        <v>4.761904762E-2</v>
      </c>
      <c r="P206" s="23">
        <v>18.32</v>
      </c>
      <c r="Q206" s="28">
        <v>8.4</v>
      </c>
    </row>
    <row r="207" spans="1:17" x14ac:dyDescent="0.35">
      <c r="A207" s="21" t="s">
        <v>1729</v>
      </c>
      <c r="B207" s="22" t="s">
        <v>1475</v>
      </c>
      <c r="C207" s="22" t="s">
        <v>1476</v>
      </c>
      <c r="D207" s="22" t="s">
        <v>1479</v>
      </c>
      <c r="E207" s="22" t="s">
        <v>19</v>
      </c>
      <c r="F207" s="22" t="s">
        <v>1468</v>
      </c>
      <c r="G207" s="22">
        <v>84.87</v>
      </c>
      <c r="H207" s="22">
        <v>3</v>
      </c>
      <c r="I207" s="22">
        <v>12.730499999999999</v>
      </c>
      <c r="J207" s="23">
        <v>267.34050000000002</v>
      </c>
      <c r="K207" s="24" t="s">
        <v>1584</v>
      </c>
      <c r="L207" s="25">
        <v>0.77083333333333337</v>
      </c>
      <c r="M207" s="22" t="s">
        <v>1469</v>
      </c>
      <c r="N207" s="26">
        <v>254.61</v>
      </c>
      <c r="O207" s="27">
        <f t="shared" si="3"/>
        <v>4.761904762E-2</v>
      </c>
      <c r="P207" s="23">
        <v>12.730499999999999</v>
      </c>
      <c r="Q207" s="28">
        <v>7.4</v>
      </c>
    </row>
    <row r="208" spans="1:17" x14ac:dyDescent="0.35">
      <c r="A208" s="21" t="s">
        <v>1730</v>
      </c>
      <c r="B208" s="22" t="s">
        <v>1459</v>
      </c>
      <c r="C208" s="22" t="s">
        <v>1460</v>
      </c>
      <c r="D208" s="22" t="s">
        <v>1461</v>
      </c>
      <c r="E208" s="22" t="s">
        <v>19</v>
      </c>
      <c r="F208" s="22" t="s">
        <v>1468</v>
      </c>
      <c r="G208" s="22">
        <v>97.29</v>
      </c>
      <c r="H208" s="22">
        <v>8</v>
      </c>
      <c r="I208" s="22">
        <v>38.915999999999997</v>
      </c>
      <c r="J208" s="23">
        <v>817.23599999999999</v>
      </c>
      <c r="K208" s="24">
        <v>43711</v>
      </c>
      <c r="L208" s="25">
        <v>0.5541666666666667</v>
      </c>
      <c r="M208" s="22" t="s">
        <v>1477</v>
      </c>
      <c r="N208" s="26">
        <v>778.32</v>
      </c>
      <c r="O208" s="27">
        <f t="shared" si="3"/>
        <v>4.761904762E-2</v>
      </c>
      <c r="P208" s="23">
        <v>38.915999999999997</v>
      </c>
      <c r="Q208" s="28">
        <v>6.2</v>
      </c>
    </row>
    <row r="209" spans="1:17" x14ac:dyDescent="0.35">
      <c r="A209" s="21" t="s">
        <v>1731</v>
      </c>
      <c r="B209" s="22" t="s">
        <v>1466</v>
      </c>
      <c r="C209" s="22" t="s">
        <v>1467</v>
      </c>
      <c r="D209" s="22" t="s">
        <v>1479</v>
      </c>
      <c r="E209" s="22" t="s">
        <v>19</v>
      </c>
      <c r="F209" s="22" t="s">
        <v>1462</v>
      </c>
      <c r="G209" s="22">
        <v>35.74</v>
      </c>
      <c r="H209" s="22">
        <v>8</v>
      </c>
      <c r="I209" s="22">
        <v>14.295999999999999</v>
      </c>
      <c r="J209" s="23">
        <v>300.21600000000001</v>
      </c>
      <c r="K209" s="24" t="s">
        <v>1546</v>
      </c>
      <c r="L209" s="25">
        <v>0.64444444444444449</v>
      </c>
      <c r="M209" s="22" t="s">
        <v>1469</v>
      </c>
      <c r="N209" s="26">
        <v>285.92</v>
      </c>
      <c r="O209" s="27">
        <f t="shared" si="3"/>
        <v>4.761904762E-2</v>
      </c>
      <c r="P209" s="23">
        <v>14.295999999999999</v>
      </c>
      <c r="Q209" s="28">
        <v>4.9000000000000004</v>
      </c>
    </row>
    <row r="210" spans="1:17" x14ac:dyDescent="0.35">
      <c r="A210" s="21" t="s">
        <v>1732</v>
      </c>
      <c r="B210" s="22" t="s">
        <v>1459</v>
      </c>
      <c r="C210" s="22" t="s">
        <v>1460</v>
      </c>
      <c r="D210" s="22" t="s">
        <v>1461</v>
      </c>
      <c r="E210" s="22" t="s">
        <v>19</v>
      </c>
      <c r="F210" s="22" t="s">
        <v>1482</v>
      </c>
      <c r="G210" s="22">
        <v>96.52</v>
      </c>
      <c r="H210" s="22">
        <v>6</v>
      </c>
      <c r="I210" s="22">
        <v>28.956</v>
      </c>
      <c r="J210" s="23">
        <v>608.07600000000002</v>
      </c>
      <c r="K210" s="24">
        <v>43770</v>
      </c>
      <c r="L210" s="25">
        <v>0.49444444444444446</v>
      </c>
      <c r="M210" s="22" t="s">
        <v>1464</v>
      </c>
      <c r="N210" s="26">
        <v>579.12</v>
      </c>
      <c r="O210" s="27">
        <f t="shared" si="3"/>
        <v>4.761904762E-2</v>
      </c>
      <c r="P210" s="23">
        <v>28.956</v>
      </c>
      <c r="Q210" s="28">
        <v>4.5</v>
      </c>
    </row>
    <row r="211" spans="1:17" x14ac:dyDescent="0.35">
      <c r="A211" s="21" t="s">
        <v>1733</v>
      </c>
      <c r="B211" s="22" t="s">
        <v>1459</v>
      </c>
      <c r="C211" s="22" t="s">
        <v>1460</v>
      </c>
      <c r="D211" s="22" t="s">
        <v>1479</v>
      </c>
      <c r="E211" s="22" t="s">
        <v>27</v>
      </c>
      <c r="F211" s="22" t="s">
        <v>1486</v>
      </c>
      <c r="G211" s="22">
        <v>18.850000000000001</v>
      </c>
      <c r="H211" s="22">
        <v>10</v>
      </c>
      <c r="I211" s="22">
        <v>9.4250000000000007</v>
      </c>
      <c r="J211" s="23">
        <v>197.92500000000001</v>
      </c>
      <c r="K211" s="24" t="s">
        <v>1599</v>
      </c>
      <c r="L211" s="25">
        <v>0.76666666666666672</v>
      </c>
      <c r="M211" s="22" t="s">
        <v>1469</v>
      </c>
      <c r="N211" s="26">
        <v>188.5</v>
      </c>
      <c r="O211" s="27">
        <f t="shared" si="3"/>
        <v>4.761904762E-2</v>
      </c>
      <c r="P211" s="23">
        <v>9.4250000000000007</v>
      </c>
      <c r="Q211" s="28">
        <v>5.6</v>
      </c>
    </row>
    <row r="212" spans="1:17" x14ac:dyDescent="0.35">
      <c r="A212" s="21" t="s">
        <v>1734</v>
      </c>
      <c r="B212" s="22" t="s">
        <v>1459</v>
      </c>
      <c r="C212" s="22" t="s">
        <v>1460</v>
      </c>
      <c r="D212" s="22" t="s">
        <v>1461</v>
      </c>
      <c r="E212" s="22" t="s">
        <v>19</v>
      </c>
      <c r="F212" s="22" t="s">
        <v>1486</v>
      </c>
      <c r="G212" s="22">
        <v>55.39</v>
      </c>
      <c r="H212" s="22">
        <v>4</v>
      </c>
      <c r="I212" s="22">
        <v>11.077999999999999</v>
      </c>
      <c r="J212" s="23">
        <v>232.63800000000001</v>
      </c>
      <c r="K212" s="24" t="s">
        <v>1480</v>
      </c>
      <c r="L212" s="25">
        <v>0.6381944444444444</v>
      </c>
      <c r="M212" s="22" t="s">
        <v>1469</v>
      </c>
      <c r="N212" s="26">
        <v>221.56</v>
      </c>
      <c r="O212" s="27">
        <f t="shared" si="3"/>
        <v>4.761904762E-2</v>
      </c>
      <c r="P212" s="23">
        <v>11.077999999999999</v>
      </c>
      <c r="Q212" s="28">
        <v>8</v>
      </c>
    </row>
    <row r="213" spans="1:17" x14ac:dyDescent="0.35">
      <c r="A213" s="21" t="s">
        <v>1735</v>
      </c>
      <c r="B213" s="22" t="s">
        <v>1466</v>
      </c>
      <c r="C213" s="22" t="s">
        <v>1467</v>
      </c>
      <c r="D213" s="22" t="s">
        <v>1479</v>
      </c>
      <c r="E213" s="22" t="s">
        <v>19</v>
      </c>
      <c r="F213" s="22" t="s">
        <v>1486</v>
      </c>
      <c r="G213" s="22">
        <v>77.2</v>
      </c>
      <c r="H213" s="22">
        <v>10</v>
      </c>
      <c r="I213" s="22">
        <v>38.6</v>
      </c>
      <c r="J213" s="23">
        <v>810.6</v>
      </c>
      <c r="K213" s="24">
        <v>43771</v>
      </c>
      <c r="L213" s="25">
        <v>0.44305555555555554</v>
      </c>
      <c r="M213" s="22" t="s">
        <v>1477</v>
      </c>
      <c r="N213" s="26">
        <v>772</v>
      </c>
      <c r="O213" s="27">
        <f t="shared" si="3"/>
        <v>4.761904762E-2</v>
      </c>
      <c r="P213" s="23">
        <v>38.6</v>
      </c>
      <c r="Q213" s="28">
        <v>5.6</v>
      </c>
    </row>
    <row r="214" spans="1:17" x14ac:dyDescent="0.35">
      <c r="A214" s="21" t="s">
        <v>1736</v>
      </c>
      <c r="B214" s="22" t="s">
        <v>1466</v>
      </c>
      <c r="C214" s="22" t="s">
        <v>1467</v>
      </c>
      <c r="D214" s="22" t="s">
        <v>1461</v>
      </c>
      <c r="E214" s="22" t="s">
        <v>27</v>
      </c>
      <c r="F214" s="22" t="s">
        <v>1462</v>
      </c>
      <c r="G214" s="22">
        <v>72.13</v>
      </c>
      <c r="H214" s="22">
        <v>10</v>
      </c>
      <c r="I214" s="22">
        <v>36.064999999999998</v>
      </c>
      <c r="J214" s="23">
        <v>757.36500000000001</v>
      </c>
      <c r="K214" s="24" t="s">
        <v>1677</v>
      </c>
      <c r="L214" s="25">
        <v>0.6333333333333333</v>
      </c>
      <c r="M214" s="22" t="s">
        <v>1477</v>
      </c>
      <c r="N214" s="26">
        <v>721.3</v>
      </c>
      <c r="O214" s="27">
        <f t="shared" si="3"/>
        <v>4.761904762E-2</v>
      </c>
      <c r="P214" s="23">
        <v>36.064999999999998</v>
      </c>
      <c r="Q214" s="28">
        <v>4.2</v>
      </c>
    </row>
    <row r="215" spans="1:17" x14ac:dyDescent="0.35">
      <c r="A215" s="21" t="s">
        <v>1737</v>
      </c>
      <c r="B215" s="22" t="s">
        <v>1459</v>
      </c>
      <c r="C215" s="22" t="s">
        <v>1460</v>
      </c>
      <c r="D215" s="22" t="s">
        <v>1479</v>
      </c>
      <c r="E215" s="22" t="s">
        <v>19</v>
      </c>
      <c r="F215" s="22" t="s">
        <v>1468</v>
      </c>
      <c r="G215" s="22">
        <v>63.88</v>
      </c>
      <c r="H215" s="22">
        <v>8</v>
      </c>
      <c r="I215" s="22">
        <v>25.552</v>
      </c>
      <c r="J215" s="23">
        <v>536.59199999999998</v>
      </c>
      <c r="K215" s="24" t="s">
        <v>1483</v>
      </c>
      <c r="L215" s="25">
        <v>0.7416666666666667</v>
      </c>
      <c r="M215" s="22" t="s">
        <v>1469</v>
      </c>
      <c r="N215" s="26">
        <v>511.04</v>
      </c>
      <c r="O215" s="27">
        <f t="shared" si="3"/>
        <v>4.761904762E-2</v>
      </c>
      <c r="P215" s="23">
        <v>25.552</v>
      </c>
      <c r="Q215" s="28">
        <v>9.9</v>
      </c>
    </row>
    <row r="216" spans="1:17" x14ac:dyDescent="0.35">
      <c r="A216" s="21" t="s">
        <v>1738</v>
      </c>
      <c r="B216" s="22" t="s">
        <v>1459</v>
      </c>
      <c r="C216" s="22" t="s">
        <v>1460</v>
      </c>
      <c r="D216" s="22" t="s">
        <v>1479</v>
      </c>
      <c r="E216" s="22" t="s">
        <v>19</v>
      </c>
      <c r="F216" s="22" t="s">
        <v>1473</v>
      </c>
      <c r="G216" s="22">
        <v>10.69</v>
      </c>
      <c r="H216" s="22">
        <v>5</v>
      </c>
      <c r="I216" s="22">
        <v>2.6724999999999999</v>
      </c>
      <c r="J216" s="23">
        <v>56.122500000000002</v>
      </c>
      <c r="K216" s="24" t="s">
        <v>1520</v>
      </c>
      <c r="L216" s="25">
        <v>0.46319444444444446</v>
      </c>
      <c r="M216" s="22" t="s">
        <v>1469</v>
      </c>
      <c r="N216" s="26">
        <v>53.45</v>
      </c>
      <c r="O216" s="27">
        <f t="shared" si="3"/>
        <v>4.761904762E-2</v>
      </c>
      <c r="P216" s="23">
        <v>2.6724999999999999</v>
      </c>
      <c r="Q216" s="28">
        <v>7.6</v>
      </c>
    </row>
    <row r="217" spans="1:17" x14ac:dyDescent="0.35">
      <c r="A217" s="21" t="s">
        <v>1739</v>
      </c>
      <c r="B217" s="22" t="s">
        <v>1459</v>
      </c>
      <c r="C217" s="22" t="s">
        <v>1460</v>
      </c>
      <c r="D217" s="22" t="s">
        <v>1479</v>
      </c>
      <c r="E217" s="22" t="s">
        <v>27</v>
      </c>
      <c r="F217" s="22" t="s">
        <v>1473</v>
      </c>
      <c r="G217" s="22">
        <v>55.5</v>
      </c>
      <c r="H217" s="22">
        <v>4</v>
      </c>
      <c r="I217" s="22">
        <v>11.1</v>
      </c>
      <c r="J217" s="23">
        <v>233.1</v>
      </c>
      <c r="K217" s="24" t="s">
        <v>1483</v>
      </c>
      <c r="L217" s="25">
        <v>0.65833333333333333</v>
      </c>
      <c r="M217" s="22" t="s">
        <v>1477</v>
      </c>
      <c r="N217" s="26">
        <v>222</v>
      </c>
      <c r="O217" s="27">
        <f t="shared" si="3"/>
        <v>4.761904762E-2</v>
      </c>
      <c r="P217" s="23">
        <v>11.1</v>
      </c>
      <c r="Q217" s="28">
        <v>6.6</v>
      </c>
    </row>
    <row r="218" spans="1:17" x14ac:dyDescent="0.35">
      <c r="A218" s="21" t="s">
        <v>1740</v>
      </c>
      <c r="B218" s="22" t="s">
        <v>1466</v>
      </c>
      <c r="C218" s="22" t="s">
        <v>1467</v>
      </c>
      <c r="D218" s="22" t="s">
        <v>1461</v>
      </c>
      <c r="E218" s="22" t="s">
        <v>19</v>
      </c>
      <c r="F218" s="22" t="s">
        <v>1482</v>
      </c>
      <c r="G218" s="22">
        <v>95.46</v>
      </c>
      <c r="H218" s="22">
        <v>8</v>
      </c>
      <c r="I218" s="22">
        <v>38.183999999999997</v>
      </c>
      <c r="J218" s="23">
        <v>801.86400000000003</v>
      </c>
      <c r="K218" s="24">
        <v>43588</v>
      </c>
      <c r="L218" s="25">
        <v>0.81944444444444442</v>
      </c>
      <c r="M218" s="22" t="s">
        <v>1469</v>
      </c>
      <c r="N218" s="26">
        <v>763.68</v>
      </c>
      <c r="O218" s="27">
        <f t="shared" si="3"/>
        <v>4.761904762E-2</v>
      </c>
      <c r="P218" s="23">
        <v>38.183999999999997</v>
      </c>
      <c r="Q218" s="28">
        <v>4.7</v>
      </c>
    </row>
    <row r="219" spans="1:17" x14ac:dyDescent="0.35">
      <c r="A219" s="21" t="s">
        <v>1741</v>
      </c>
      <c r="B219" s="22" t="s">
        <v>1475</v>
      </c>
      <c r="C219" s="22" t="s">
        <v>1476</v>
      </c>
      <c r="D219" s="22" t="s">
        <v>1461</v>
      </c>
      <c r="E219" s="22" t="s">
        <v>19</v>
      </c>
      <c r="F219" s="22" t="s">
        <v>1468</v>
      </c>
      <c r="G219" s="22">
        <v>76.06</v>
      </c>
      <c r="H219" s="22">
        <v>3</v>
      </c>
      <c r="I219" s="22">
        <v>11.409000000000001</v>
      </c>
      <c r="J219" s="23">
        <v>239.589</v>
      </c>
      <c r="K219" s="24">
        <v>43586</v>
      </c>
      <c r="L219" s="25">
        <v>0.85416666666666663</v>
      </c>
      <c r="M219" s="22" t="s">
        <v>1477</v>
      </c>
      <c r="N219" s="26">
        <v>228.18</v>
      </c>
      <c r="O219" s="27">
        <f t="shared" si="3"/>
        <v>4.761904762E-2</v>
      </c>
      <c r="P219" s="23">
        <v>11.409000000000001</v>
      </c>
      <c r="Q219" s="28">
        <v>9.8000000000000007</v>
      </c>
    </row>
    <row r="220" spans="1:17" x14ac:dyDescent="0.35">
      <c r="A220" s="21" t="s">
        <v>1742</v>
      </c>
      <c r="B220" s="22" t="s">
        <v>1466</v>
      </c>
      <c r="C220" s="22" t="s">
        <v>1467</v>
      </c>
      <c r="D220" s="22" t="s">
        <v>1461</v>
      </c>
      <c r="E220" s="22" t="s">
        <v>27</v>
      </c>
      <c r="F220" s="22" t="s">
        <v>1501</v>
      </c>
      <c r="G220" s="22">
        <v>13.69</v>
      </c>
      <c r="H220" s="22">
        <v>6</v>
      </c>
      <c r="I220" s="22">
        <v>4.1070000000000002</v>
      </c>
      <c r="J220" s="23">
        <v>86.247</v>
      </c>
      <c r="K220" s="24" t="s">
        <v>1525</v>
      </c>
      <c r="L220" s="25">
        <v>0.58263888888888893</v>
      </c>
      <c r="M220" s="22" t="s">
        <v>1464</v>
      </c>
      <c r="N220" s="26">
        <v>82.14</v>
      </c>
      <c r="O220" s="27">
        <f t="shared" si="3"/>
        <v>4.761904762E-2</v>
      </c>
      <c r="P220" s="23">
        <v>4.1070000000000002</v>
      </c>
      <c r="Q220" s="28">
        <v>6.3</v>
      </c>
    </row>
    <row r="221" spans="1:17" x14ac:dyDescent="0.35">
      <c r="A221" s="21" t="s">
        <v>1743</v>
      </c>
      <c r="B221" s="22" t="s">
        <v>1466</v>
      </c>
      <c r="C221" s="22" t="s">
        <v>1467</v>
      </c>
      <c r="D221" s="22" t="s">
        <v>1461</v>
      </c>
      <c r="E221" s="22" t="s">
        <v>19</v>
      </c>
      <c r="F221" s="22" t="s">
        <v>1462</v>
      </c>
      <c r="G221" s="22">
        <v>95.64</v>
      </c>
      <c r="H221" s="22">
        <v>4</v>
      </c>
      <c r="I221" s="22">
        <v>19.128</v>
      </c>
      <c r="J221" s="23">
        <v>401.68799999999999</v>
      </c>
      <c r="K221" s="24" t="s">
        <v>1702</v>
      </c>
      <c r="L221" s="25">
        <v>0.78541666666666665</v>
      </c>
      <c r="M221" s="22" t="s">
        <v>1464</v>
      </c>
      <c r="N221" s="26">
        <v>382.56</v>
      </c>
      <c r="O221" s="27">
        <f t="shared" si="3"/>
        <v>4.761904762E-2</v>
      </c>
      <c r="P221" s="23">
        <v>19.128</v>
      </c>
      <c r="Q221" s="28">
        <v>7.9</v>
      </c>
    </row>
    <row r="222" spans="1:17" x14ac:dyDescent="0.35">
      <c r="A222" s="21" t="s">
        <v>1744</v>
      </c>
      <c r="B222" s="22" t="s">
        <v>1459</v>
      </c>
      <c r="C222" s="22" t="s">
        <v>1460</v>
      </c>
      <c r="D222" s="22" t="s">
        <v>1461</v>
      </c>
      <c r="E222" s="22" t="s">
        <v>19</v>
      </c>
      <c r="F222" s="22" t="s">
        <v>1482</v>
      </c>
      <c r="G222" s="22">
        <v>11.43</v>
      </c>
      <c r="H222" s="22">
        <v>6</v>
      </c>
      <c r="I222" s="22">
        <v>3.4289999999999998</v>
      </c>
      <c r="J222" s="23">
        <v>72.009</v>
      </c>
      <c r="K222" s="24" t="s">
        <v>1589</v>
      </c>
      <c r="L222" s="25">
        <v>0.72499999999999998</v>
      </c>
      <c r="M222" s="22" t="s">
        <v>1464</v>
      </c>
      <c r="N222" s="26">
        <v>68.58</v>
      </c>
      <c r="O222" s="27">
        <f t="shared" si="3"/>
        <v>4.761904762E-2</v>
      </c>
      <c r="P222" s="23">
        <v>3.4289999999999998</v>
      </c>
      <c r="Q222" s="28">
        <v>7.7</v>
      </c>
    </row>
    <row r="223" spans="1:17" x14ac:dyDescent="0.35">
      <c r="A223" s="21" t="s">
        <v>1745</v>
      </c>
      <c r="B223" s="22" t="s">
        <v>1466</v>
      </c>
      <c r="C223" s="22" t="s">
        <v>1467</v>
      </c>
      <c r="D223" s="22" t="s">
        <v>1479</v>
      </c>
      <c r="E223" s="22" t="s">
        <v>19</v>
      </c>
      <c r="F223" s="22" t="s">
        <v>1501</v>
      </c>
      <c r="G223" s="22">
        <v>95.54</v>
      </c>
      <c r="H223" s="22">
        <v>4</v>
      </c>
      <c r="I223" s="22">
        <v>19.108000000000001</v>
      </c>
      <c r="J223" s="23">
        <v>401.26799999999997</v>
      </c>
      <c r="K223" s="24" t="s">
        <v>1626</v>
      </c>
      <c r="L223" s="25">
        <v>0.49861111111111112</v>
      </c>
      <c r="M223" s="22" t="s">
        <v>1469</v>
      </c>
      <c r="N223" s="26">
        <v>382.16</v>
      </c>
      <c r="O223" s="27">
        <f t="shared" si="3"/>
        <v>4.761904762E-2</v>
      </c>
      <c r="P223" s="23">
        <v>19.108000000000001</v>
      </c>
      <c r="Q223" s="28">
        <v>4.5</v>
      </c>
    </row>
    <row r="224" spans="1:17" x14ac:dyDescent="0.35">
      <c r="A224" s="21" t="s">
        <v>1746</v>
      </c>
      <c r="B224" s="22" t="s">
        <v>1475</v>
      </c>
      <c r="C224" s="22" t="s">
        <v>1476</v>
      </c>
      <c r="D224" s="22" t="s">
        <v>1479</v>
      </c>
      <c r="E224" s="22" t="s">
        <v>19</v>
      </c>
      <c r="F224" s="22" t="s">
        <v>1473</v>
      </c>
      <c r="G224" s="22">
        <v>85.87</v>
      </c>
      <c r="H224" s="22">
        <v>7</v>
      </c>
      <c r="I224" s="22">
        <v>30.054500000000001</v>
      </c>
      <c r="J224" s="23">
        <v>631.14449999999999</v>
      </c>
      <c r="K224" s="24" t="s">
        <v>1599</v>
      </c>
      <c r="L224" s="25">
        <v>0.79236111111111107</v>
      </c>
      <c r="M224" s="22" t="s">
        <v>1477</v>
      </c>
      <c r="N224" s="26">
        <v>601.09</v>
      </c>
      <c r="O224" s="27">
        <f t="shared" si="3"/>
        <v>4.761904762E-2</v>
      </c>
      <c r="P224" s="23">
        <v>30.054500000000001</v>
      </c>
      <c r="Q224" s="28">
        <v>8</v>
      </c>
    </row>
    <row r="225" spans="1:17" x14ac:dyDescent="0.35">
      <c r="A225" s="21" t="s">
        <v>1747</v>
      </c>
      <c r="B225" s="22" t="s">
        <v>1475</v>
      </c>
      <c r="C225" s="22" t="s">
        <v>1476</v>
      </c>
      <c r="D225" s="22" t="s">
        <v>1479</v>
      </c>
      <c r="E225" s="22" t="s">
        <v>19</v>
      </c>
      <c r="F225" s="22" t="s">
        <v>1501</v>
      </c>
      <c r="G225" s="22">
        <v>67.989999999999995</v>
      </c>
      <c r="H225" s="22">
        <v>7</v>
      </c>
      <c r="I225" s="22">
        <v>23.796500000000002</v>
      </c>
      <c r="J225" s="23">
        <v>499.72649999999999</v>
      </c>
      <c r="K225" s="24" t="s">
        <v>1546</v>
      </c>
      <c r="L225" s="25">
        <v>0.70138888888888884</v>
      </c>
      <c r="M225" s="22" t="s">
        <v>1469</v>
      </c>
      <c r="N225" s="26">
        <v>475.93</v>
      </c>
      <c r="O225" s="27">
        <f t="shared" si="3"/>
        <v>4.761904762E-2</v>
      </c>
      <c r="P225" s="23">
        <v>23.796500000000002</v>
      </c>
      <c r="Q225" s="28">
        <v>5.7</v>
      </c>
    </row>
    <row r="226" spans="1:17" x14ac:dyDescent="0.35">
      <c r="A226" s="21" t="s">
        <v>1748</v>
      </c>
      <c r="B226" s="22" t="s">
        <v>1475</v>
      </c>
      <c r="C226" s="22" t="s">
        <v>1476</v>
      </c>
      <c r="D226" s="22" t="s">
        <v>1461</v>
      </c>
      <c r="E226" s="22" t="s">
        <v>19</v>
      </c>
      <c r="F226" s="22" t="s">
        <v>1486</v>
      </c>
      <c r="G226" s="22">
        <v>52.42</v>
      </c>
      <c r="H226" s="22">
        <v>1</v>
      </c>
      <c r="I226" s="22">
        <v>2.621</v>
      </c>
      <c r="J226" s="23">
        <v>55.040999999999997</v>
      </c>
      <c r="K226" s="24">
        <v>43618</v>
      </c>
      <c r="L226" s="25">
        <v>0.43194444444444446</v>
      </c>
      <c r="M226" s="22" t="s">
        <v>1477</v>
      </c>
      <c r="N226" s="26">
        <v>52.42</v>
      </c>
      <c r="O226" s="27">
        <f t="shared" si="3"/>
        <v>4.761904762E-2</v>
      </c>
      <c r="P226" s="23">
        <v>2.621</v>
      </c>
      <c r="Q226" s="28">
        <v>6.3</v>
      </c>
    </row>
    <row r="227" spans="1:17" x14ac:dyDescent="0.35">
      <c r="A227" s="21" t="s">
        <v>1749</v>
      </c>
      <c r="B227" s="22" t="s">
        <v>1475</v>
      </c>
      <c r="C227" s="22" t="s">
        <v>1476</v>
      </c>
      <c r="D227" s="22" t="s">
        <v>1479</v>
      </c>
      <c r="E227" s="22" t="s">
        <v>27</v>
      </c>
      <c r="F227" s="22" t="s">
        <v>1486</v>
      </c>
      <c r="G227" s="22">
        <v>65.650000000000006</v>
      </c>
      <c r="H227" s="22">
        <v>2</v>
      </c>
      <c r="I227" s="22">
        <v>6.5650000000000004</v>
      </c>
      <c r="J227" s="23">
        <v>137.86500000000001</v>
      </c>
      <c r="K227" s="24" t="s">
        <v>1499</v>
      </c>
      <c r="L227" s="25">
        <v>0.69861111111111107</v>
      </c>
      <c r="M227" s="22" t="s">
        <v>1464</v>
      </c>
      <c r="N227" s="26">
        <v>131.30000000000001</v>
      </c>
      <c r="O227" s="27">
        <f t="shared" si="3"/>
        <v>4.761904762E-2</v>
      </c>
      <c r="P227" s="23">
        <v>6.5650000000000004</v>
      </c>
      <c r="Q227" s="28">
        <v>6</v>
      </c>
    </row>
    <row r="228" spans="1:17" x14ac:dyDescent="0.35">
      <c r="A228" s="21" t="s">
        <v>1750</v>
      </c>
      <c r="B228" s="22" t="s">
        <v>1466</v>
      </c>
      <c r="C228" s="22" t="s">
        <v>1467</v>
      </c>
      <c r="D228" s="22" t="s">
        <v>1461</v>
      </c>
      <c r="E228" s="22" t="s">
        <v>19</v>
      </c>
      <c r="F228" s="22" t="s">
        <v>1486</v>
      </c>
      <c r="G228" s="22">
        <v>28.86</v>
      </c>
      <c r="H228" s="22">
        <v>5</v>
      </c>
      <c r="I228" s="22">
        <v>7.2149999999999999</v>
      </c>
      <c r="J228" s="23">
        <v>151.51499999999999</v>
      </c>
      <c r="K228" s="24" t="s">
        <v>1617</v>
      </c>
      <c r="L228" s="25">
        <v>0.75555555555555554</v>
      </c>
      <c r="M228" s="22" t="s">
        <v>1477</v>
      </c>
      <c r="N228" s="26">
        <v>144.30000000000001</v>
      </c>
      <c r="O228" s="27">
        <f t="shared" si="3"/>
        <v>4.761904762E-2</v>
      </c>
      <c r="P228" s="23">
        <v>7.2149999999999999</v>
      </c>
      <c r="Q228" s="28">
        <v>8</v>
      </c>
    </row>
    <row r="229" spans="1:17" x14ac:dyDescent="0.35">
      <c r="A229" s="21" t="s">
        <v>1751</v>
      </c>
      <c r="B229" s="22" t="s">
        <v>1475</v>
      </c>
      <c r="C229" s="22" t="s">
        <v>1476</v>
      </c>
      <c r="D229" s="22" t="s">
        <v>1479</v>
      </c>
      <c r="E229" s="22" t="s">
        <v>27</v>
      </c>
      <c r="F229" s="22" t="s">
        <v>1473</v>
      </c>
      <c r="G229" s="22">
        <v>65.31</v>
      </c>
      <c r="H229" s="22">
        <v>7</v>
      </c>
      <c r="I229" s="22">
        <v>22.858499999999999</v>
      </c>
      <c r="J229" s="23">
        <v>480.02850000000001</v>
      </c>
      <c r="K229" s="24">
        <v>43588</v>
      </c>
      <c r="L229" s="25">
        <v>0.75138888888888888</v>
      </c>
      <c r="M229" s="22" t="s">
        <v>1477</v>
      </c>
      <c r="N229" s="26">
        <v>457.17</v>
      </c>
      <c r="O229" s="27">
        <f t="shared" si="3"/>
        <v>4.761904762E-2</v>
      </c>
      <c r="P229" s="23">
        <v>22.858499999999999</v>
      </c>
      <c r="Q229" s="28">
        <v>4.2</v>
      </c>
    </row>
    <row r="230" spans="1:17" x14ac:dyDescent="0.35">
      <c r="A230" s="21" t="s">
        <v>1752</v>
      </c>
      <c r="B230" s="22" t="s">
        <v>1466</v>
      </c>
      <c r="C230" s="22" t="s">
        <v>1467</v>
      </c>
      <c r="D230" s="22" t="s">
        <v>1461</v>
      </c>
      <c r="E230" s="22" t="s">
        <v>27</v>
      </c>
      <c r="F230" s="22" t="s">
        <v>1501</v>
      </c>
      <c r="G230" s="22">
        <v>93.38</v>
      </c>
      <c r="H230" s="22">
        <v>1</v>
      </c>
      <c r="I230" s="22">
        <v>4.6689999999999996</v>
      </c>
      <c r="J230" s="23">
        <v>98.049000000000007</v>
      </c>
      <c r="K230" s="24">
        <v>43525</v>
      </c>
      <c r="L230" s="25">
        <v>0.54652777777777772</v>
      </c>
      <c r="M230" s="22" t="s">
        <v>1464</v>
      </c>
      <c r="N230" s="26">
        <v>93.38</v>
      </c>
      <c r="O230" s="27">
        <f t="shared" si="3"/>
        <v>4.761904762E-2</v>
      </c>
      <c r="P230" s="23">
        <v>4.6689999999999996</v>
      </c>
      <c r="Q230" s="28">
        <v>9.6</v>
      </c>
    </row>
    <row r="231" spans="1:17" x14ac:dyDescent="0.35">
      <c r="A231" s="21" t="s">
        <v>1753</v>
      </c>
      <c r="B231" s="22" t="s">
        <v>1475</v>
      </c>
      <c r="C231" s="22" t="s">
        <v>1476</v>
      </c>
      <c r="D231" s="22" t="s">
        <v>1479</v>
      </c>
      <c r="E231" s="22" t="s">
        <v>27</v>
      </c>
      <c r="F231" s="22" t="s">
        <v>1501</v>
      </c>
      <c r="G231" s="22">
        <v>25.25</v>
      </c>
      <c r="H231" s="22">
        <v>5</v>
      </c>
      <c r="I231" s="22">
        <v>6.3125</v>
      </c>
      <c r="J231" s="23">
        <v>132.5625</v>
      </c>
      <c r="K231" s="24" t="s">
        <v>1496</v>
      </c>
      <c r="L231" s="25">
        <v>0.74444444444444446</v>
      </c>
      <c r="M231" s="22" t="s">
        <v>1464</v>
      </c>
      <c r="N231" s="26">
        <v>126.25</v>
      </c>
      <c r="O231" s="27">
        <f t="shared" si="3"/>
        <v>4.761904762E-2</v>
      </c>
      <c r="P231" s="23">
        <v>6.3125</v>
      </c>
      <c r="Q231" s="28">
        <v>6.1</v>
      </c>
    </row>
    <row r="232" spans="1:17" x14ac:dyDescent="0.35">
      <c r="A232" s="21" t="s">
        <v>1754</v>
      </c>
      <c r="B232" s="22" t="s">
        <v>1466</v>
      </c>
      <c r="C232" s="22" t="s">
        <v>1467</v>
      </c>
      <c r="D232" s="22" t="s">
        <v>1479</v>
      </c>
      <c r="E232" s="22" t="s">
        <v>27</v>
      </c>
      <c r="F232" s="22" t="s">
        <v>1462</v>
      </c>
      <c r="G232" s="22">
        <v>87.87</v>
      </c>
      <c r="H232" s="22">
        <v>9</v>
      </c>
      <c r="I232" s="22">
        <v>39.541499999999999</v>
      </c>
      <c r="J232" s="23">
        <v>830.37149999999997</v>
      </c>
      <c r="K232" s="24" t="s">
        <v>1677</v>
      </c>
      <c r="L232" s="25">
        <v>0.85555555555555551</v>
      </c>
      <c r="M232" s="22" t="s">
        <v>1469</v>
      </c>
      <c r="N232" s="26">
        <v>790.83</v>
      </c>
      <c r="O232" s="27">
        <f t="shared" si="3"/>
        <v>4.761904762E-2</v>
      </c>
      <c r="P232" s="23">
        <v>39.541499999999999</v>
      </c>
      <c r="Q232" s="28">
        <v>5.6</v>
      </c>
    </row>
    <row r="233" spans="1:17" x14ac:dyDescent="0.35">
      <c r="A233" s="21" t="s">
        <v>1755</v>
      </c>
      <c r="B233" s="22" t="s">
        <v>1475</v>
      </c>
      <c r="C233" s="22" t="s">
        <v>1476</v>
      </c>
      <c r="D233" s="22" t="s">
        <v>1461</v>
      </c>
      <c r="E233" s="22" t="s">
        <v>27</v>
      </c>
      <c r="F233" s="22" t="s">
        <v>1473</v>
      </c>
      <c r="G233" s="22">
        <v>21.8</v>
      </c>
      <c r="H233" s="22">
        <v>8</v>
      </c>
      <c r="I233" s="22">
        <v>8.7200000000000006</v>
      </c>
      <c r="J233" s="23">
        <v>183.12</v>
      </c>
      <c r="K233" s="24" t="s">
        <v>1645</v>
      </c>
      <c r="L233" s="25">
        <v>0.80833333333333335</v>
      </c>
      <c r="M233" s="22" t="s">
        <v>1464</v>
      </c>
      <c r="N233" s="26">
        <v>174.4</v>
      </c>
      <c r="O233" s="27">
        <f t="shared" si="3"/>
        <v>4.761904762E-2</v>
      </c>
      <c r="P233" s="23">
        <v>8.7200000000000006</v>
      </c>
      <c r="Q233" s="28">
        <v>8.3000000000000007</v>
      </c>
    </row>
    <row r="234" spans="1:17" x14ac:dyDescent="0.35">
      <c r="A234" s="21" t="s">
        <v>1756</v>
      </c>
      <c r="B234" s="22" t="s">
        <v>1459</v>
      </c>
      <c r="C234" s="22" t="s">
        <v>1460</v>
      </c>
      <c r="D234" s="22" t="s">
        <v>1461</v>
      </c>
      <c r="E234" s="22" t="s">
        <v>19</v>
      </c>
      <c r="F234" s="22" t="s">
        <v>1501</v>
      </c>
      <c r="G234" s="22">
        <v>94.76</v>
      </c>
      <c r="H234" s="22">
        <v>4</v>
      </c>
      <c r="I234" s="22">
        <v>18.952000000000002</v>
      </c>
      <c r="J234" s="23">
        <v>397.99200000000002</v>
      </c>
      <c r="K234" s="24">
        <v>43771</v>
      </c>
      <c r="L234" s="25">
        <v>0.67083333333333328</v>
      </c>
      <c r="M234" s="22" t="s">
        <v>1469</v>
      </c>
      <c r="N234" s="26">
        <v>379.04</v>
      </c>
      <c r="O234" s="27">
        <f t="shared" si="3"/>
        <v>4.761904762E-2</v>
      </c>
      <c r="P234" s="23">
        <v>18.952000000000002</v>
      </c>
      <c r="Q234" s="28">
        <v>7.8</v>
      </c>
    </row>
    <row r="235" spans="1:17" x14ac:dyDescent="0.35">
      <c r="A235" s="21" t="s">
        <v>1757</v>
      </c>
      <c r="B235" s="22" t="s">
        <v>1459</v>
      </c>
      <c r="C235" s="22" t="s">
        <v>1460</v>
      </c>
      <c r="D235" s="22" t="s">
        <v>1479</v>
      </c>
      <c r="E235" s="22" t="s">
        <v>19</v>
      </c>
      <c r="F235" s="22" t="s">
        <v>1468</v>
      </c>
      <c r="G235" s="22">
        <v>30.62</v>
      </c>
      <c r="H235" s="22">
        <v>1</v>
      </c>
      <c r="I235" s="22">
        <v>1.5309999999999999</v>
      </c>
      <c r="J235" s="23">
        <v>32.151000000000003</v>
      </c>
      <c r="K235" s="24">
        <v>43587</v>
      </c>
      <c r="L235" s="25">
        <v>0.59305555555555556</v>
      </c>
      <c r="M235" s="22" t="s">
        <v>1477</v>
      </c>
      <c r="N235" s="26">
        <v>30.62</v>
      </c>
      <c r="O235" s="27">
        <f t="shared" si="3"/>
        <v>4.761904762E-2</v>
      </c>
      <c r="P235" s="23">
        <v>1.5309999999999999</v>
      </c>
      <c r="Q235" s="28">
        <v>4.0999999999999996</v>
      </c>
    </row>
    <row r="236" spans="1:17" x14ac:dyDescent="0.35">
      <c r="A236" s="21" t="s">
        <v>1758</v>
      </c>
      <c r="B236" s="22" t="s">
        <v>1475</v>
      </c>
      <c r="C236" s="22" t="s">
        <v>1476</v>
      </c>
      <c r="D236" s="22" t="s">
        <v>1461</v>
      </c>
      <c r="E236" s="22" t="s">
        <v>19</v>
      </c>
      <c r="F236" s="22" t="s">
        <v>1482</v>
      </c>
      <c r="G236" s="22">
        <v>44.01</v>
      </c>
      <c r="H236" s="22">
        <v>8</v>
      </c>
      <c r="I236" s="22">
        <v>17.603999999999999</v>
      </c>
      <c r="J236" s="23">
        <v>369.68400000000003</v>
      </c>
      <c r="K236" s="24">
        <v>43527</v>
      </c>
      <c r="L236" s="25">
        <v>0.73333333333333328</v>
      </c>
      <c r="M236" s="22" t="s">
        <v>1464</v>
      </c>
      <c r="N236" s="26">
        <v>352.08</v>
      </c>
      <c r="O236" s="27">
        <f t="shared" si="3"/>
        <v>4.761904762E-2</v>
      </c>
      <c r="P236" s="23">
        <v>17.603999999999999</v>
      </c>
      <c r="Q236" s="28">
        <v>8.8000000000000007</v>
      </c>
    </row>
    <row r="237" spans="1:17" x14ac:dyDescent="0.35">
      <c r="A237" s="21" t="s">
        <v>1759</v>
      </c>
      <c r="B237" s="22" t="s">
        <v>1475</v>
      </c>
      <c r="C237" s="22" t="s">
        <v>1476</v>
      </c>
      <c r="D237" s="22" t="s">
        <v>1479</v>
      </c>
      <c r="E237" s="22" t="s">
        <v>19</v>
      </c>
      <c r="F237" s="22" t="s">
        <v>1473</v>
      </c>
      <c r="G237" s="22">
        <v>10.16</v>
      </c>
      <c r="H237" s="22">
        <v>5</v>
      </c>
      <c r="I237" s="22">
        <v>2.54</v>
      </c>
      <c r="J237" s="23">
        <v>53.34</v>
      </c>
      <c r="K237" s="24" t="s">
        <v>1614</v>
      </c>
      <c r="L237" s="25">
        <v>0.54722222222222228</v>
      </c>
      <c r="M237" s="22" t="s">
        <v>1469</v>
      </c>
      <c r="N237" s="26">
        <v>50.8</v>
      </c>
      <c r="O237" s="27">
        <f t="shared" si="3"/>
        <v>4.761904762E-2</v>
      </c>
      <c r="P237" s="23">
        <v>2.54</v>
      </c>
      <c r="Q237" s="28">
        <v>4.0999999999999996</v>
      </c>
    </row>
    <row r="238" spans="1:17" x14ac:dyDescent="0.35">
      <c r="A238" s="21" t="s">
        <v>1760</v>
      </c>
      <c r="B238" s="22" t="s">
        <v>1459</v>
      </c>
      <c r="C238" s="22" t="s">
        <v>1460</v>
      </c>
      <c r="D238" s="22" t="s">
        <v>1461</v>
      </c>
      <c r="E238" s="22" t="s">
        <v>27</v>
      </c>
      <c r="F238" s="22" t="s">
        <v>1462</v>
      </c>
      <c r="G238" s="22">
        <v>74.58</v>
      </c>
      <c r="H238" s="22">
        <v>7</v>
      </c>
      <c r="I238" s="22">
        <v>26.103000000000002</v>
      </c>
      <c r="J238" s="23">
        <v>548.16300000000001</v>
      </c>
      <c r="K238" s="24">
        <v>43557</v>
      </c>
      <c r="L238" s="25">
        <v>0.67291666666666672</v>
      </c>
      <c r="M238" s="22" t="s">
        <v>1477</v>
      </c>
      <c r="N238" s="26">
        <v>522.05999999999995</v>
      </c>
      <c r="O238" s="27">
        <f t="shared" si="3"/>
        <v>4.761904762E-2</v>
      </c>
      <c r="P238" s="23">
        <v>26.103000000000002</v>
      </c>
      <c r="Q238" s="28">
        <v>9</v>
      </c>
    </row>
    <row r="239" spans="1:17" x14ac:dyDescent="0.35">
      <c r="A239" s="21" t="s">
        <v>1761</v>
      </c>
      <c r="B239" s="22" t="s">
        <v>1475</v>
      </c>
      <c r="C239" s="22" t="s">
        <v>1476</v>
      </c>
      <c r="D239" s="22" t="s">
        <v>1461</v>
      </c>
      <c r="E239" s="22" t="s">
        <v>27</v>
      </c>
      <c r="F239" s="22" t="s">
        <v>1462</v>
      </c>
      <c r="G239" s="22">
        <v>71.89</v>
      </c>
      <c r="H239" s="22">
        <v>8</v>
      </c>
      <c r="I239" s="22">
        <v>28.756</v>
      </c>
      <c r="J239" s="23">
        <v>603.87599999999998</v>
      </c>
      <c r="K239" s="24" t="s">
        <v>1645</v>
      </c>
      <c r="L239" s="25">
        <v>0.48125000000000001</v>
      </c>
      <c r="M239" s="22" t="s">
        <v>1469</v>
      </c>
      <c r="N239" s="26">
        <v>575.12</v>
      </c>
      <c r="O239" s="27">
        <f t="shared" si="3"/>
        <v>4.761904762E-2</v>
      </c>
      <c r="P239" s="23">
        <v>28.756</v>
      </c>
      <c r="Q239" s="28">
        <v>5.5</v>
      </c>
    </row>
    <row r="240" spans="1:17" x14ac:dyDescent="0.35">
      <c r="A240" s="21" t="s">
        <v>1762</v>
      </c>
      <c r="B240" s="22" t="s">
        <v>1475</v>
      </c>
      <c r="C240" s="22" t="s">
        <v>1476</v>
      </c>
      <c r="D240" s="22" t="s">
        <v>1461</v>
      </c>
      <c r="E240" s="22" t="s">
        <v>19</v>
      </c>
      <c r="F240" s="22" t="s">
        <v>1473</v>
      </c>
      <c r="G240" s="22">
        <v>10.99</v>
      </c>
      <c r="H240" s="22">
        <v>5</v>
      </c>
      <c r="I240" s="22">
        <v>2.7475000000000001</v>
      </c>
      <c r="J240" s="23">
        <v>57.697499999999998</v>
      </c>
      <c r="K240" s="24" t="s">
        <v>1463</v>
      </c>
      <c r="L240" s="25">
        <v>0.42916666666666664</v>
      </c>
      <c r="M240" s="22" t="s">
        <v>1477</v>
      </c>
      <c r="N240" s="26">
        <v>54.95</v>
      </c>
      <c r="O240" s="27">
        <f t="shared" si="3"/>
        <v>4.761904762E-2</v>
      </c>
      <c r="P240" s="23">
        <v>2.7475000000000001</v>
      </c>
      <c r="Q240" s="28">
        <v>9.3000000000000007</v>
      </c>
    </row>
    <row r="241" spans="1:17" x14ac:dyDescent="0.35">
      <c r="A241" s="21" t="s">
        <v>1763</v>
      </c>
      <c r="B241" s="22" t="s">
        <v>1475</v>
      </c>
      <c r="C241" s="22" t="s">
        <v>1476</v>
      </c>
      <c r="D241" s="22" t="s">
        <v>1479</v>
      </c>
      <c r="E241" s="22" t="s">
        <v>27</v>
      </c>
      <c r="F241" s="22" t="s">
        <v>1473</v>
      </c>
      <c r="G241" s="22">
        <v>60.47</v>
      </c>
      <c r="H241" s="22">
        <v>3</v>
      </c>
      <c r="I241" s="22">
        <v>9.0704999999999991</v>
      </c>
      <c r="J241" s="23">
        <v>190.48050000000001</v>
      </c>
      <c r="K241" s="24" t="s">
        <v>1518</v>
      </c>
      <c r="L241" s="25">
        <v>0.4548611111111111</v>
      </c>
      <c r="M241" s="22" t="s">
        <v>1477</v>
      </c>
      <c r="N241" s="26">
        <v>181.41</v>
      </c>
      <c r="O241" s="27">
        <f t="shared" si="3"/>
        <v>4.761904762E-2</v>
      </c>
      <c r="P241" s="23">
        <v>9.0704999999999991</v>
      </c>
      <c r="Q241" s="28">
        <v>5.6</v>
      </c>
    </row>
    <row r="242" spans="1:17" x14ac:dyDescent="0.35">
      <c r="A242" s="21" t="s">
        <v>1764</v>
      </c>
      <c r="B242" s="22" t="s">
        <v>1459</v>
      </c>
      <c r="C242" s="22" t="s">
        <v>1460</v>
      </c>
      <c r="D242" s="22" t="s">
        <v>1461</v>
      </c>
      <c r="E242" s="22" t="s">
        <v>27</v>
      </c>
      <c r="F242" s="22" t="s">
        <v>1501</v>
      </c>
      <c r="G242" s="22">
        <v>58.91</v>
      </c>
      <c r="H242" s="22">
        <v>7</v>
      </c>
      <c r="I242" s="22">
        <v>20.618500000000001</v>
      </c>
      <c r="J242" s="23">
        <v>432.98849999999999</v>
      </c>
      <c r="K242" s="24" t="s">
        <v>1499</v>
      </c>
      <c r="L242" s="25">
        <v>0.63541666666666663</v>
      </c>
      <c r="M242" s="22" t="s">
        <v>1469</v>
      </c>
      <c r="N242" s="26">
        <v>412.37</v>
      </c>
      <c r="O242" s="27">
        <f t="shared" si="3"/>
        <v>4.761904762E-2</v>
      </c>
      <c r="P242" s="23">
        <v>20.618500000000001</v>
      </c>
      <c r="Q242" s="28">
        <v>9.6999999999999993</v>
      </c>
    </row>
    <row r="243" spans="1:17" x14ac:dyDescent="0.35">
      <c r="A243" s="21" t="s">
        <v>1765</v>
      </c>
      <c r="B243" s="22" t="s">
        <v>1459</v>
      </c>
      <c r="C243" s="22" t="s">
        <v>1460</v>
      </c>
      <c r="D243" s="22" t="s">
        <v>1461</v>
      </c>
      <c r="E243" s="22" t="s">
        <v>27</v>
      </c>
      <c r="F243" s="22" t="s">
        <v>1468</v>
      </c>
      <c r="G243" s="22">
        <v>46.41</v>
      </c>
      <c r="H243" s="22">
        <v>1</v>
      </c>
      <c r="I243" s="22">
        <v>2.3205</v>
      </c>
      <c r="J243" s="23">
        <v>48.730499999999999</v>
      </c>
      <c r="K243" s="24">
        <v>43527</v>
      </c>
      <c r="L243" s="25">
        <v>0.83750000000000002</v>
      </c>
      <c r="M243" s="22" t="s">
        <v>1477</v>
      </c>
      <c r="N243" s="26">
        <v>46.41</v>
      </c>
      <c r="O243" s="27">
        <f t="shared" si="3"/>
        <v>4.761904762E-2</v>
      </c>
      <c r="P243" s="23">
        <v>2.3205</v>
      </c>
      <c r="Q243" s="28">
        <v>4</v>
      </c>
    </row>
    <row r="244" spans="1:17" x14ac:dyDescent="0.35">
      <c r="A244" s="21" t="s">
        <v>1766</v>
      </c>
      <c r="B244" s="22" t="s">
        <v>1475</v>
      </c>
      <c r="C244" s="22" t="s">
        <v>1476</v>
      </c>
      <c r="D244" s="22" t="s">
        <v>1479</v>
      </c>
      <c r="E244" s="22" t="s">
        <v>27</v>
      </c>
      <c r="F244" s="22" t="s">
        <v>1473</v>
      </c>
      <c r="G244" s="22">
        <v>68.55</v>
      </c>
      <c r="H244" s="22">
        <v>4</v>
      </c>
      <c r="I244" s="22">
        <v>13.71</v>
      </c>
      <c r="J244" s="23">
        <v>287.91000000000003</v>
      </c>
      <c r="K244" s="24" t="s">
        <v>1544</v>
      </c>
      <c r="L244" s="25">
        <v>0.84791666666666665</v>
      </c>
      <c r="M244" s="22" t="s">
        <v>1477</v>
      </c>
      <c r="N244" s="26">
        <v>274.2</v>
      </c>
      <c r="O244" s="27">
        <f t="shared" si="3"/>
        <v>4.761904762E-2</v>
      </c>
      <c r="P244" s="23">
        <v>13.71</v>
      </c>
      <c r="Q244" s="28">
        <v>9.1999999999999993</v>
      </c>
    </row>
    <row r="245" spans="1:17" x14ac:dyDescent="0.35">
      <c r="A245" s="21" t="s">
        <v>1767</v>
      </c>
      <c r="B245" s="22" t="s">
        <v>1466</v>
      </c>
      <c r="C245" s="22" t="s">
        <v>1467</v>
      </c>
      <c r="D245" s="22" t="s">
        <v>1461</v>
      </c>
      <c r="E245" s="22" t="s">
        <v>19</v>
      </c>
      <c r="F245" s="22" t="s">
        <v>1482</v>
      </c>
      <c r="G245" s="22">
        <v>97.37</v>
      </c>
      <c r="H245" s="22">
        <v>10</v>
      </c>
      <c r="I245" s="22">
        <v>48.685000000000002</v>
      </c>
      <c r="J245" s="23">
        <v>1022.385</v>
      </c>
      <c r="K245" s="24" t="s">
        <v>1589</v>
      </c>
      <c r="L245" s="25">
        <v>0.57499999999999996</v>
      </c>
      <c r="M245" s="22" t="s">
        <v>1477</v>
      </c>
      <c r="N245" s="26">
        <v>973.7</v>
      </c>
      <c r="O245" s="27">
        <f t="shared" si="3"/>
        <v>4.761904762E-2</v>
      </c>
      <c r="P245" s="23">
        <v>48.685000000000002</v>
      </c>
      <c r="Q245" s="28">
        <v>4.9000000000000004</v>
      </c>
    </row>
    <row r="246" spans="1:17" x14ac:dyDescent="0.35">
      <c r="A246" s="21" t="s">
        <v>1768</v>
      </c>
      <c r="B246" s="22" t="s">
        <v>1459</v>
      </c>
      <c r="C246" s="22" t="s">
        <v>1460</v>
      </c>
      <c r="D246" s="22" t="s">
        <v>1479</v>
      </c>
      <c r="E246" s="22" t="s">
        <v>27</v>
      </c>
      <c r="F246" s="22" t="s">
        <v>1462</v>
      </c>
      <c r="G246" s="22">
        <v>92.6</v>
      </c>
      <c r="H246" s="22">
        <v>7</v>
      </c>
      <c r="I246" s="22">
        <v>32.409999999999997</v>
      </c>
      <c r="J246" s="23">
        <v>680.61</v>
      </c>
      <c r="K246" s="24" t="s">
        <v>1599</v>
      </c>
      <c r="L246" s="25">
        <v>0.53611111111111109</v>
      </c>
      <c r="M246" s="22" t="s">
        <v>1477</v>
      </c>
      <c r="N246" s="26">
        <v>648.20000000000005</v>
      </c>
      <c r="O246" s="27">
        <f t="shared" si="3"/>
        <v>4.761904762E-2</v>
      </c>
      <c r="P246" s="23">
        <v>32.409999999999997</v>
      </c>
      <c r="Q246" s="28">
        <v>9.3000000000000007</v>
      </c>
    </row>
    <row r="247" spans="1:17" x14ac:dyDescent="0.35">
      <c r="A247" s="21" t="s">
        <v>1769</v>
      </c>
      <c r="B247" s="22" t="s">
        <v>1459</v>
      </c>
      <c r="C247" s="22" t="s">
        <v>1460</v>
      </c>
      <c r="D247" s="22" t="s">
        <v>1461</v>
      </c>
      <c r="E247" s="22" t="s">
        <v>19</v>
      </c>
      <c r="F247" s="22" t="s">
        <v>1462</v>
      </c>
      <c r="G247" s="22">
        <v>46.61</v>
      </c>
      <c r="H247" s="22">
        <v>2</v>
      </c>
      <c r="I247" s="22">
        <v>4.6609999999999996</v>
      </c>
      <c r="J247" s="23">
        <v>97.881</v>
      </c>
      <c r="K247" s="24" t="s">
        <v>1626</v>
      </c>
      <c r="L247" s="25">
        <v>0.51944444444444449</v>
      </c>
      <c r="M247" s="22" t="s">
        <v>1477</v>
      </c>
      <c r="N247" s="26">
        <v>93.22</v>
      </c>
      <c r="O247" s="27">
        <f t="shared" si="3"/>
        <v>4.761904762E-2</v>
      </c>
      <c r="P247" s="23">
        <v>4.6609999999999996</v>
      </c>
      <c r="Q247" s="28">
        <v>6.6</v>
      </c>
    </row>
    <row r="248" spans="1:17" x14ac:dyDescent="0.35">
      <c r="A248" s="21" t="s">
        <v>1770</v>
      </c>
      <c r="B248" s="22" t="s">
        <v>1466</v>
      </c>
      <c r="C248" s="22" t="s">
        <v>1467</v>
      </c>
      <c r="D248" s="22" t="s">
        <v>1461</v>
      </c>
      <c r="E248" s="22" t="s">
        <v>27</v>
      </c>
      <c r="F248" s="22" t="s">
        <v>1468</v>
      </c>
      <c r="G248" s="22">
        <v>27.18</v>
      </c>
      <c r="H248" s="22">
        <v>2</v>
      </c>
      <c r="I248" s="22">
        <v>2.718</v>
      </c>
      <c r="J248" s="23">
        <v>57.078000000000003</v>
      </c>
      <c r="K248" s="24" t="s">
        <v>1541</v>
      </c>
      <c r="L248" s="25">
        <v>0.68472222222222223</v>
      </c>
      <c r="M248" s="22" t="s">
        <v>1469</v>
      </c>
      <c r="N248" s="26">
        <v>54.36</v>
      </c>
      <c r="O248" s="27">
        <f t="shared" si="3"/>
        <v>4.761904762E-2</v>
      </c>
      <c r="P248" s="23">
        <v>2.718</v>
      </c>
      <c r="Q248" s="28">
        <v>4.3</v>
      </c>
    </row>
    <row r="249" spans="1:17" x14ac:dyDescent="0.35">
      <c r="A249" s="21" t="s">
        <v>1771</v>
      </c>
      <c r="B249" s="22" t="s">
        <v>1475</v>
      </c>
      <c r="C249" s="22" t="s">
        <v>1476</v>
      </c>
      <c r="D249" s="22" t="s">
        <v>1479</v>
      </c>
      <c r="E249" s="22" t="s">
        <v>19</v>
      </c>
      <c r="F249" s="22" t="s">
        <v>1482</v>
      </c>
      <c r="G249" s="22">
        <v>60.87</v>
      </c>
      <c r="H249" s="22">
        <v>1</v>
      </c>
      <c r="I249" s="22">
        <v>3.0434999999999999</v>
      </c>
      <c r="J249" s="23">
        <v>63.913499999999999</v>
      </c>
      <c r="K249" s="24" t="s">
        <v>1566</v>
      </c>
      <c r="L249" s="25">
        <v>0.55833333333333335</v>
      </c>
      <c r="M249" s="22" t="s">
        <v>1464</v>
      </c>
      <c r="N249" s="26">
        <v>60.87</v>
      </c>
      <c r="O249" s="27">
        <f t="shared" si="3"/>
        <v>4.761904762E-2</v>
      </c>
      <c r="P249" s="23">
        <v>3.0434999999999999</v>
      </c>
      <c r="Q249" s="28">
        <v>5.5</v>
      </c>
    </row>
    <row r="250" spans="1:17" x14ac:dyDescent="0.35">
      <c r="A250" s="21" t="s">
        <v>1772</v>
      </c>
      <c r="B250" s="22" t="s">
        <v>1459</v>
      </c>
      <c r="C250" s="22" t="s">
        <v>1460</v>
      </c>
      <c r="D250" s="22" t="s">
        <v>1479</v>
      </c>
      <c r="E250" s="22" t="s">
        <v>19</v>
      </c>
      <c r="F250" s="22" t="s">
        <v>1501</v>
      </c>
      <c r="G250" s="22">
        <v>24.49</v>
      </c>
      <c r="H250" s="22">
        <v>10</v>
      </c>
      <c r="I250" s="22">
        <v>12.244999999999999</v>
      </c>
      <c r="J250" s="23">
        <v>257.14499999999998</v>
      </c>
      <c r="K250" s="24" t="s">
        <v>1471</v>
      </c>
      <c r="L250" s="25">
        <v>0.63541666666666663</v>
      </c>
      <c r="M250" s="22" t="s">
        <v>1464</v>
      </c>
      <c r="N250" s="26">
        <v>244.9</v>
      </c>
      <c r="O250" s="27">
        <f t="shared" si="3"/>
        <v>4.761904762E-2</v>
      </c>
      <c r="P250" s="23">
        <v>12.244999999999999</v>
      </c>
      <c r="Q250" s="28">
        <v>8.1</v>
      </c>
    </row>
    <row r="251" spans="1:17" x14ac:dyDescent="0.35">
      <c r="A251" s="21" t="s">
        <v>1773</v>
      </c>
      <c r="B251" s="22" t="s">
        <v>1466</v>
      </c>
      <c r="C251" s="22" t="s">
        <v>1467</v>
      </c>
      <c r="D251" s="22" t="s">
        <v>1461</v>
      </c>
      <c r="E251" s="22" t="s">
        <v>27</v>
      </c>
      <c r="F251" s="22" t="s">
        <v>1473</v>
      </c>
      <c r="G251" s="22">
        <v>92.78</v>
      </c>
      <c r="H251" s="22">
        <v>1</v>
      </c>
      <c r="I251" s="22">
        <v>4.6390000000000002</v>
      </c>
      <c r="J251" s="23">
        <v>97.418999999999997</v>
      </c>
      <c r="K251" s="24" t="s">
        <v>1541</v>
      </c>
      <c r="L251" s="25">
        <v>0.4513888888888889</v>
      </c>
      <c r="M251" s="22" t="s">
        <v>1477</v>
      </c>
      <c r="N251" s="26">
        <v>92.78</v>
      </c>
      <c r="O251" s="27">
        <f t="shared" si="3"/>
        <v>4.761904762E-2</v>
      </c>
      <c r="P251" s="23">
        <v>4.6390000000000002</v>
      </c>
      <c r="Q251" s="28">
        <v>9.8000000000000007</v>
      </c>
    </row>
    <row r="252" spans="1:17" x14ac:dyDescent="0.35">
      <c r="A252" s="21" t="s">
        <v>1774</v>
      </c>
      <c r="B252" s="22" t="s">
        <v>1475</v>
      </c>
      <c r="C252" s="22" t="s">
        <v>1476</v>
      </c>
      <c r="D252" s="22" t="s">
        <v>1479</v>
      </c>
      <c r="E252" s="22" t="s">
        <v>27</v>
      </c>
      <c r="F252" s="22" t="s">
        <v>1482</v>
      </c>
      <c r="G252" s="22">
        <v>86.69</v>
      </c>
      <c r="H252" s="22">
        <v>5</v>
      </c>
      <c r="I252" s="22">
        <v>21.672499999999999</v>
      </c>
      <c r="J252" s="23">
        <v>455.1225</v>
      </c>
      <c r="K252" s="24">
        <v>43771</v>
      </c>
      <c r="L252" s="25">
        <v>0.77638888888888891</v>
      </c>
      <c r="M252" s="22" t="s">
        <v>1469</v>
      </c>
      <c r="N252" s="26">
        <v>433.45</v>
      </c>
      <c r="O252" s="27">
        <f t="shared" si="3"/>
        <v>4.761904762E-2</v>
      </c>
      <c r="P252" s="23">
        <v>21.672499999999999</v>
      </c>
      <c r="Q252" s="28">
        <v>9.4</v>
      </c>
    </row>
    <row r="253" spans="1:17" x14ac:dyDescent="0.35">
      <c r="A253" s="21" t="s">
        <v>1775</v>
      </c>
      <c r="B253" s="22" t="s">
        <v>1466</v>
      </c>
      <c r="C253" s="22" t="s">
        <v>1467</v>
      </c>
      <c r="D253" s="22" t="s">
        <v>1461</v>
      </c>
      <c r="E253" s="22" t="s">
        <v>27</v>
      </c>
      <c r="F253" s="22" t="s">
        <v>1501</v>
      </c>
      <c r="G253" s="22">
        <v>23.01</v>
      </c>
      <c r="H253" s="22">
        <v>6</v>
      </c>
      <c r="I253" s="22">
        <v>6.9029999999999996</v>
      </c>
      <c r="J253" s="23">
        <v>144.96299999999999</v>
      </c>
      <c r="K253" s="24">
        <v>43800</v>
      </c>
      <c r="L253" s="25">
        <v>0.69791666666666663</v>
      </c>
      <c r="M253" s="22" t="s">
        <v>1469</v>
      </c>
      <c r="N253" s="26">
        <v>138.06</v>
      </c>
      <c r="O253" s="27">
        <f t="shared" si="3"/>
        <v>4.761904762E-2</v>
      </c>
      <c r="P253" s="23">
        <v>6.9029999999999996</v>
      </c>
      <c r="Q253" s="28">
        <v>7.9</v>
      </c>
    </row>
    <row r="254" spans="1:17" x14ac:dyDescent="0.35">
      <c r="A254" s="21" t="s">
        <v>1776</v>
      </c>
      <c r="B254" s="22" t="s">
        <v>1475</v>
      </c>
      <c r="C254" s="22" t="s">
        <v>1476</v>
      </c>
      <c r="D254" s="22" t="s">
        <v>1479</v>
      </c>
      <c r="E254" s="22" t="s">
        <v>19</v>
      </c>
      <c r="F254" s="22" t="s">
        <v>1462</v>
      </c>
      <c r="G254" s="22">
        <v>30.2</v>
      </c>
      <c r="H254" s="22">
        <v>8</v>
      </c>
      <c r="I254" s="22">
        <v>12.08</v>
      </c>
      <c r="J254" s="23">
        <v>253.68</v>
      </c>
      <c r="K254" s="24">
        <v>43527</v>
      </c>
      <c r="L254" s="25">
        <v>0.8125</v>
      </c>
      <c r="M254" s="22" t="s">
        <v>1469</v>
      </c>
      <c r="N254" s="26">
        <v>241.6</v>
      </c>
      <c r="O254" s="27">
        <f t="shared" si="3"/>
        <v>4.761904762E-2</v>
      </c>
      <c r="P254" s="23">
        <v>12.08</v>
      </c>
      <c r="Q254" s="28">
        <v>5.0999999999999996</v>
      </c>
    </row>
    <row r="255" spans="1:17" x14ac:dyDescent="0.35">
      <c r="A255" s="21" t="s">
        <v>1777</v>
      </c>
      <c r="B255" s="22" t="s">
        <v>1475</v>
      </c>
      <c r="C255" s="22" t="s">
        <v>1476</v>
      </c>
      <c r="D255" s="22" t="s">
        <v>1479</v>
      </c>
      <c r="E255" s="22" t="s">
        <v>27</v>
      </c>
      <c r="F255" s="22" t="s">
        <v>1468</v>
      </c>
      <c r="G255" s="22">
        <v>67.39</v>
      </c>
      <c r="H255" s="22">
        <v>7</v>
      </c>
      <c r="I255" s="22">
        <v>23.586500000000001</v>
      </c>
      <c r="J255" s="23">
        <v>495.31650000000002</v>
      </c>
      <c r="K255" s="24" t="s">
        <v>1711</v>
      </c>
      <c r="L255" s="25">
        <v>0.55763888888888891</v>
      </c>
      <c r="M255" s="22" t="s">
        <v>1469</v>
      </c>
      <c r="N255" s="26">
        <v>471.73</v>
      </c>
      <c r="O255" s="27">
        <f t="shared" si="3"/>
        <v>4.761904762E-2</v>
      </c>
      <c r="P255" s="23">
        <v>23.586500000000001</v>
      </c>
      <c r="Q255" s="28">
        <v>6.9</v>
      </c>
    </row>
    <row r="256" spans="1:17" x14ac:dyDescent="0.35">
      <c r="A256" s="21" t="s">
        <v>1778</v>
      </c>
      <c r="B256" s="22" t="s">
        <v>1459</v>
      </c>
      <c r="C256" s="22" t="s">
        <v>1460</v>
      </c>
      <c r="D256" s="22" t="s">
        <v>1479</v>
      </c>
      <c r="E256" s="22" t="s">
        <v>19</v>
      </c>
      <c r="F256" s="22" t="s">
        <v>1468</v>
      </c>
      <c r="G256" s="22">
        <v>48.96</v>
      </c>
      <c r="H256" s="22">
        <v>9</v>
      </c>
      <c r="I256" s="22">
        <v>22.032</v>
      </c>
      <c r="J256" s="23">
        <v>462.67200000000003</v>
      </c>
      <c r="K256" s="24">
        <v>43558</v>
      </c>
      <c r="L256" s="25">
        <v>0.47708333333333336</v>
      </c>
      <c r="M256" s="22" t="s">
        <v>1464</v>
      </c>
      <c r="N256" s="26">
        <v>440.64</v>
      </c>
      <c r="O256" s="27">
        <f t="shared" si="3"/>
        <v>4.761904762E-2</v>
      </c>
      <c r="P256" s="23">
        <v>22.032</v>
      </c>
      <c r="Q256" s="28">
        <v>8</v>
      </c>
    </row>
    <row r="257" spans="1:17" x14ac:dyDescent="0.35">
      <c r="A257" s="21" t="s">
        <v>1779</v>
      </c>
      <c r="B257" s="22" t="s">
        <v>1466</v>
      </c>
      <c r="C257" s="22" t="s">
        <v>1467</v>
      </c>
      <c r="D257" s="22" t="s">
        <v>1479</v>
      </c>
      <c r="E257" s="22" t="s">
        <v>19</v>
      </c>
      <c r="F257" s="22" t="s">
        <v>1462</v>
      </c>
      <c r="G257" s="22">
        <v>75.59</v>
      </c>
      <c r="H257" s="22">
        <v>9</v>
      </c>
      <c r="I257" s="22">
        <v>34.015500000000003</v>
      </c>
      <c r="J257" s="23">
        <v>714.32550000000003</v>
      </c>
      <c r="K257" s="24" t="s">
        <v>1601</v>
      </c>
      <c r="L257" s="25">
        <v>0.46666666666666667</v>
      </c>
      <c r="M257" s="22" t="s">
        <v>1464</v>
      </c>
      <c r="N257" s="26">
        <v>680.31</v>
      </c>
      <c r="O257" s="27">
        <f t="shared" si="3"/>
        <v>4.761904762E-2</v>
      </c>
      <c r="P257" s="23">
        <v>34.015500000000003</v>
      </c>
      <c r="Q257" s="28">
        <v>8</v>
      </c>
    </row>
    <row r="258" spans="1:17" x14ac:dyDescent="0.35">
      <c r="A258" s="21" t="s">
        <v>1780</v>
      </c>
      <c r="B258" s="22" t="s">
        <v>1459</v>
      </c>
      <c r="C258" s="22" t="s">
        <v>1460</v>
      </c>
      <c r="D258" s="22" t="s">
        <v>1461</v>
      </c>
      <c r="E258" s="22" t="s">
        <v>19</v>
      </c>
      <c r="F258" s="22" t="s">
        <v>1482</v>
      </c>
      <c r="G258" s="22">
        <v>77.47</v>
      </c>
      <c r="H258" s="22">
        <v>4</v>
      </c>
      <c r="I258" s="22">
        <v>15.494</v>
      </c>
      <c r="J258" s="23">
        <v>325.37400000000002</v>
      </c>
      <c r="K258" s="24" t="s">
        <v>1555</v>
      </c>
      <c r="L258" s="25">
        <v>0.69166666666666665</v>
      </c>
      <c r="M258" s="22" t="s">
        <v>1464</v>
      </c>
      <c r="N258" s="26">
        <v>309.88</v>
      </c>
      <c r="O258" s="27">
        <f t="shared" ref="O258:O321" si="4">4.761904762/100</f>
        <v>4.761904762E-2</v>
      </c>
      <c r="P258" s="23">
        <v>15.494</v>
      </c>
      <c r="Q258" s="28">
        <v>4.2</v>
      </c>
    </row>
    <row r="259" spans="1:17" x14ac:dyDescent="0.35">
      <c r="A259" s="21" t="s">
        <v>1781</v>
      </c>
      <c r="B259" s="22" t="s">
        <v>1459</v>
      </c>
      <c r="C259" s="22" t="s">
        <v>1460</v>
      </c>
      <c r="D259" s="22" t="s">
        <v>1461</v>
      </c>
      <c r="E259" s="22" t="s">
        <v>19</v>
      </c>
      <c r="F259" s="22" t="s">
        <v>1501</v>
      </c>
      <c r="G259" s="22">
        <v>93.18</v>
      </c>
      <c r="H259" s="22">
        <v>2</v>
      </c>
      <c r="I259" s="22">
        <v>9.3179999999999996</v>
      </c>
      <c r="J259" s="23">
        <v>195.678</v>
      </c>
      <c r="K259" s="24" t="s">
        <v>1612</v>
      </c>
      <c r="L259" s="25">
        <v>0.77847222222222223</v>
      </c>
      <c r="M259" s="22" t="s">
        <v>1477</v>
      </c>
      <c r="N259" s="26">
        <v>186.36</v>
      </c>
      <c r="O259" s="27">
        <f t="shared" si="4"/>
        <v>4.761904762E-2</v>
      </c>
      <c r="P259" s="23">
        <v>9.3179999999999996</v>
      </c>
      <c r="Q259" s="28">
        <v>8.5</v>
      </c>
    </row>
    <row r="260" spans="1:17" x14ac:dyDescent="0.35">
      <c r="A260" s="21" t="s">
        <v>1782</v>
      </c>
      <c r="B260" s="22" t="s">
        <v>1459</v>
      </c>
      <c r="C260" s="22" t="s">
        <v>1460</v>
      </c>
      <c r="D260" s="22" t="s">
        <v>1461</v>
      </c>
      <c r="E260" s="22" t="s">
        <v>19</v>
      </c>
      <c r="F260" s="22" t="s">
        <v>1462</v>
      </c>
      <c r="G260" s="22">
        <v>50.23</v>
      </c>
      <c r="H260" s="22">
        <v>4</v>
      </c>
      <c r="I260" s="22">
        <v>10.045999999999999</v>
      </c>
      <c r="J260" s="23">
        <v>210.96600000000001</v>
      </c>
      <c r="K260" s="24">
        <v>43678</v>
      </c>
      <c r="L260" s="25">
        <v>0.71666666666666667</v>
      </c>
      <c r="M260" s="22" t="s">
        <v>1464</v>
      </c>
      <c r="N260" s="26">
        <v>200.92</v>
      </c>
      <c r="O260" s="27">
        <f t="shared" si="4"/>
        <v>4.761904762E-2</v>
      </c>
      <c r="P260" s="23">
        <v>10.045999999999999</v>
      </c>
      <c r="Q260" s="28">
        <v>9</v>
      </c>
    </row>
    <row r="261" spans="1:17" x14ac:dyDescent="0.35">
      <c r="A261" s="21" t="s">
        <v>1783</v>
      </c>
      <c r="B261" s="22" t="s">
        <v>1466</v>
      </c>
      <c r="C261" s="22" t="s">
        <v>1467</v>
      </c>
      <c r="D261" s="22" t="s">
        <v>1461</v>
      </c>
      <c r="E261" s="22" t="s">
        <v>19</v>
      </c>
      <c r="F261" s="22" t="s">
        <v>1473</v>
      </c>
      <c r="G261" s="22">
        <v>17.75</v>
      </c>
      <c r="H261" s="22">
        <v>1</v>
      </c>
      <c r="I261" s="22">
        <v>0.88749999999999996</v>
      </c>
      <c r="J261" s="23">
        <v>18.637499999999999</v>
      </c>
      <c r="K261" s="24" t="s">
        <v>1518</v>
      </c>
      <c r="L261" s="25">
        <v>0.44305555555555554</v>
      </c>
      <c r="M261" s="22" t="s">
        <v>1464</v>
      </c>
      <c r="N261" s="26">
        <v>17.75</v>
      </c>
      <c r="O261" s="27">
        <f t="shared" si="4"/>
        <v>4.761904762E-2</v>
      </c>
      <c r="P261" s="23">
        <v>0.88749999999999996</v>
      </c>
      <c r="Q261" s="28">
        <v>8.6</v>
      </c>
    </row>
    <row r="262" spans="1:17" x14ac:dyDescent="0.35">
      <c r="A262" s="21" t="s">
        <v>1784</v>
      </c>
      <c r="B262" s="22" t="s">
        <v>1475</v>
      </c>
      <c r="C262" s="22" t="s">
        <v>1476</v>
      </c>
      <c r="D262" s="22" t="s">
        <v>1461</v>
      </c>
      <c r="E262" s="22" t="s">
        <v>19</v>
      </c>
      <c r="F262" s="22" t="s">
        <v>1468</v>
      </c>
      <c r="G262" s="22">
        <v>62.18</v>
      </c>
      <c r="H262" s="22">
        <v>10</v>
      </c>
      <c r="I262" s="22">
        <v>31.09</v>
      </c>
      <c r="J262" s="23">
        <v>652.89</v>
      </c>
      <c r="K262" s="24" t="s">
        <v>1677</v>
      </c>
      <c r="L262" s="25">
        <v>0.43958333333333333</v>
      </c>
      <c r="M262" s="22" t="s">
        <v>1469</v>
      </c>
      <c r="N262" s="26">
        <v>621.79999999999995</v>
      </c>
      <c r="O262" s="27">
        <f t="shared" si="4"/>
        <v>4.761904762E-2</v>
      </c>
      <c r="P262" s="23">
        <v>31.09</v>
      </c>
      <c r="Q262" s="28">
        <v>6</v>
      </c>
    </row>
    <row r="263" spans="1:17" x14ac:dyDescent="0.35">
      <c r="A263" s="21" t="s">
        <v>1785</v>
      </c>
      <c r="B263" s="22" t="s">
        <v>1466</v>
      </c>
      <c r="C263" s="22" t="s">
        <v>1467</v>
      </c>
      <c r="D263" s="22" t="s">
        <v>1461</v>
      </c>
      <c r="E263" s="22" t="s">
        <v>27</v>
      </c>
      <c r="F263" s="22" t="s">
        <v>1473</v>
      </c>
      <c r="G263" s="22">
        <v>10.75</v>
      </c>
      <c r="H263" s="22">
        <v>8</v>
      </c>
      <c r="I263" s="22">
        <v>4.3</v>
      </c>
      <c r="J263" s="23">
        <v>90.3</v>
      </c>
      <c r="K263" s="24" t="s">
        <v>1541</v>
      </c>
      <c r="L263" s="25">
        <v>0.60972222222222228</v>
      </c>
      <c r="M263" s="22" t="s">
        <v>1469</v>
      </c>
      <c r="N263" s="26">
        <v>86</v>
      </c>
      <c r="O263" s="27">
        <f t="shared" si="4"/>
        <v>4.761904762E-2</v>
      </c>
      <c r="P263" s="23">
        <v>4.3</v>
      </c>
      <c r="Q263" s="28">
        <v>6.2</v>
      </c>
    </row>
    <row r="264" spans="1:17" x14ac:dyDescent="0.35">
      <c r="A264" s="21" t="s">
        <v>1786</v>
      </c>
      <c r="B264" s="22" t="s">
        <v>1459</v>
      </c>
      <c r="C264" s="22" t="s">
        <v>1460</v>
      </c>
      <c r="D264" s="22" t="s">
        <v>1461</v>
      </c>
      <c r="E264" s="22" t="s">
        <v>19</v>
      </c>
      <c r="F264" s="22" t="s">
        <v>1462</v>
      </c>
      <c r="G264" s="22">
        <v>40.26</v>
      </c>
      <c r="H264" s="22">
        <v>10</v>
      </c>
      <c r="I264" s="22">
        <v>20.13</v>
      </c>
      <c r="J264" s="23">
        <v>422.73</v>
      </c>
      <c r="K264" s="24" t="s">
        <v>1614</v>
      </c>
      <c r="L264" s="25">
        <v>0.75416666666666665</v>
      </c>
      <c r="M264" s="22" t="s">
        <v>1477</v>
      </c>
      <c r="N264" s="26">
        <v>402.6</v>
      </c>
      <c r="O264" s="27">
        <f t="shared" si="4"/>
        <v>4.761904762E-2</v>
      </c>
      <c r="P264" s="23">
        <v>20.13</v>
      </c>
      <c r="Q264" s="28">
        <v>5</v>
      </c>
    </row>
    <row r="265" spans="1:17" x14ac:dyDescent="0.35">
      <c r="A265" s="21" t="s">
        <v>1787</v>
      </c>
      <c r="B265" s="22" t="s">
        <v>1475</v>
      </c>
      <c r="C265" s="22" t="s">
        <v>1476</v>
      </c>
      <c r="D265" s="22" t="s">
        <v>1479</v>
      </c>
      <c r="E265" s="22" t="s">
        <v>19</v>
      </c>
      <c r="F265" s="22" t="s">
        <v>1501</v>
      </c>
      <c r="G265" s="22">
        <v>64.97</v>
      </c>
      <c r="H265" s="22">
        <v>5</v>
      </c>
      <c r="I265" s="22">
        <v>16.2425</v>
      </c>
      <c r="J265" s="23">
        <v>341.09249999999997</v>
      </c>
      <c r="K265" s="24">
        <v>43679</v>
      </c>
      <c r="L265" s="25">
        <v>0.53611111111111109</v>
      </c>
      <c r="M265" s="22" t="s">
        <v>1477</v>
      </c>
      <c r="N265" s="26">
        <v>324.85000000000002</v>
      </c>
      <c r="O265" s="27">
        <f t="shared" si="4"/>
        <v>4.761904762E-2</v>
      </c>
      <c r="P265" s="23">
        <v>16.2425</v>
      </c>
      <c r="Q265" s="28">
        <v>6.5</v>
      </c>
    </row>
    <row r="266" spans="1:17" x14ac:dyDescent="0.35">
      <c r="A266" s="21" t="s">
        <v>1788</v>
      </c>
      <c r="B266" s="22" t="s">
        <v>1459</v>
      </c>
      <c r="C266" s="22" t="s">
        <v>1460</v>
      </c>
      <c r="D266" s="22" t="s">
        <v>1461</v>
      </c>
      <c r="E266" s="22" t="s">
        <v>27</v>
      </c>
      <c r="F266" s="22" t="s">
        <v>1462</v>
      </c>
      <c r="G266" s="22">
        <v>95.15</v>
      </c>
      <c r="H266" s="22">
        <v>1</v>
      </c>
      <c r="I266" s="22">
        <v>4.7575000000000003</v>
      </c>
      <c r="J266" s="23">
        <v>99.907499999999999</v>
      </c>
      <c r="K266" s="24" t="s">
        <v>1513</v>
      </c>
      <c r="L266" s="25">
        <v>0.58333333333333337</v>
      </c>
      <c r="M266" s="22" t="s">
        <v>1464</v>
      </c>
      <c r="N266" s="26">
        <v>95.15</v>
      </c>
      <c r="O266" s="27">
        <f t="shared" si="4"/>
        <v>4.761904762E-2</v>
      </c>
      <c r="P266" s="23">
        <v>4.7575000000000003</v>
      </c>
      <c r="Q266" s="28">
        <v>6</v>
      </c>
    </row>
    <row r="267" spans="1:17" x14ac:dyDescent="0.35">
      <c r="A267" s="21" t="s">
        <v>1789</v>
      </c>
      <c r="B267" s="22" t="s">
        <v>1459</v>
      </c>
      <c r="C267" s="22" t="s">
        <v>1460</v>
      </c>
      <c r="D267" s="22" t="s">
        <v>1479</v>
      </c>
      <c r="E267" s="22" t="s">
        <v>19</v>
      </c>
      <c r="F267" s="22" t="s">
        <v>1462</v>
      </c>
      <c r="G267" s="22">
        <v>48.62</v>
      </c>
      <c r="H267" s="22">
        <v>8</v>
      </c>
      <c r="I267" s="22">
        <v>19.448</v>
      </c>
      <c r="J267" s="23">
        <v>408.40800000000002</v>
      </c>
      <c r="K267" s="24" t="s">
        <v>1566</v>
      </c>
      <c r="L267" s="25">
        <v>0.45624999999999999</v>
      </c>
      <c r="M267" s="22" t="s">
        <v>1464</v>
      </c>
      <c r="N267" s="26">
        <v>388.96</v>
      </c>
      <c r="O267" s="27">
        <f t="shared" si="4"/>
        <v>4.761904762E-2</v>
      </c>
      <c r="P267" s="23">
        <v>19.448</v>
      </c>
      <c r="Q267" s="28">
        <v>5</v>
      </c>
    </row>
    <row r="268" spans="1:17" x14ac:dyDescent="0.35">
      <c r="A268" s="21" t="s">
        <v>1790</v>
      </c>
      <c r="B268" s="22" t="s">
        <v>1466</v>
      </c>
      <c r="C268" s="22" t="s">
        <v>1467</v>
      </c>
      <c r="D268" s="22" t="s">
        <v>1461</v>
      </c>
      <c r="E268" s="22" t="s">
        <v>19</v>
      </c>
      <c r="F268" s="22" t="s">
        <v>1486</v>
      </c>
      <c r="G268" s="22">
        <v>53.21</v>
      </c>
      <c r="H268" s="22">
        <v>8</v>
      </c>
      <c r="I268" s="22">
        <v>21.283999999999999</v>
      </c>
      <c r="J268" s="23">
        <v>446.964</v>
      </c>
      <c r="K268" s="24" t="s">
        <v>1492</v>
      </c>
      <c r="L268" s="25">
        <v>0.69791666666666663</v>
      </c>
      <c r="M268" s="22" t="s">
        <v>1469</v>
      </c>
      <c r="N268" s="26">
        <v>425.68</v>
      </c>
      <c r="O268" s="27">
        <f t="shared" si="4"/>
        <v>4.761904762E-2</v>
      </c>
      <c r="P268" s="23">
        <v>21.283999999999999</v>
      </c>
      <c r="Q268" s="28">
        <v>5</v>
      </c>
    </row>
    <row r="269" spans="1:17" x14ac:dyDescent="0.35">
      <c r="A269" s="21" t="s">
        <v>1791</v>
      </c>
      <c r="B269" s="22" t="s">
        <v>1475</v>
      </c>
      <c r="C269" s="22" t="s">
        <v>1476</v>
      </c>
      <c r="D269" s="22" t="s">
        <v>1461</v>
      </c>
      <c r="E269" s="22" t="s">
        <v>19</v>
      </c>
      <c r="F269" s="22" t="s">
        <v>1468</v>
      </c>
      <c r="G269" s="22">
        <v>45.44</v>
      </c>
      <c r="H269" s="22">
        <v>7</v>
      </c>
      <c r="I269" s="22">
        <v>15.904</v>
      </c>
      <c r="J269" s="23">
        <v>333.98399999999998</v>
      </c>
      <c r="K269" s="24" t="s">
        <v>1463</v>
      </c>
      <c r="L269" s="25">
        <v>0.46875</v>
      </c>
      <c r="M269" s="22" t="s">
        <v>1464</v>
      </c>
      <c r="N269" s="26">
        <v>318.08</v>
      </c>
      <c r="O269" s="27">
        <f t="shared" si="4"/>
        <v>4.761904762E-2</v>
      </c>
      <c r="P269" s="23">
        <v>15.904</v>
      </c>
      <c r="Q269" s="28">
        <v>9.1999999999999993</v>
      </c>
    </row>
    <row r="270" spans="1:17" x14ac:dyDescent="0.35">
      <c r="A270" s="21" t="s">
        <v>1792</v>
      </c>
      <c r="B270" s="22" t="s">
        <v>1459</v>
      </c>
      <c r="C270" s="22" t="s">
        <v>1460</v>
      </c>
      <c r="D270" s="22" t="s">
        <v>1461</v>
      </c>
      <c r="E270" s="22" t="s">
        <v>27</v>
      </c>
      <c r="F270" s="22" t="s">
        <v>1486</v>
      </c>
      <c r="G270" s="22">
        <v>33.880000000000003</v>
      </c>
      <c r="H270" s="22">
        <v>8</v>
      </c>
      <c r="I270" s="22">
        <v>13.552</v>
      </c>
      <c r="J270" s="23">
        <v>284.59199999999998</v>
      </c>
      <c r="K270" s="24" t="s">
        <v>1528</v>
      </c>
      <c r="L270" s="25">
        <v>0.85347222222222219</v>
      </c>
      <c r="M270" s="22" t="s">
        <v>1469</v>
      </c>
      <c r="N270" s="26">
        <v>271.04000000000002</v>
      </c>
      <c r="O270" s="27">
        <f t="shared" si="4"/>
        <v>4.761904762E-2</v>
      </c>
      <c r="P270" s="23">
        <v>13.552</v>
      </c>
      <c r="Q270" s="28">
        <v>9.6</v>
      </c>
    </row>
    <row r="271" spans="1:17" x14ac:dyDescent="0.35">
      <c r="A271" s="21" t="s">
        <v>1793</v>
      </c>
      <c r="B271" s="22" t="s">
        <v>1466</v>
      </c>
      <c r="C271" s="22" t="s">
        <v>1467</v>
      </c>
      <c r="D271" s="22" t="s">
        <v>1479</v>
      </c>
      <c r="E271" s="22" t="s">
        <v>27</v>
      </c>
      <c r="F271" s="22" t="s">
        <v>1473</v>
      </c>
      <c r="G271" s="22">
        <v>96.16</v>
      </c>
      <c r="H271" s="22">
        <v>4</v>
      </c>
      <c r="I271" s="22">
        <v>19.231999999999999</v>
      </c>
      <c r="J271" s="23">
        <v>403.87200000000001</v>
      </c>
      <c r="K271" s="24" t="s">
        <v>1537</v>
      </c>
      <c r="L271" s="25">
        <v>0.8354166666666667</v>
      </c>
      <c r="M271" s="22" t="s">
        <v>1477</v>
      </c>
      <c r="N271" s="26">
        <v>384.64</v>
      </c>
      <c r="O271" s="27">
        <f t="shared" si="4"/>
        <v>4.761904762E-2</v>
      </c>
      <c r="P271" s="23">
        <v>19.231999999999999</v>
      </c>
      <c r="Q271" s="28">
        <v>8.4</v>
      </c>
    </row>
    <row r="272" spans="1:17" x14ac:dyDescent="0.35">
      <c r="A272" s="21" t="s">
        <v>1794</v>
      </c>
      <c r="B272" s="22" t="s">
        <v>1466</v>
      </c>
      <c r="C272" s="22" t="s">
        <v>1467</v>
      </c>
      <c r="D272" s="22" t="s">
        <v>1479</v>
      </c>
      <c r="E272" s="22" t="s">
        <v>27</v>
      </c>
      <c r="F272" s="22" t="s">
        <v>1486</v>
      </c>
      <c r="G272" s="22">
        <v>47.16</v>
      </c>
      <c r="H272" s="22">
        <v>5</v>
      </c>
      <c r="I272" s="22">
        <v>11.79</v>
      </c>
      <c r="J272" s="23">
        <v>247.59</v>
      </c>
      <c r="K272" s="24">
        <v>43526</v>
      </c>
      <c r="L272" s="25">
        <v>0.60763888888888884</v>
      </c>
      <c r="M272" s="22" t="s">
        <v>1477</v>
      </c>
      <c r="N272" s="26">
        <v>235.8</v>
      </c>
      <c r="O272" s="27">
        <f t="shared" si="4"/>
        <v>4.761904762E-2</v>
      </c>
      <c r="P272" s="23">
        <v>11.79</v>
      </c>
      <c r="Q272" s="28">
        <v>6</v>
      </c>
    </row>
    <row r="273" spans="1:17" x14ac:dyDescent="0.35">
      <c r="A273" s="21" t="s">
        <v>1795</v>
      </c>
      <c r="B273" s="22" t="s">
        <v>1466</v>
      </c>
      <c r="C273" s="22" t="s">
        <v>1467</v>
      </c>
      <c r="D273" s="22" t="s">
        <v>1461</v>
      </c>
      <c r="E273" s="22" t="s">
        <v>27</v>
      </c>
      <c r="F273" s="22" t="s">
        <v>1462</v>
      </c>
      <c r="G273" s="22">
        <v>52.89</v>
      </c>
      <c r="H273" s="22">
        <v>4</v>
      </c>
      <c r="I273" s="22">
        <v>10.577999999999999</v>
      </c>
      <c r="J273" s="23">
        <v>222.13800000000001</v>
      </c>
      <c r="K273" s="24" t="s">
        <v>1480</v>
      </c>
      <c r="L273" s="25">
        <v>0.68888888888888888</v>
      </c>
      <c r="M273" s="22" t="s">
        <v>1469</v>
      </c>
      <c r="N273" s="26">
        <v>211.56</v>
      </c>
      <c r="O273" s="27">
        <f t="shared" si="4"/>
        <v>4.761904762E-2</v>
      </c>
      <c r="P273" s="23">
        <v>10.577999999999999</v>
      </c>
      <c r="Q273" s="28">
        <v>6.7</v>
      </c>
    </row>
    <row r="274" spans="1:17" x14ac:dyDescent="0.35">
      <c r="A274" s="21" t="s">
        <v>1796</v>
      </c>
      <c r="B274" s="22" t="s">
        <v>1459</v>
      </c>
      <c r="C274" s="22" t="s">
        <v>1460</v>
      </c>
      <c r="D274" s="22" t="s">
        <v>1479</v>
      </c>
      <c r="E274" s="22" t="s">
        <v>19</v>
      </c>
      <c r="F274" s="22" t="s">
        <v>1482</v>
      </c>
      <c r="G274" s="22">
        <v>47.68</v>
      </c>
      <c r="H274" s="22">
        <v>2</v>
      </c>
      <c r="I274" s="22">
        <v>4.7679999999999998</v>
      </c>
      <c r="J274" s="23">
        <v>100.128</v>
      </c>
      <c r="K274" s="24" t="s">
        <v>1614</v>
      </c>
      <c r="L274" s="25">
        <v>0.4236111111111111</v>
      </c>
      <c r="M274" s="22" t="s">
        <v>1477</v>
      </c>
      <c r="N274" s="26">
        <v>95.36</v>
      </c>
      <c r="O274" s="27">
        <f t="shared" si="4"/>
        <v>4.761904762E-2</v>
      </c>
      <c r="P274" s="23">
        <v>4.7679999999999998</v>
      </c>
      <c r="Q274" s="28">
        <v>4.0999999999999996</v>
      </c>
    </row>
    <row r="275" spans="1:17" x14ac:dyDescent="0.35">
      <c r="A275" s="21" t="s">
        <v>1797</v>
      </c>
      <c r="B275" s="22" t="s">
        <v>1475</v>
      </c>
      <c r="C275" s="22" t="s">
        <v>1476</v>
      </c>
      <c r="D275" s="22" t="s">
        <v>1479</v>
      </c>
      <c r="E275" s="22" t="s">
        <v>27</v>
      </c>
      <c r="F275" s="22" t="s">
        <v>1501</v>
      </c>
      <c r="G275" s="22">
        <v>10.17</v>
      </c>
      <c r="H275" s="22">
        <v>1</v>
      </c>
      <c r="I275" s="22">
        <v>0.50849999999999995</v>
      </c>
      <c r="J275" s="23">
        <v>10.6785</v>
      </c>
      <c r="K275" s="24">
        <v>43648</v>
      </c>
      <c r="L275" s="25">
        <v>0.59375</v>
      </c>
      <c r="M275" s="22" t="s">
        <v>1464</v>
      </c>
      <c r="N275" s="26">
        <v>10.17</v>
      </c>
      <c r="O275" s="27">
        <f t="shared" si="4"/>
        <v>4.761904762E-2</v>
      </c>
      <c r="P275" s="23">
        <v>0.50849999999999995</v>
      </c>
      <c r="Q275" s="28">
        <v>5.9</v>
      </c>
    </row>
    <row r="276" spans="1:17" x14ac:dyDescent="0.35">
      <c r="A276" s="21" t="s">
        <v>1798</v>
      </c>
      <c r="B276" s="22" t="s">
        <v>1459</v>
      </c>
      <c r="C276" s="22" t="s">
        <v>1460</v>
      </c>
      <c r="D276" s="22" t="s">
        <v>1461</v>
      </c>
      <c r="E276" s="22" t="s">
        <v>19</v>
      </c>
      <c r="F276" s="22" t="s">
        <v>1473</v>
      </c>
      <c r="G276" s="22">
        <v>68.709999999999994</v>
      </c>
      <c r="H276" s="22">
        <v>3</v>
      </c>
      <c r="I276" s="22">
        <v>10.3065</v>
      </c>
      <c r="J276" s="23">
        <v>216.4365</v>
      </c>
      <c r="K276" s="24">
        <v>43558</v>
      </c>
      <c r="L276" s="25">
        <v>0.4201388888888889</v>
      </c>
      <c r="M276" s="22" t="s">
        <v>1464</v>
      </c>
      <c r="N276" s="26">
        <v>206.13</v>
      </c>
      <c r="O276" s="27">
        <f t="shared" si="4"/>
        <v>4.761904762E-2</v>
      </c>
      <c r="P276" s="23">
        <v>10.3065</v>
      </c>
      <c r="Q276" s="28">
        <v>8.6999999999999993</v>
      </c>
    </row>
    <row r="277" spans="1:17" x14ac:dyDescent="0.35">
      <c r="A277" s="21" t="s">
        <v>1799</v>
      </c>
      <c r="B277" s="22" t="s">
        <v>1466</v>
      </c>
      <c r="C277" s="22" t="s">
        <v>1467</v>
      </c>
      <c r="D277" s="22" t="s">
        <v>1479</v>
      </c>
      <c r="E277" s="22" t="s">
        <v>19</v>
      </c>
      <c r="F277" s="22" t="s">
        <v>1501</v>
      </c>
      <c r="G277" s="22">
        <v>60.08</v>
      </c>
      <c r="H277" s="22">
        <v>7</v>
      </c>
      <c r="I277" s="22">
        <v>21.027999999999999</v>
      </c>
      <c r="J277" s="23">
        <v>441.58800000000002</v>
      </c>
      <c r="K277" s="24" t="s">
        <v>1800</v>
      </c>
      <c r="L277" s="25">
        <v>0.48333333333333334</v>
      </c>
      <c r="M277" s="22" t="s">
        <v>1477</v>
      </c>
      <c r="N277" s="26">
        <v>420.56</v>
      </c>
      <c r="O277" s="27">
        <f t="shared" si="4"/>
        <v>4.761904762E-2</v>
      </c>
      <c r="P277" s="23">
        <v>21.027999999999999</v>
      </c>
      <c r="Q277" s="28">
        <v>4.5</v>
      </c>
    </row>
    <row r="278" spans="1:17" x14ac:dyDescent="0.35">
      <c r="A278" s="21" t="s">
        <v>1801</v>
      </c>
      <c r="B278" s="22" t="s">
        <v>1459</v>
      </c>
      <c r="C278" s="22" t="s">
        <v>1460</v>
      </c>
      <c r="D278" s="22" t="s">
        <v>1479</v>
      </c>
      <c r="E278" s="22" t="s">
        <v>19</v>
      </c>
      <c r="F278" s="22" t="s">
        <v>1501</v>
      </c>
      <c r="G278" s="22">
        <v>22.01</v>
      </c>
      <c r="H278" s="22">
        <v>4</v>
      </c>
      <c r="I278" s="22">
        <v>4.4020000000000001</v>
      </c>
      <c r="J278" s="23">
        <v>92.441999999999993</v>
      </c>
      <c r="K278" s="24" t="s">
        <v>1508</v>
      </c>
      <c r="L278" s="25">
        <v>0.76041666666666663</v>
      </c>
      <c r="M278" s="22" t="s">
        <v>1477</v>
      </c>
      <c r="N278" s="26">
        <v>88.04</v>
      </c>
      <c r="O278" s="27">
        <f t="shared" si="4"/>
        <v>4.761904762E-2</v>
      </c>
      <c r="P278" s="23">
        <v>4.4020000000000001</v>
      </c>
      <c r="Q278" s="28">
        <v>6.6</v>
      </c>
    </row>
    <row r="279" spans="1:17" x14ac:dyDescent="0.35">
      <c r="A279" s="21" t="s">
        <v>1802</v>
      </c>
      <c r="B279" s="22" t="s">
        <v>1466</v>
      </c>
      <c r="C279" s="22" t="s">
        <v>1467</v>
      </c>
      <c r="D279" s="22" t="s">
        <v>1479</v>
      </c>
      <c r="E279" s="22" t="s">
        <v>19</v>
      </c>
      <c r="F279" s="22" t="s">
        <v>1473</v>
      </c>
      <c r="G279" s="22">
        <v>72.11</v>
      </c>
      <c r="H279" s="22">
        <v>9</v>
      </c>
      <c r="I279" s="22">
        <v>32.4495</v>
      </c>
      <c r="J279" s="23">
        <v>681.43949999999995</v>
      </c>
      <c r="K279" s="24" t="s">
        <v>1803</v>
      </c>
      <c r="L279" s="25">
        <v>0.57847222222222228</v>
      </c>
      <c r="M279" s="22" t="s">
        <v>1477</v>
      </c>
      <c r="N279" s="26">
        <v>648.99</v>
      </c>
      <c r="O279" s="27">
        <f t="shared" si="4"/>
        <v>4.761904762E-2</v>
      </c>
      <c r="P279" s="23">
        <v>32.4495</v>
      </c>
      <c r="Q279" s="28">
        <v>7.7</v>
      </c>
    </row>
    <row r="280" spans="1:17" x14ac:dyDescent="0.35">
      <c r="A280" s="21" t="s">
        <v>1804</v>
      </c>
      <c r="B280" s="22" t="s">
        <v>1459</v>
      </c>
      <c r="C280" s="22" t="s">
        <v>1460</v>
      </c>
      <c r="D280" s="22" t="s">
        <v>1479</v>
      </c>
      <c r="E280" s="22" t="s">
        <v>27</v>
      </c>
      <c r="F280" s="22" t="s">
        <v>1468</v>
      </c>
      <c r="G280" s="22">
        <v>41.28</v>
      </c>
      <c r="H280" s="22">
        <v>3</v>
      </c>
      <c r="I280" s="22">
        <v>6.1920000000000002</v>
      </c>
      <c r="J280" s="23">
        <v>130.03200000000001</v>
      </c>
      <c r="K280" s="24" t="s">
        <v>1520</v>
      </c>
      <c r="L280" s="25">
        <v>0.77569444444444446</v>
      </c>
      <c r="M280" s="22" t="s">
        <v>1477</v>
      </c>
      <c r="N280" s="26">
        <v>123.84</v>
      </c>
      <c r="O280" s="27">
        <f t="shared" si="4"/>
        <v>4.761904762E-2</v>
      </c>
      <c r="P280" s="23">
        <v>6.1920000000000002</v>
      </c>
      <c r="Q280" s="28">
        <v>8.5</v>
      </c>
    </row>
    <row r="281" spans="1:17" x14ac:dyDescent="0.35">
      <c r="A281" s="21" t="s">
        <v>1805</v>
      </c>
      <c r="B281" s="22" t="s">
        <v>1475</v>
      </c>
      <c r="C281" s="22" t="s">
        <v>1476</v>
      </c>
      <c r="D281" s="22" t="s">
        <v>1461</v>
      </c>
      <c r="E281" s="22" t="s">
        <v>27</v>
      </c>
      <c r="F281" s="22" t="s">
        <v>1462</v>
      </c>
      <c r="G281" s="22">
        <v>64.95</v>
      </c>
      <c r="H281" s="22">
        <v>10</v>
      </c>
      <c r="I281" s="22">
        <v>32.475000000000001</v>
      </c>
      <c r="J281" s="23">
        <v>681.97500000000002</v>
      </c>
      <c r="K281" s="24" t="s">
        <v>1550</v>
      </c>
      <c r="L281" s="25">
        <v>0.76875000000000004</v>
      </c>
      <c r="M281" s="22" t="s">
        <v>1464</v>
      </c>
      <c r="N281" s="26">
        <v>649.5</v>
      </c>
      <c r="O281" s="27">
        <f t="shared" si="4"/>
        <v>4.761904762E-2</v>
      </c>
      <c r="P281" s="23">
        <v>32.475000000000001</v>
      </c>
      <c r="Q281" s="28">
        <v>5.2</v>
      </c>
    </row>
    <row r="282" spans="1:17" x14ac:dyDescent="0.35">
      <c r="A282" s="21" t="s">
        <v>1806</v>
      </c>
      <c r="B282" s="22" t="s">
        <v>1459</v>
      </c>
      <c r="C282" s="22" t="s">
        <v>1460</v>
      </c>
      <c r="D282" s="22" t="s">
        <v>1479</v>
      </c>
      <c r="E282" s="22" t="s">
        <v>19</v>
      </c>
      <c r="F282" s="22" t="s">
        <v>1462</v>
      </c>
      <c r="G282" s="22">
        <v>74.22</v>
      </c>
      <c r="H282" s="22">
        <v>10</v>
      </c>
      <c r="I282" s="22">
        <v>37.11</v>
      </c>
      <c r="J282" s="23">
        <v>779.31</v>
      </c>
      <c r="K282" s="24">
        <v>43466</v>
      </c>
      <c r="L282" s="25">
        <v>0.61250000000000004</v>
      </c>
      <c r="M282" s="22" t="s">
        <v>1477</v>
      </c>
      <c r="N282" s="26">
        <v>742.2</v>
      </c>
      <c r="O282" s="27">
        <f t="shared" si="4"/>
        <v>4.761904762E-2</v>
      </c>
      <c r="P282" s="23">
        <v>37.11</v>
      </c>
      <c r="Q282" s="28">
        <v>4.3</v>
      </c>
    </row>
    <row r="283" spans="1:17" x14ac:dyDescent="0.35">
      <c r="A283" s="21" t="s">
        <v>1807</v>
      </c>
      <c r="B283" s="22" t="s">
        <v>1459</v>
      </c>
      <c r="C283" s="22" t="s">
        <v>1460</v>
      </c>
      <c r="D283" s="22" t="s">
        <v>1461</v>
      </c>
      <c r="E283" s="22" t="s">
        <v>27</v>
      </c>
      <c r="F283" s="22" t="s">
        <v>1462</v>
      </c>
      <c r="G283" s="22">
        <v>10.56</v>
      </c>
      <c r="H283" s="22">
        <v>8</v>
      </c>
      <c r="I283" s="22">
        <v>4.2240000000000002</v>
      </c>
      <c r="J283" s="23">
        <v>88.703999999999994</v>
      </c>
      <c r="K283" s="24" t="s">
        <v>1566</v>
      </c>
      <c r="L283" s="25">
        <v>0.73819444444444449</v>
      </c>
      <c r="M283" s="22" t="s">
        <v>1464</v>
      </c>
      <c r="N283" s="26">
        <v>84.48</v>
      </c>
      <c r="O283" s="27">
        <f t="shared" si="4"/>
        <v>4.761904762E-2</v>
      </c>
      <c r="P283" s="23">
        <v>4.2240000000000002</v>
      </c>
      <c r="Q283" s="28">
        <v>7.6</v>
      </c>
    </row>
    <row r="284" spans="1:17" x14ac:dyDescent="0.35">
      <c r="A284" s="21" t="s">
        <v>1808</v>
      </c>
      <c r="B284" s="22" t="s">
        <v>1466</v>
      </c>
      <c r="C284" s="22" t="s">
        <v>1467</v>
      </c>
      <c r="D284" s="22" t="s">
        <v>1461</v>
      </c>
      <c r="E284" s="22" t="s">
        <v>27</v>
      </c>
      <c r="F284" s="22" t="s">
        <v>1473</v>
      </c>
      <c r="G284" s="22">
        <v>62.57</v>
      </c>
      <c r="H284" s="22">
        <v>4</v>
      </c>
      <c r="I284" s="22">
        <v>12.513999999999999</v>
      </c>
      <c r="J284" s="23">
        <v>262.79399999999998</v>
      </c>
      <c r="K284" s="24" t="s">
        <v>1506</v>
      </c>
      <c r="L284" s="25">
        <v>0.77569444444444446</v>
      </c>
      <c r="M284" s="22" t="s">
        <v>1464</v>
      </c>
      <c r="N284" s="26">
        <v>250.28</v>
      </c>
      <c r="O284" s="27">
        <f t="shared" si="4"/>
        <v>4.761904762E-2</v>
      </c>
      <c r="P284" s="23">
        <v>12.513999999999999</v>
      </c>
      <c r="Q284" s="28">
        <v>9.5</v>
      </c>
    </row>
    <row r="285" spans="1:17" x14ac:dyDescent="0.35">
      <c r="A285" s="21" t="s">
        <v>1809</v>
      </c>
      <c r="B285" s="22" t="s">
        <v>1466</v>
      </c>
      <c r="C285" s="22" t="s">
        <v>1467</v>
      </c>
      <c r="D285" s="22" t="s">
        <v>1479</v>
      </c>
      <c r="E285" s="22" t="s">
        <v>19</v>
      </c>
      <c r="F285" s="22" t="s">
        <v>1501</v>
      </c>
      <c r="G285" s="22">
        <v>11.85</v>
      </c>
      <c r="H285" s="22">
        <v>8</v>
      </c>
      <c r="I285" s="22">
        <v>4.74</v>
      </c>
      <c r="J285" s="23">
        <v>99.54</v>
      </c>
      <c r="K285" s="24">
        <v>43709</v>
      </c>
      <c r="L285" s="25">
        <v>0.69027777777777777</v>
      </c>
      <c r="M285" s="22" t="s">
        <v>1464</v>
      </c>
      <c r="N285" s="26">
        <v>94.8</v>
      </c>
      <c r="O285" s="27">
        <f t="shared" si="4"/>
        <v>4.761904762E-2</v>
      </c>
      <c r="P285" s="23">
        <v>4.74</v>
      </c>
      <c r="Q285" s="28">
        <v>4.0999999999999996</v>
      </c>
    </row>
    <row r="286" spans="1:17" x14ac:dyDescent="0.35">
      <c r="A286" s="21" t="s">
        <v>1810</v>
      </c>
      <c r="B286" s="22" t="s">
        <v>1459</v>
      </c>
      <c r="C286" s="22" t="s">
        <v>1460</v>
      </c>
      <c r="D286" s="22" t="s">
        <v>1479</v>
      </c>
      <c r="E286" s="22" t="s">
        <v>27</v>
      </c>
      <c r="F286" s="22" t="s">
        <v>1473</v>
      </c>
      <c r="G286" s="22">
        <v>91.3</v>
      </c>
      <c r="H286" s="22">
        <v>1</v>
      </c>
      <c r="I286" s="22">
        <v>4.5650000000000004</v>
      </c>
      <c r="J286" s="23">
        <v>95.864999999999995</v>
      </c>
      <c r="K286" s="24" t="s">
        <v>1800</v>
      </c>
      <c r="L286" s="25">
        <v>0.61250000000000004</v>
      </c>
      <c r="M286" s="22" t="s">
        <v>1469</v>
      </c>
      <c r="N286" s="26">
        <v>91.3</v>
      </c>
      <c r="O286" s="27">
        <f t="shared" si="4"/>
        <v>4.761904762E-2</v>
      </c>
      <c r="P286" s="23">
        <v>4.5650000000000004</v>
      </c>
      <c r="Q286" s="28">
        <v>9.1999999999999993</v>
      </c>
    </row>
    <row r="287" spans="1:17" x14ac:dyDescent="0.35">
      <c r="A287" s="21" t="s">
        <v>1811</v>
      </c>
      <c r="B287" s="22" t="s">
        <v>1466</v>
      </c>
      <c r="C287" s="22" t="s">
        <v>1467</v>
      </c>
      <c r="D287" s="22" t="s">
        <v>1479</v>
      </c>
      <c r="E287" s="22" t="s">
        <v>19</v>
      </c>
      <c r="F287" s="22" t="s">
        <v>1482</v>
      </c>
      <c r="G287" s="22">
        <v>40.729999999999997</v>
      </c>
      <c r="H287" s="22">
        <v>7</v>
      </c>
      <c r="I287" s="22">
        <v>14.2555</v>
      </c>
      <c r="J287" s="23">
        <v>299.3655</v>
      </c>
      <c r="K287" s="24">
        <v>43802</v>
      </c>
      <c r="L287" s="25">
        <v>0.45902777777777776</v>
      </c>
      <c r="M287" s="22" t="s">
        <v>1469</v>
      </c>
      <c r="N287" s="26">
        <v>285.11</v>
      </c>
      <c r="O287" s="27">
        <f t="shared" si="4"/>
        <v>4.761904762E-2</v>
      </c>
      <c r="P287" s="23">
        <v>14.2555</v>
      </c>
      <c r="Q287" s="28">
        <v>5.4</v>
      </c>
    </row>
    <row r="288" spans="1:17" x14ac:dyDescent="0.35">
      <c r="A288" s="21" t="s">
        <v>1812</v>
      </c>
      <c r="B288" s="22" t="s">
        <v>1459</v>
      </c>
      <c r="C288" s="22" t="s">
        <v>1460</v>
      </c>
      <c r="D288" s="22" t="s">
        <v>1461</v>
      </c>
      <c r="E288" s="22" t="s">
        <v>27</v>
      </c>
      <c r="F288" s="22" t="s">
        <v>1468</v>
      </c>
      <c r="G288" s="22">
        <v>52.38</v>
      </c>
      <c r="H288" s="22">
        <v>1</v>
      </c>
      <c r="I288" s="22">
        <v>2.6190000000000002</v>
      </c>
      <c r="J288" s="23">
        <v>54.999000000000002</v>
      </c>
      <c r="K288" s="24" t="s">
        <v>1520</v>
      </c>
      <c r="L288" s="25">
        <v>0.82222222222222219</v>
      </c>
      <c r="M288" s="22" t="s">
        <v>1464</v>
      </c>
      <c r="N288" s="26">
        <v>52.38</v>
      </c>
      <c r="O288" s="27">
        <f t="shared" si="4"/>
        <v>4.761904762E-2</v>
      </c>
      <c r="P288" s="23">
        <v>2.6190000000000002</v>
      </c>
      <c r="Q288" s="28">
        <v>5.8</v>
      </c>
    </row>
    <row r="289" spans="1:17" x14ac:dyDescent="0.35">
      <c r="A289" s="21" t="s">
        <v>1813</v>
      </c>
      <c r="B289" s="22" t="s">
        <v>1459</v>
      </c>
      <c r="C289" s="22" t="s">
        <v>1460</v>
      </c>
      <c r="D289" s="22" t="s">
        <v>1479</v>
      </c>
      <c r="E289" s="22" t="s">
        <v>27</v>
      </c>
      <c r="F289" s="22" t="s">
        <v>1468</v>
      </c>
      <c r="G289" s="22">
        <v>38.54</v>
      </c>
      <c r="H289" s="22">
        <v>5</v>
      </c>
      <c r="I289" s="22">
        <v>9.6349999999999998</v>
      </c>
      <c r="J289" s="23">
        <v>202.33500000000001</v>
      </c>
      <c r="K289" s="24">
        <v>43709</v>
      </c>
      <c r="L289" s="25">
        <v>0.56527777777777777</v>
      </c>
      <c r="M289" s="22" t="s">
        <v>1469</v>
      </c>
      <c r="N289" s="26">
        <v>192.7</v>
      </c>
      <c r="O289" s="27">
        <f t="shared" si="4"/>
        <v>4.761904762E-2</v>
      </c>
      <c r="P289" s="23">
        <v>9.6349999999999998</v>
      </c>
      <c r="Q289" s="28">
        <v>5.6</v>
      </c>
    </row>
    <row r="290" spans="1:17" x14ac:dyDescent="0.35">
      <c r="A290" s="21" t="s">
        <v>1814</v>
      </c>
      <c r="B290" s="22" t="s">
        <v>1466</v>
      </c>
      <c r="C290" s="22" t="s">
        <v>1467</v>
      </c>
      <c r="D290" s="22" t="s">
        <v>1461</v>
      </c>
      <c r="E290" s="22" t="s">
        <v>27</v>
      </c>
      <c r="F290" s="22" t="s">
        <v>1501</v>
      </c>
      <c r="G290" s="22">
        <v>44.63</v>
      </c>
      <c r="H290" s="22">
        <v>6</v>
      </c>
      <c r="I290" s="22">
        <v>13.388999999999999</v>
      </c>
      <c r="J290" s="23">
        <v>281.16899999999998</v>
      </c>
      <c r="K290" s="24">
        <v>43497</v>
      </c>
      <c r="L290" s="25">
        <v>0.83888888888888891</v>
      </c>
      <c r="M290" s="22" t="s">
        <v>1477</v>
      </c>
      <c r="N290" s="26">
        <v>267.77999999999997</v>
      </c>
      <c r="O290" s="27">
        <f t="shared" si="4"/>
        <v>4.761904762E-2</v>
      </c>
      <c r="P290" s="23">
        <v>13.388999999999999</v>
      </c>
      <c r="Q290" s="28">
        <v>5.0999999999999996</v>
      </c>
    </row>
    <row r="291" spans="1:17" x14ac:dyDescent="0.35">
      <c r="A291" s="21" t="s">
        <v>1815</v>
      </c>
      <c r="B291" s="22" t="s">
        <v>1475</v>
      </c>
      <c r="C291" s="22" t="s">
        <v>1476</v>
      </c>
      <c r="D291" s="22" t="s">
        <v>1461</v>
      </c>
      <c r="E291" s="22" t="s">
        <v>27</v>
      </c>
      <c r="F291" s="22" t="s">
        <v>1462</v>
      </c>
      <c r="G291" s="22">
        <v>55.87</v>
      </c>
      <c r="H291" s="22">
        <v>10</v>
      </c>
      <c r="I291" s="22">
        <v>27.934999999999999</v>
      </c>
      <c r="J291" s="23">
        <v>586.63499999999999</v>
      </c>
      <c r="K291" s="24" t="s">
        <v>1589</v>
      </c>
      <c r="L291" s="25">
        <v>0.62569444444444444</v>
      </c>
      <c r="M291" s="22" t="s">
        <v>1464</v>
      </c>
      <c r="N291" s="26">
        <v>558.70000000000005</v>
      </c>
      <c r="O291" s="27">
        <f t="shared" si="4"/>
        <v>4.761904762E-2</v>
      </c>
      <c r="P291" s="23">
        <v>27.934999999999999</v>
      </c>
      <c r="Q291" s="28">
        <v>5.8</v>
      </c>
    </row>
    <row r="292" spans="1:17" x14ac:dyDescent="0.35">
      <c r="A292" s="21" t="s">
        <v>1816</v>
      </c>
      <c r="B292" s="22" t="s">
        <v>1475</v>
      </c>
      <c r="C292" s="22" t="s">
        <v>1476</v>
      </c>
      <c r="D292" s="22" t="s">
        <v>1479</v>
      </c>
      <c r="E292" s="22" t="s">
        <v>19</v>
      </c>
      <c r="F292" s="22" t="s">
        <v>1501</v>
      </c>
      <c r="G292" s="22">
        <v>29.22</v>
      </c>
      <c r="H292" s="22">
        <v>6</v>
      </c>
      <c r="I292" s="22">
        <v>8.766</v>
      </c>
      <c r="J292" s="23">
        <v>184.08600000000001</v>
      </c>
      <c r="K292" s="24">
        <v>43466</v>
      </c>
      <c r="L292" s="25">
        <v>0.4861111111111111</v>
      </c>
      <c r="M292" s="22" t="s">
        <v>1469</v>
      </c>
      <c r="N292" s="26">
        <v>175.32</v>
      </c>
      <c r="O292" s="27">
        <f t="shared" si="4"/>
        <v>4.761904762E-2</v>
      </c>
      <c r="P292" s="23">
        <v>8.766</v>
      </c>
      <c r="Q292" s="28">
        <v>5</v>
      </c>
    </row>
    <row r="293" spans="1:17" x14ac:dyDescent="0.35">
      <c r="A293" s="21" t="s">
        <v>1817</v>
      </c>
      <c r="B293" s="22" t="s">
        <v>1459</v>
      </c>
      <c r="C293" s="22" t="s">
        <v>1460</v>
      </c>
      <c r="D293" s="22" t="s">
        <v>1461</v>
      </c>
      <c r="E293" s="22" t="s">
        <v>27</v>
      </c>
      <c r="F293" s="22" t="s">
        <v>1468</v>
      </c>
      <c r="G293" s="22">
        <v>51.94</v>
      </c>
      <c r="H293" s="22">
        <v>3</v>
      </c>
      <c r="I293" s="22">
        <v>7.7910000000000004</v>
      </c>
      <c r="J293" s="23">
        <v>163.61099999999999</v>
      </c>
      <c r="K293" s="24" t="s">
        <v>1544</v>
      </c>
      <c r="L293" s="25">
        <v>0.63958333333333328</v>
      </c>
      <c r="M293" s="22" t="s">
        <v>1464</v>
      </c>
      <c r="N293" s="26">
        <v>155.82</v>
      </c>
      <c r="O293" s="27">
        <f t="shared" si="4"/>
        <v>4.761904762E-2</v>
      </c>
      <c r="P293" s="23">
        <v>7.7910000000000004</v>
      </c>
      <c r="Q293" s="28">
        <v>7.9</v>
      </c>
    </row>
    <row r="294" spans="1:17" x14ac:dyDescent="0.35">
      <c r="A294" s="21" t="s">
        <v>1818</v>
      </c>
      <c r="B294" s="22" t="s">
        <v>1466</v>
      </c>
      <c r="C294" s="22" t="s">
        <v>1467</v>
      </c>
      <c r="D294" s="22" t="s">
        <v>1461</v>
      </c>
      <c r="E294" s="22" t="s">
        <v>27</v>
      </c>
      <c r="F294" s="22" t="s">
        <v>1462</v>
      </c>
      <c r="G294" s="22">
        <v>60.3</v>
      </c>
      <c r="H294" s="22">
        <v>1</v>
      </c>
      <c r="I294" s="22">
        <v>3.0150000000000001</v>
      </c>
      <c r="J294" s="23">
        <v>63.314999999999998</v>
      </c>
      <c r="K294" s="24" t="s">
        <v>1683</v>
      </c>
      <c r="L294" s="25">
        <v>0.73472222222222228</v>
      </c>
      <c r="M294" s="22" t="s">
        <v>1464</v>
      </c>
      <c r="N294" s="26">
        <v>60.3</v>
      </c>
      <c r="O294" s="27">
        <f t="shared" si="4"/>
        <v>4.761904762E-2</v>
      </c>
      <c r="P294" s="23">
        <v>3.0150000000000001</v>
      </c>
      <c r="Q294" s="28">
        <v>6</v>
      </c>
    </row>
    <row r="295" spans="1:17" x14ac:dyDescent="0.35">
      <c r="A295" s="21" t="s">
        <v>1819</v>
      </c>
      <c r="B295" s="22" t="s">
        <v>1459</v>
      </c>
      <c r="C295" s="22" t="s">
        <v>1460</v>
      </c>
      <c r="D295" s="22" t="s">
        <v>1479</v>
      </c>
      <c r="E295" s="22" t="s">
        <v>19</v>
      </c>
      <c r="F295" s="22" t="s">
        <v>1501</v>
      </c>
      <c r="G295" s="22">
        <v>39.47</v>
      </c>
      <c r="H295" s="22">
        <v>2</v>
      </c>
      <c r="I295" s="22">
        <v>3.9470000000000001</v>
      </c>
      <c r="J295" s="23">
        <v>82.887</v>
      </c>
      <c r="K295" s="24">
        <v>43499</v>
      </c>
      <c r="L295" s="25">
        <v>0.67777777777777781</v>
      </c>
      <c r="M295" s="22" t="s">
        <v>1477</v>
      </c>
      <c r="N295" s="26">
        <v>78.94</v>
      </c>
      <c r="O295" s="27">
        <f t="shared" si="4"/>
        <v>4.761904762E-2</v>
      </c>
      <c r="P295" s="23">
        <v>3.9470000000000001</v>
      </c>
      <c r="Q295" s="28">
        <v>5</v>
      </c>
    </row>
    <row r="296" spans="1:17" x14ac:dyDescent="0.35">
      <c r="A296" s="21" t="s">
        <v>1820</v>
      </c>
      <c r="B296" s="22" t="s">
        <v>1475</v>
      </c>
      <c r="C296" s="22" t="s">
        <v>1476</v>
      </c>
      <c r="D296" s="22" t="s">
        <v>1479</v>
      </c>
      <c r="E296" s="22" t="s">
        <v>19</v>
      </c>
      <c r="F296" s="22" t="s">
        <v>1486</v>
      </c>
      <c r="G296" s="22">
        <v>14.87</v>
      </c>
      <c r="H296" s="22">
        <v>2</v>
      </c>
      <c r="I296" s="22">
        <v>1.4870000000000001</v>
      </c>
      <c r="J296" s="23">
        <v>31.227</v>
      </c>
      <c r="K296" s="24" t="s">
        <v>1525</v>
      </c>
      <c r="L296" s="25">
        <v>0.76041666666666663</v>
      </c>
      <c r="M296" s="22" t="s">
        <v>1477</v>
      </c>
      <c r="N296" s="26">
        <v>29.74</v>
      </c>
      <c r="O296" s="27">
        <f t="shared" si="4"/>
        <v>4.761904762E-2</v>
      </c>
      <c r="P296" s="23">
        <v>1.4870000000000001</v>
      </c>
      <c r="Q296" s="28">
        <v>8.9</v>
      </c>
    </row>
    <row r="297" spans="1:17" x14ac:dyDescent="0.35">
      <c r="A297" s="21" t="s">
        <v>1821</v>
      </c>
      <c r="B297" s="22" t="s">
        <v>1459</v>
      </c>
      <c r="C297" s="22" t="s">
        <v>1460</v>
      </c>
      <c r="D297" s="22" t="s">
        <v>1461</v>
      </c>
      <c r="E297" s="22" t="s">
        <v>27</v>
      </c>
      <c r="F297" s="22" t="s">
        <v>1468</v>
      </c>
      <c r="G297" s="22">
        <v>21.32</v>
      </c>
      <c r="H297" s="22">
        <v>1</v>
      </c>
      <c r="I297" s="22">
        <v>1.0660000000000001</v>
      </c>
      <c r="J297" s="23">
        <v>22.385999999999999</v>
      </c>
      <c r="K297" s="24" t="s">
        <v>1548</v>
      </c>
      <c r="L297" s="25">
        <v>0.52986111111111112</v>
      </c>
      <c r="M297" s="22" t="s">
        <v>1464</v>
      </c>
      <c r="N297" s="26">
        <v>21.32</v>
      </c>
      <c r="O297" s="27">
        <f t="shared" si="4"/>
        <v>4.761904762E-2</v>
      </c>
      <c r="P297" s="23">
        <v>1.0660000000000001</v>
      </c>
      <c r="Q297" s="28">
        <v>5.9</v>
      </c>
    </row>
    <row r="298" spans="1:17" x14ac:dyDescent="0.35">
      <c r="A298" s="21" t="s">
        <v>1822</v>
      </c>
      <c r="B298" s="22" t="s">
        <v>1459</v>
      </c>
      <c r="C298" s="22" t="s">
        <v>1460</v>
      </c>
      <c r="D298" s="22" t="s">
        <v>1479</v>
      </c>
      <c r="E298" s="22" t="s">
        <v>27</v>
      </c>
      <c r="F298" s="22" t="s">
        <v>1462</v>
      </c>
      <c r="G298" s="22">
        <v>93.78</v>
      </c>
      <c r="H298" s="22">
        <v>3</v>
      </c>
      <c r="I298" s="22">
        <v>14.067</v>
      </c>
      <c r="J298" s="23">
        <v>295.40699999999998</v>
      </c>
      <c r="K298" s="24" t="s">
        <v>1487</v>
      </c>
      <c r="L298" s="25">
        <v>0.48055555555555557</v>
      </c>
      <c r="M298" s="22" t="s">
        <v>1477</v>
      </c>
      <c r="N298" s="26">
        <v>281.33999999999997</v>
      </c>
      <c r="O298" s="27">
        <f t="shared" si="4"/>
        <v>4.761904762E-2</v>
      </c>
      <c r="P298" s="23">
        <v>14.067</v>
      </c>
      <c r="Q298" s="28">
        <v>5.9</v>
      </c>
    </row>
    <row r="299" spans="1:17" x14ac:dyDescent="0.35">
      <c r="A299" s="21" t="s">
        <v>1823</v>
      </c>
      <c r="B299" s="22" t="s">
        <v>1459</v>
      </c>
      <c r="C299" s="22" t="s">
        <v>1460</v>
      </c>
      <c r="D299" s="22" t="s">
        <v>1479</v>
      </c>
      <c r="E299" s="22" t="s">
        <v>27</v>
      </c>
      <c r="F299" s="22" t="s">
        <v>1462</v>
      </c>
      <c r="G299" s="22">
        <v>73.260000000000005</v>
      </c>
      <c r="H299" s="22">
        <v>1</v>
      </c>
      <c r="I299" s="22">
        <v>3.6629999999999998</v>
      </c>
      <c r="J299" s="23">
        <v>76.923000000000002</v>
      </c>
      <c r="K299" s="24" t="s">
        <v>1537</v>
      </c>
      <c r="L299" s="25">
        <v>0.75555555555555554</v>
      </c>
      <c r="M299" s="22" t="s">
        <v>1469</v>
      </c>
      <c r="N299" s="26">
        <v>73.260000000000005</v>
      </c>
      <c r="O299" s="27">
        <f t="shared" si="4"/>
        <v>4.761904762E-2</v>
      </c>
      <c r="P299" s="23">
        <v>3.6629999999999998</v>
      </c>
      <c r="Q299" s="28">
        <v>9.6999999999999993</v>
      </c>
    </row>
    <row r="300" spans="1:17" x14ac:dyDescent="0.35">
      <c r="A300" s="21" t="s">
        <v>1824</v>
      </c>
      <c r="B300" s="22" t="s">
        <v>1475</v>
      </c>
      <c r="C300" s="22" t="s">
        <v>1476</v>
      </c>
      <c r="D300" s="22" t="s">
        <v>1461</v>
      </c>
      <c r="E300" s="22" t="s">
        <v>19</v>
      </c>
      <c r="F300" s="22" t="s">
        <v>1501</v>
      </c>
      <c r="G300" s="22">
        <v>22.38</v>
      </c>
      <c r="H300" s="22">
        <v>1</v>
      </c>
      <c r="I300" s="22">
        <v>1.119</v>
      </c>
      <c r="J300" s="23">
        <v>23.498999999999999</v>
      </c>
      <c r="K300" s="24" t="s">
        <v>1487</v>
      </c>
      <c r="L300" s="25">
        <v>0.71388888888888891</v>
      </c>
      <c r="M300" s="22" t="s">
        <v>1477</v>
      </c>
      <c r="N300" s="26">
        <v>22.38</v>
      </c>
      <c r="O300" s="27">
        <f t="shared" si="4"/>
        <v>4.761904762E-2</v>
      </c>
      <c r="P300" s="23">
        <v>1.119</v>
      </c>
      <c r="Q300" s="28">
        <v>8.6</v>
      </c>
    </row>
    <row r="301" spans="1:17" x14ac:dyDescent="0.35">
      <c r="A301" s="21" t="s">
        <v>1825</v>
      </c>
      <c r="B301" s="22" t="s">
        <v>1475</v>
      </c>
      <c r="C301" s="22" t="s">
        <v>1476</v>
      </c>
      <c r="D301" s="22" t="s">
        <v>1479</v>
      </c>
      <c r="E301" s="22" t="s">
        <v>19</v>
      </c>
      <c r="F301" s="22" t="s">
        <v>1486</v>
      </c>
      <c r="G301" s="22">
        <v>72.88</v>
      </c>
      <c r="H301" s="22">
        <v>9</v>
      </c>
      <c r="I301" s="22">
        <v>32.795999999999999</v>
      </c>
      <c r="J301" s="23">
        <v>688.71600000000001</v>
      </c>
      <c r="K301" s="24">
        <v>43678</v>
      </c>
      <c r="L301" s="25">
        <v>0.81805555555555554</v>
      </c>
      <c r="M301" s="22" t="s">
        <v>1464</v>
      </c>
      <c r="N301" s="26">
        <v>655.92</v>
      </c>
      <c r="O301" s="27">
        <f t="shared" si="4"/>
        <v>4.761904762E-2</v>
      </c>
      <c r="P301" s="23">
        <v>32.795999999999999</v>
      </c>
      <c r="Q301" s="28">
        <v>4</v>
      </c>
    </row>
    <row r="302" spans="1:17" x14ac:dyDescent="0.35">
      <c r="A302" s="21" t="s">
        <v>1826</v>
      </c>
      <c r="B302" s="22" t="s">
        <v>1459</v>
      </c>
      <c r="C302" s="22" t="s">
        <v>1460</v>
      </c>
      <c r="D302" s="22" t="s">
        <v>1461</v>
      </c>
      <c r="E302" s="22" t="s">
        <v>19</v>
      </c>
      <c r="F302" s="22" t="s">
        <v>1468</v>
      </c>
      <c r="G302" s="22">
        <v>99.1</v>
      </c>
      <c r="H302" s="22">
        <v>6</v>
      </c>
      <c r="I302" s="22">
        <v>29.73</v>
      </c>
      <c r="J302" s="23">
        <v>624.33000000000004</v>
      </c>
      <c r="K302" s="24" t="s">
        <v>1528</v>
      </c>
      <c r="L302" s="25">
        <v>0.5493055555555556</v>
      </c>
      <c r="M302" s="22" t="s">
        <v>1464</v>
      </c>
      <c r="N302" s="26">
        <v>594.6</v>
      </c>
      <c r="O302" s="27">
        <f t="shared" si="4"/>
        <v>4.761904762E-2</v>
      </c>
      <c r="P302" s="23">
        <v>29.73</v>
      </c>
      <c r="Q302" s="28">
        <v>4.2</v>
      </c>
    </row>
    <row r="303" spans="1:17" x14ac:dyDescent="0.35">
      <c r="A303" s="21" t="s">
        <v>1827</v>
      </c>
      <c r="B303" s="22" t="s">
        <v>1459</v>
      </c>
      <c r="C303" s="22" t="s">
        <v>1460</v>
      </c>
      <c r="D303" s="22" t="s">
        <v>1461</v>
      </c>
      <c r="E303" s="22" t="s">
        <v>27</v>
      </c>
      <c r="F303" s="22" t="s">
        <v>1468</v>
      </c>
      <c r="G303" s="22">
        <v>74.099999999999994</v>
      </c>
      <c r="H303" s="22">
        <v>1</v>
      </c>
      <c r="I303" s="22">
        <v>3.7050000000000001</v>
      </c>
      <c r="J303" s="23">
        <v>77.805000000000007</v>
      </c>
      <c r="K303" s="24" t="s">
        <v>1584</v>
      </c>
      <c r="L303" s="25">
        <v>0.46180555555555558</v>
      </c>
      <c r="M303" s="22" t="s">
        <v>1464</v>
      </c>
      <c r="N303" s="26">
        <v>74.099999999999994</v>
      </c>
      <c r="O303" s="27">
        <f t="shared" si="4"/>
        <v>4.761904762E-2</v>
      </c>
      <c r="P303" s="23">
        <v>3.7050000000000001</v>
      </c>
      <c r="Q303" s="28">
        <v>9.1999999999999993</v>
      </c>
    </row>
    <row r="304" spans="1:17" x14ac:dyDescent="0.35">
      <c r="A304" s="21" t="s">
        <v>1828</v>
      </c>
      <c r="B304" s="22" t="s">
        <v>1459</v>
      </c>
      <c r="C304" s="22" t="s">
        <v>1460</v>
      </c>
      <c r="D304" s="22" t="s">
        <v>1461</v>
      </c>
      <c r="E304" s="22" t="s">
        <v>19</v>
      </c>
      <c r="F304" s="22" t="s">
        <v>1468</v>
      </c>
      <c r="G304" s="22">
        <v>98.48</v>
      </c>
      <c r="H304" s="22">
        <v>2</v>
      </c>
      <c r="I304" s="22">
        <v>9.8480000000000008</v>
      </c>
      <c r="J304" s="23">
        <v>206.80799999999999</v>
      </c>
      <c r="K304" s="24" t="s">
        <v>1645</v>
      </c>
      <c r="L304" s="25">
        <v>0.42499999999999999</v>
      </c>
      <c r="M304" s="22" t="s">
        <v>1469</v>
      </c>
      <c r="N304" s="26">
        <v>196.96</v>
      </c>
      <c r="O304" s="27">
        <f t="shared" si="4"/>
        <v>4.761904762E-2</v>
      </c>
      <c r="P304" s="23">
        <v>9.8480000000000008</v>
      </c>
      <c r="Q304" s="28">
        <v>9.1999999999999993</v>
      </c>
    </row>
    <row r="305" spans="1:17" x14ac:dyDescent="0.35">
      <c r="A305" s="21" t="s">
        <v>1829</v>
      </c>
      <c r="B305" s="22" t="s">
        <v>1475</v>
      </c>
      <c r="C305" s="22" t="s">
        <v>1476</v>
      </c>
      <c r="D305" s="22" t="s">
        <v>1461</v>
      </c>
      <c r="E305" s="22" t="s">
        <v>27</v>
      </c>
      <c r="F305" s="22" t="s">
        <v>1473</v>
      </c>
      <c r="G305" s="22">
        <v>53.19</v>
      </c>
      <c r="H305" s="22">
        <v>7</v>
      </c>
      <c r="I305" s="22">
        <v>18.616499999999998</v>
      </c>
      <c r="J305" s="23">
        <v>390.94650000000001</v>
      </c>
      <c r="K305" s="24" t="s">
        <v>1518</v>
      </c>
      <c r="L305" s="25">
        <v>0.65416666666666667</v>
      </c>
      <c r="M305" s="22" t="s">
        <v>1469</v>
      </c>
      <c r="N305" s="26">
        <v>372.33</v>
      </c>
      <c r="O305" s="27">
        <f t="shared" si="4"/>
        <v>4.761904762E-2</v>
      </c>
      <c r="P305" s="23">
        <v>18.616499999999998</v>
      </c>
      <c r="Q305" s="28">
        <v>5</v>
      </c>
    </row>
    <row r="306" spans="1:17" x14ac:dyDescent="0.35">
      <c r="A306" s="21" t="s">
        <v>1830</v>
      </c>
      <c r="B306" s="22" t="s">
        <v>1466</v>
      </c>
      <c r="C306" s="22" t="s">
        <v>1467</v>
      </c>
      <c r="D306" s="22" t="s">
        <v>1461</v>
      </c>
      <c r="E306" s="22" t="s">
        <v>19</v>
      </c>
      <c r="F306" s="22" t="s">
        <v>1462</v>
      </c>
      <c r="G306" s="22">
        <v>52.79</v>
      </c>
      <c r="H306" s="22">
        <v>10</v>
      </c>
      <c r="I306" s="22">
        <v>26.395</v>
      </c>
      <c r="J306" s="23">
        <v>554.29499999999996</v>
      </c>
      <c r="K306" s="24" t="s">
        <v>1506</v>
      </c>
      <c r="L306" s="25">
        <v>0.49861111111111112</v>
      </c>
      <c r="M306" s="22" t="s">
        <v>1469</v>
      </c>
      <c r="N306" s="26">
        <v>527.9</v>
      </c>
      <c r="O306" s="27">
        <f t="shared" si="4"/>
        <v>4.761904762E-2</v>
      </c>
      <c r="P306" s="23">
        <v>26.395</v>
      </c>
      <c r="Q306" s="28">
        <v>10</v>
      </c>
    </row>
    <row r="307" spans="1:17" x14ac:dyDescent="0.35">
      <c r="A307" s="21" t="s">
        <v>1831</v>
      </c>
      <c r="B307" s="22" t="s">
        <v>1459</v>
      </c>
      <c r="C307" s="22" t="s">
        <v>1460</v>
      </c>
      <c r="D307" s="22" t="s">
        <v>1479</v>
      </c>
      <c r="E307" s="22" t="s">
        <v>19</v>
      </c>
      <c r="F307" s="22" t="s">
        <v>1473</v>
      </c>
      <c r="G307" s="22">
        <v>95.95</v>
      </c>
      <c r="H307" s="22">
        <v>5</v>
      </c>
      <c r="I307" s="22">
        <v>23.987500000000001</v>
      </c>
      <c r="J307" s="23">
        <v>503.73750000000001</v>
      </c>
      <c r="K307" s="24" t="s">
        <v>1463</v>
      </c>
      <c r="L307" s="25">
        <v>0.59791666666666665</v>
      </c>
      <c r="M307" s="22" t="s">
        <v>1469</v>
      </c>
      <c r="N307" s="26">
        <v>479.75</v>
      </c>
      <c r="O307" s="27">
        <f t="shared" si="4"/>
        <v>4.761904762E-2</v>
      </c>
      <c r="P307" s="23">
        <v>23.987500000000001</v>
      </c>
      <c r="Q307" s="28">
        <v>8.8000000000000007</v>
      </c>
    </row>
    <row r="308" spans="1:17" x14ac:dyDescent="0.35">
      <c r="A308" s="21" t="s">
        <v>1832</v>
      </c>
      <c r="B308" s="22" t="s">
        <v>1466</v>
      </c>
      <c r="C308" s="22" t="s">
        <v>1467</v>
      </c>
      <c r="D308" s="22" t="s">
        <v>1461</v>
      </c>
      <c r="E308" s="22" t="s">
        <v>19</v>
      </c>
      <c r="F308" s="22" t="s">
        <v>1468</v>
      </c>
      <c r="G308" s="22">
        <v>36.51</v>
      </c>
      <c r="H308" s="22">
        <v>9</v>
      </c>
      <c r="I308" s="22">
        <v>16.429500000000001</v>
      </c>
      <c r="J308" s="23">
        <v>345.01949999999999</v>
      </c>
      <c r="K308" s="24" t="s">
        <v>1579</v>
      </c>
      <c r="L308" s="25">
        <v>0.45277777777777778</v>
      </c>
      <c r="M308" s="22" t="s">
        <v>1464</v>
      </c>
      <c r="N308" s="26">
        <v>328.59</v>
      </c>
      <c r="O308" s="27">
        <f t="shared" si="4"/>
        <v>4.761904762E-2</v>
      </c>
      <c r="P308" s="23">
        <v>16.429500000000001</v>
      </c>
      <c r="Q308" s="28">
        <v>4.2</v>
      </c>
    </row>
    <row r="309" spans="1:17" x14ac:dyDescent="0.35">
      <c r="A309" s="21" t="s">
        <v>1833</v>
      </c>
      <c r="B309" s="22" t="s">
        <v>1466</v>
      </c>
      <c r="C309" s="22" t="s">
        <v>1467</v>
      </c>
      <c r="D309" s="22" t="s">
        <v>1461</v>
      </c>
      <c r="E309" s="22" t="s">
        <v>27</v>
      </c>
      <c r="F309" s="22" t="s">
        <v>1486</v>
      </c>
      <c r="G309" s="22">
        <v>21.12</v>
      </c>
      <c r="H309" s="22">
        <v>8</v>
      </c>
      <c r="I309" s="22">
        <v>8.4480000000000004</v>
      </c>
      <c r="J309" s="23">
        <v>177.40799999999999</v>
      </c>
      <c r="K309" s="24">
        <v>43466</v>
      </c>
      <c r="L309" s="25">
        <v>0.81319444444444444</v>
      </c>
      <c r="M309" s="22" t="s">
        <v>1464</v>
      </c>
      <c r="N309" s="26">
        <v>168.96</v>
      </c>
      <c r="O309" s="27">
        <f t="shared" si="4"/>
        <v>4.761904762E-2</v>
      </c>
      <c r="P309" s="23">
        <v>8.4480000000000004</v>
      </c>
      <c r="Q309" s="28">
        <v>6.3</v>
      </c>
    </row>
    <row r="310" spans="1:17" x14ac:dyDescent="0.35">
      <c r="A310" s="21" t="s">
        <v>1834</v>
      </c>
      <c r="B310" s="22" t="s">
        <v>1459</v>
      </c>
      <c r="C310" s="22" t="s">
        <v>1460</v>
      </c>
      <c r="D310" s="22" t="s">
        <v>1479</v>
      </c>
      <c r="E310" s="22" t="s">
        <v>19</v>
      </c>
      <c r="F310" s="22" t="s">
        <v>1482</v>
      </c>
      <c r="G310" s="22">
        <v>28.31</v>
      </c>
      <c r="H310" s="22">
        <v>4</v>
      </c>
      <c r="I310" s="22">
        <v>5.6619999999999999</v>
      </c>
      <c r="J310" s="23">
        <v>118.902</v>
      </c>
      <c r="K310" s="24">
        <v>43649</v>
      </c>
      <c r="L310" s="25">
        <v>0.77430555555555558</v>
      </c>
      <c r="M310" s="22" t="s">
        <v>1464</v>
      </c>
      <c r="N310" s="26">
        <v>113.24</v>
      </c>
      <c r="O310" s="27">
        <f t="shared" si="4"/>
        <v>4.761904762E-2</v>
      </c>
      <c r="P310" s="23">
        <v>5.6619999999999999</v>
      </c>
      <c r="Q310" s="28">
        <v>8.1999999999999993</v>
      </c>
    </row>
    <row r="311" spans="1:17" x14ac:dyDescent="0.35">
      <c r="A311" s="21" t="s">
        <v>1835</v>
      </c>
      <c r="B311" s="22" t="s">
        <v>1466</v>
      </c>
      <c r="C311" s="22" t="s">
        <v>1467</v>
      </c>
      <c r="D311" s="22" t="s">
        <v>1461</v>
      </c>
      <c r="E311" s="22" t="s">
        <v>27</v>
      </c>
      <c r="F311" s="22" t="s">
        <v>1473</v>
      </c>
      <c r="G311" s="22">
        <v>57.59</v>
      </c>
      <c r="H311" s="22">
        <v>6</v>
      </c>
      <c r="I311" s="22">
        <v>17.277000000000001</v>
      </c>
      <c r="J311" s="23">
        <v>362.81700000000001</v>
      </c>
      <c r="K311" s="24" t="s">
        <v>1544</v>
      </c>
      <c r="L311" s="25">
        <v>0.57708333333333328</v>
      </c>
      <c r="M311" s="22" t="s">
        <v>1464</v>
      </c>
      <c r="N311" s="26">
        <v>345.54</v>
      </c>
      <c r="O311" s="27">
        <f t="shared" si="4"/>
        <v>4.761904762E-2</v>
      </c>
      <c r="P311" s="23">
        <v>17.277000000000001</v>
      </c>
      <c r="Q311" s="28">
        <v>5.0999999999999996</v>
      </c>
    </row>
    <row r="312" spans="1:17" x14ac:dyDescent="0.35">
      <c r="A312" s="21" t="s">
        <v>1836</v>
      </c>
      <c r="B312" s="22" t="s">
        <v>1459</v>
      </c>
      <c r="C312" s="22" t="s">
        <v>1460</v>
      </c>
      <c r="D312" s="22" t="s">
        <v>1479</v>
      </c>
      <c r="E312" s="22" t="s">
        <v>19</v>
      </c>
      <c r="F312" s="22" t="s">
        <v>1486</v>
      </c>
      <c r="G312" s="22">
        <v>47.63</v>
      </c>
      <c r="H312" s="22">
        <v>9</v>
      </c>
      <c r="I312" s="22">
        <v>21.433499999999999</v>
      </c>
      <c r="J312" s="23">
        <v>450.1035</v>
      </c>
      <c r="K312" s="24" t="s">
        <v>1463</v>
      </c>
      <c r="L312" s="25">
        <v>0.52430555555555558</v>
      </c>
      <c r="M312" s="22" t="s">
        <v>1464</v>
      </c>
      <c r="N312" s="26">
        <v>428.67</v>
      </c>
      <c r="O312" s="27">
        <f t="shared" si="4"/>
        <v>4.761904762E-2</v>
      </c>
      <c r="P312" s="23">
        <v>21.433499999999999</v>
      </c>
      <c r="Q312" s="28">
        <v>5</v>
      </c>
    </row>
    <row r="313" spans="1:17" x14ac:dyDescent="0.35">
      <c r="A313" s="21" t="s">
        <v>1837</v>
      </c>
      <c r="B313" s="22" t="s">
        <v>1475</v>
      </c>
      <c r="C313" s="22" t="s">
        <v>1476</v>
      </c>
      <c r="D313" s="22" t="s">
        <v>1479</v>
      </c>
      <c r="E313" s="22" t="s">
        <v>19</v>
      </c>
      <c r="F313" s="22" t="s">
        <v>1482</v>
      </c>
      <c r="G313" s="22">
        <v>86.27</v>
      </c>
      <c r="H313" s="22">
        <v>1</v>
      </c>
      <c r="I313" s="22">
        <v>4.3135000000000003</v>
      </c>
      <c r="J313" s="23">
        <v>90.583500000000001</v>
      </c>
      <c r="K313" s="24" t="s">
        <v>1516</v>
      </c>
      <c r="L313" s="25">
        <v>0.55833333333333335</v>
      </c>
      <c r="M313" s="22" t="s">
        <v>1469</v>
      </c>
      <c r="N313" s="26">
        <v>86.27</v>
      </c>
      <c r="O313" s="27">
        <f t="shared" si="4"/>
        <v>4.761904762E-2</v>
      </c>
      <c r="P313" s="23">
        <v>4.3135000000000003</v>
      </c>
      <c r="Q313" s="28">
        <v>7</v>
      </c>
    </row>
    <row r="314" spans="1:17" x14ac:dyDescent="0.35">
      <c r="A314" s="21" t="s">
        <v>1838</v>
      </c>
      <c r="B314" s="22" t="s">
        <v>1459</v>
      </c>
      <c r="C314" s="22" t="s">
        <v>1460</v>
      </c>
      <c r="D314" s="22" t="s">
        <v>1479</v>
      </c>
      <c r="E314" s="22" t="s">
        <v>27</v>
      </c>
      <c r="F314" s="22" t="s">
        <v>1501</v>
      </c>
      <c r="G314" s="22">
        <v>12.76</v>
      </c>
      <c r="H314" s="22">
        <v>2</v>
      </c>
      <c r="I314" s="22">
        <v>1.276</v>
      </c>
      <c r="J314" s="23">
        <v>26.795999999999999</v>
      </c>
      <c r="K314" s="24">
        <v>43678</v>
      </c>
      <c r="L314" s="25">
        <v>0.75416666666666665</v>
      </c>
      <c r="M314" s="22" t="s">
        <v>1469</v>
      </c>
      <c r="N314" s="26">
        <v>25.52</v>
      </c>
      <c r="O314" s="27">
        <f t="shared" si="4"/>
        <v>4.761904762E-2</v>
      </c>
      <c r="P314" s="23">
        <v>1.276</v>
      </c>
      <c r="Q314" s="28">
        <v>7.8</v>
      </c>
    </row>
    <row r="315" spans="1:17" x14ac:dyDescent="0.35">
      <c r="A315" s="21" t="s">
        <v>1839</v>
      </c>
      <c r="B315" s="22" t="s">
        <v>1466</v>
      </c>
      <c r="C315" s="22" t="s">
        <v>1467</v>
      </c>
      <c r="D315" s="22" t="s">
        <v>1461</v>
      </c>
      <c r="E315" s="22" t="s">
        <v>19</v>
      </c>
      <c r="F315" s="22" t="s">
        <v>1482</v>
      </c>
      <c r="G315" s="22">
        <v>11.28</v>
      </c>
      <c r="H315" s="22">
        <v>9</v>
      </c>
      <c r="I315" s="22">
        <v>5.0759999999999996</v>
      </c>
      <c r="J315" s="23">
        <v>106.596</v>
      </c>
      <c r="K315" s="24" t="s">
        <v>1555</v>
      </c>
      <c r="L315" s="25">
        <v>0.49652777777777779</v>
      </c>
      <c r="M315" s="22" t="s">
        <v>1477</v>
      </c>
      <c r="N315" s="26">
        <v>101.52</v>
      </c>
      <c r="O315" s="27">
        <f t="shared" si="4"/>
        <v>4.761904762E-2</v>
      </c>
      <c r="P315" s="23">
        <v>5.0759999999999996</v>
      </c>
      <c r="Q315" s="28">
        <v>4.3</v>
      </c>
    </row>
    <row r="316" spans="1:17" x14ac:dyDescent="0.35">
      <c r="A316" s="21" t="s">
        <v>1840</v>
      </c>
      <c r="B316" s="22" t="s">
        <v>1466</v>
      </c>
      <c r="C316" s="22" t="s">
        <v>1467</v>
      </c>
      <c r="D316" s="22" t="s">
        <v>1461</v>
      </c>
      <c r="E316" s="22" t="s">
        <v>19</v>
      </c>
      <c r="F316" s="22" t="s">
        <v>1482</v>
      </c>
      <c r="G316" s="22">
        <v>51.07</v>
      </c>
      <c r="H316" s="22">
        <v>7</v>
      </c>
      <c r="I316" s="22">
        <v>17.874500000000001</v>
      </c>
      <c r="J316" s="23">
        <v>375.36450000000002</v>
      </c>
      <c r="K316" s="24">
        <v>43800</v>
      </c>
      <c r="L316" s="25">
        <v>0.48749999999999999</v>
      </c>
      <c r="M316" s="22" t="s">
        <v>1464</v>
      </c>
      <c r="N316" s="26">
        <v>357.49</v>
      </c>
      <c r="O316" s="27">
        <f t="shared" si="4"/>
        <v>4.761904762E-2</v>
      </c>
      <c r="P316" s="23">
        <v>17.874500000000001</v>
      </c>
      <c r="Q316" s="28">
        <v>7</v>
      </c>
    </row>
    <row r="317" spans="1:17" x14ac:dyDescent="0.35">
      <c r="A317" s="21" t="s">
        <v>1841</v>
      </c>
      <c r="B317" s="22" t="s">
        <v>1459</v>
      </c>
      <c r="C317" s="22" t="s">
        <v>1460</v>
      </c>
      <c r="D317" s="22" t="s">
        <v>1479</v>
      </c>
      <c r="E317" s="22" t="s">
        <v>19</v>
      </c>
      <c r="F317" s="22" t="s">
        <v>1462</v>
      </c>
      <c r="G317" s="22">
        <v>79.59</v>
      </c>
      <c r="H317" s="22">
        <v>3</v>
      </c>
      <c r="I317" s="22">
        <v>11.938499999999999</v>
      </c>
      <c r="J317" s="23">
        <v>250.70849999999999</v>
      </c>
      <c r="K317" s="24">
        <v>43678</v>
      </c>
      <c r="L317" s="25">
        <v>0.60416666666666663</v>
      </c>
      <c r="M317" s="22" t="s">
        <v>1464</v>
      </c>
      <c r="N317" s="26">
        <v>238.77</v>
      </c>
      <c r="O317" s="27">
        <f t="shared" si="4"/>
        <v>4.761904762E-2</v>
      </c>
      <c r="P317" s="23">
        <v>11.938499999999999</v>
      </c>
      <c r="Q317" s="28">
        <v>6.6</v>
      </c>
    </row>
    <row r="318" spans="1:17" x14ac:dyDescent="0.35">
      <c r="A318" s="21" t="s">
        <v>1842</v>
      </c>
      <c r="B318" s="22" t="s">
        <v>1475</v>
      </c>
      <c r="C318" s="22" t="s">
        <v>1476</v>
      </c>
      <c r="D318" s="22" t="s">
        <v>1479</v>
      </c>
      <c r="E318" s="22" t="s">
        <v>27</v>
      </c>
      <c r="F318" s="22" t="s">
        <v>1473</v>
      </c>
      <c r="G318" s="22">
        <v>33.81</v>
      </c>
      <c r="H318" s="22">
        <v>3</v>
      </c>
      <c r="I318" s="22">
        <v>5.0715000000000003</v>
      </c>
      <c r="J318" s="23">
        <v>106.50149999999999</v>
      </c>
      <c r="K318" s="24" t="s">
        <v>1548</v>
      </c>
      <c r="L318" s="25">
        <v>0.63263888888888886</v>
      </c>
      <c r="M318" s="22" t="s">
        <v>1469</v>
      </c>
      <c r="N318" s="26">
        <v>101.43</v>
      </c>
      <c r="O318" s="27">
        <f t="shared" si="4"/>
        <v>4.761904762E-2</v>
      </c>
      <c r="P318" s="23">
        <v>5.0715000000000003</v>
      </c>
      <c r="Q318" s="28">
        <v>7.3</v>
      </c>
    </row>
    <row r="319" spans="1:17" x14ac:dyDescent="0.35">
      <c r="A319" s="21" t="s">
        <v>1843</v>
      </c>
      <c r="B319" s="22" t="s">
        <v>1466</v>
      </c>
      <c r="C319" s="22" t="s">
        <v>1467</v>
      </c>
      <c r="D319" s="22" t="s">
        <v>1479</v>
      </c>
      <c r="E319" s="22" t="s">
        <v>27</v>
      </c>
      <c r="F319" s="22" t="s">
        <v>1501</v>
      </c>
      <c r="G319" s="22">
        <v>90.53</v>
      </c>
      <c r="H319" s="22">
        <v>8</v>
      </c>
      <c r="I319" s="22">
        <v>36.212000000000003</v>
      </c>
      <c r="J319" s="23">
        <v>760.452</v>
      </c>
      <c r="K319" s="24" t="s">
        <v>1541</v>
      </c>
      <c r="L319" s="25">
        <v>0.6166666666666667</v>
      </c>
      <c r="M319" s="22" t="s">
        <v>1477</v>
      </c>
      <c r="N319" s="26">
        <v>724.24</v>
      </c>
      <c r="O319" s="27">
        <f t="shared" si="4"/>
        <v>4.761904762E-2</v>
      </c>
      <c r="P319" s="23">
        <v>36.212000000000003</v>
      </c>
      <c r="Q319" s="28">
        <v>6.5</v>
      </c>
    </row>
    <row r="320" spans="1:17" x14ac:dyDescent="0.35">
      <c r="A320" s="21" t="s">
        <v>1844</v>
      </c>
      <c r="B320" s="22" t="s">
        <v>1475</v>
      </c>
      <c r="C320" s="22" t="s">
        <v>1476</v>
      </c>
      <c r="D320" s="22" t="s">
        <v>1479</v>
      </c>
      <c r="E320" s="22" t="s">
        <v>19</v>
      </c>
      <c r="F320" s="22" t="s">
        <v>1473</v>
      </c>
      <c r="G320" s="22">
        <v>62.82</v>
      </c>
      <c r="H320" s="22">
        <v>2</v>
      </c>
      <c r="I320" s="22">
        <v>6.282</v>
      </c>
      <c r="J320" s="23">
        <v>131.922</v>
      </c>
      <c r="K320" s="24" t="s">
        <v>1499</v>
      </c>
      <c r="L320" s="25">
        <v>0.52500000000000002</v>
      </c>
      <c r="M320" s="22" t="s">
        <v>1469</v>
      </c>
      <c r="N320" s="26">
        <v>125.64</v>
      </c>
      <c r="O320" s="27">
        <f t="shared" si="4"/>
        <v>4.761904762E-2</v>
      </c>
      <c r="P320" s="23">
        <v>6.282</v>
      </c>
      <c r="Q320" s="28">
        <v>4.9000000000000004</v>
      </c>
    </row>
    <row r="321" spans="1:17" x14ac:dyDescent="0.35">
      <c r="A321" s="21" t="s">
        <v>1845</v>
      </c>
      <c r="B321" s="22" t="s">
        <v>1475</v>
      </c>
      <c r="C321" s="22" t="s">
        <v>1476</v>
      </c>
      <c r="D321" s="22" t="s">
        <v>1479</v>
      </c>
      <c r="E321" s="22" t="s">
        <v>27</v>
      </c>
      <c r="F321" s="22" t="s">
        <v>1486</v>
      </c>
      <c r="G321" s="22">
        <v>24.31</v>
      </c>
      <c r="H321" s="22">
        <v>3</v>
      </c>
      <c r="I321" s="22">
        <v>3.6465000000000001</v>
      </c>
      <c r="J321" s="23">
        <v>76.576499999999996</v>
      </c>
      <c r="K321" s="24">
        <v>43678</v>
      </c>
      <c r="L321" s="25">
        <v>0.79791666666666672</v>
      </c>
      <c r="M321" s="22" t="s">
        <v>1477</v>
      </c>
      <c r="N321" s="26">
        <v>72.930000000000007</v>
      </c>
      <c r="O321" s="27">
        <f t="shared" si="4"/>
        <v>4.761904762E-2</v>
      </c>
      <c r="P321" s="23">
        <v>3.6465000000000001</v>
      </c>
      <c r="Q321" s="28">
        <v>4.3</v>
      </c>
    </row>
    <row r="322" spans="1:17" x14ac:dyDescent="0.35">
      <c r="A322" s="21" t="s">
        <v>1846</v>
      </c>
      <c r="B322" s="22" t="s">
        <v>1459</v>
      </c>
      <c r="C322" s="22" t="s">
        <v>1460</v>
      </c>
      <c r="D322" s="22" t="s">
        <v>1461</v>
      </c>
      <c r="E322" s="22" t="s">
        <v>27</v>
      </c>
      <c r="F322" s="22" t="s">
        <v>1501</v>
      </c>
      <c r="G322" s="22">
        <v>64.59</v>
      </c>
      <c r="H322" s="22">
        <v>4</v>
      </c>
      <c r="I322" s="22">
        <v>12.917999999999999</v>
      </c>
      <c r="J322" s="23">
        <v>271.27800000000002</v>
      </c>
      <c r="K322" s="24">
        <v>43617</v>
      </c>
      <c r="L322" s="25">
        <v>0.56597222222222221</v>
      </c>
      <c r="M322" s="22" t="s">
        <v>1469</v>
      </c>
      <c r="N322" s="26">
        <v>258.36</v>
      </c>
      <c r="O322" s="27">
        <f t="shared" ref="O322:O385" si="5">4.761904762/100</f>
        <v>4.761904762E-2</v>
      </c>
      <c r="P322" s="23">
        <v>12.917999999999999</v>
      </c>
      <c r="Q322" s="28">
        <v>9.3000000000000007</v>
      </c>
    </row>
    <row r="323" spans="1:17" x14ac:dyDescent="0.35">
      <c r="A323" s="21" t="s">
        <v>1847</v>
      </c>
      <c r="B323" s="22" t="s">
        <v>1459</v>
      </c>
      <c r="C323" s="22" t="s">
        <v>1460</v>
      </c>
      <c r="D323" s="22" t="s">
        <v>1479</v>
      </c>
      <c r="E323" s="22" t="s">
        <v>27</v>
      </c>
      <c r="F323" s="22" t="s">
        <v>1486</v>
      </c>
      <c r="G323" s="22">
        <v>24.82</v>
      </c>
      <c r="H323" s="22">
        <v>7</v>
      </c>
      <c r="I323" s="22">
        <v>8.6869999999999994</v>
      </c>
      <c r="J323" s="23">
        <v>182.42699999999999</v>
      </c>
      <c r="K323" s="24" t="s">
        <v>1579</v>
      </c>
      <c r="L323" s="25">
        <v>0.43958333333333333</v>
      </c>
      <c r="M323" s="22" t="s">
        <v>1477</v>
      </c>
      <c r="N323" s="26">
        <v>173.74</v>
      </c>
      <c r="O323" s="27">
        <f t="shared" si="5"/>
        <v>4.761904762E-2</v>
      </c>
      <c r="P323" s="23">
        <v>8.6869999999999994</v>
      </c>
      <c r="Q323" s="28">
        <v>7.1</v>
      </c>
    </row>
    <row r="324" spans="1:17" x14ac:dyDescent="0.35">
      <c r="A324" s="21" t="s">
        <v>1848</v>
      </c>
      <c r="B324" s="22" t="s">
        <v>1475</v>
      </c>
      <c r="C324" s="22" t="s">
        <v>1476</v>
      </c>
      <c r="D324" s="22" t="s">
        <v>1461</v>
      </c>
      <c r="E324" s="22" t="s">
        <v>27</v>
      </c>
      <c r="F324" s="22" t="s">
        <v>1468</v>
      </c>
      <c r="G324" s="22">
        <v>56.5</v>
      </c>
      <c r="H324" s="22">
        <v>1</v>
      </c>
      <c r="I324" s="22">
        <v>2.8250000000000002</v>
      </c>
      <c r="J324" s="23">
        <v>59.325000000000003</v>
      </c>
      <c r="K324" s="24" t="s">
        <v>1658</v>
      </c>
      <c r="L324" s="25">
        <v>0.65625</v>
      </c>
      <c r="M324" s="22" t="s">
        <v>1469</v>
      </c>
      <c r="N324" s="26">
        <v>56.5</v>
      </c>
      <c r="O324" s="27">
        <f t="shared" si="5"/>
        <v>4.761904762E-2</v>
      </c>
      <c r="P324" s="23">
        <v>2.8250000000000002</v>
      </c>
      <c r="Q324" s="28">
        <v>9.6</v>
      </c>
    </row>
    <row r="325" spans="1:17" x14ac:dyDescent="0.35">
      <c r="A325" s="21" t="s">
        <v>1849</v>
      </c>
      <c r="B325" s="22" t="s">
        <v>1466</v>
      </c>
      <c r="C325" s="22" t="s">
        <v>1467</v>
      </c>
      <c r="D325" s="22" t="s">
        <v>1479</v>
      </c>
      <c r="E325" s="22" t="s">
        <v>19</v>
      </c>
      <c r="F325" s="22" t="s">
        <v>1462</v>
      </c>
      <c r="G325" s="22">
        <v>21.43</v>
      </c>
      <c r="H325" s="22">
        <v>10</v>
      </c>
      <c r="I325" s="22">
        <v>10.715</v>
      </c>
      <c r="J325" s="23">
        <v>225.01499999999999</v>
      </c>
      <c r="K325" s="24" t="s">
        <v>1803</v>
      </c>
      <c r="L325" s="25">
        <v>0.49375000000000002</v>
      </c>
      <c r="M325" s="22" t="s">
        <v>1464</v>
      </c>
      <c r="N325" s="26">
        <v>214.3</v>
      </c>
      <c r="O325" s="27">
        <f t="shared" si="5"/>
        <v>4.761904762E-2</v>
      </c>
      <c r="P325" s="23">
        <v>10.715</v>
      </c>
      <c r="Q325" s="28">
        <v>6.2</v>
      </c>
    </row>
    <row r="326" spans="1:17" x14ac:dyDescent="0.35">
      <c r="A326" s="21" t="s">
        <v>1850</v>
      </c>
      <c r="B326" s="22" t="s">
        <v>1459</v>
      </c>
      <c r="C326" s="22" t="s">
        <v>1460</v>
      </c>
      <c r="D326" s="22" t="s">
        <v>1479</v>
      </c>
      <c r="E326" s="22" t="s">
        <v>27</v>
      </c>
      <c r="F326" s="22" t="s">
        <v>1501</v>
      </c>
      <c r="G326" s="22">
        <v>89.06</v>
      </c>
      <c r="H326" s="22">
        <v>6</v>
      </c>
      <c r="I326" s="22">
        <v>26.718</v>
      </c>
      <c r="J326" s="23">
        <v>561.07799999999997</v>
      </c>
      <c r="K326" s="24" t="s">
        <v>1608</v>
      </c>
      <c r="L326" s="25">
        <v>0.72638888888888886</v>
      </c>
      <c r="M326" s="22" t="s">
        <v>1464</v>
      </c>
      <c r="N326" s="26">
        <v>534.36</v>
      </c>
      <c r="O326" s="27">
        <f t="shared" si="5"/>
        <v>4.761904762E-2</v>
      </c>
      <c r="P326" s="23">
        <v>26.718</v>
      </c>
      <c r="Q326" s="28">
        <v>9.9</v>
      </c>
    </row>
    <row r="327" spans="1:17" x14ac:dyDescent="0.35">
      <c r="A327" s="21" t="s">
        <v>1851</v>
      </c>
      <c r="B327" s="22" t="s">
        <v>1459</v>
      </c>
      <c r="C327" s="22" t="s">
        <v>1460</v>
      </c>
      <c r="D327" s="22" t="s">
        <v>1479</v>
      </c>
      <c r="E327" s="22" t="s">
        <v>27</v>
      </c>
      <c r="F327" s="22" t="s">
        <v>1482</v>
      </c>
      <c r="G327" s="22">
        <v>23.29</v>
      </c>
      <c r="H327" s="22">
        <v>4</v>
      </c>
      <c r="I327" s="22">
        <v>4.6580000000000004</v>
      </c>
      <c r="J327" s="23">
        <v>97.817999999999998</v>
      </c>
      <c r="K327" s="24" t="s">
        <v>1596</v>
      </c>
      <c r="L327" s="25">
        <v>0.49444444444444446</v>
      </c>
      <c r="M327" s="22" t="s">
        <v>1477</v>
      </c>
      <c r="N327" s="26">
        <v>93.16</v>
      </c>
      <c r="O327" s="27">
        <f t="shared" si="5"/>
        <v>4.761904762E-2</v>
      </c>
      <c r="P327" s="23">
        <v>4.6580000000000004</v>
      </c>
      <c r="Q327" s="28">
        <v>5.9</v>
      </c>
    </row>
    <row r="328" spans="1:17" x14ac:dyDescent="0.35">
      <c r="A328" s="21" t="s">
        <v>1852</v>
      </c>
      <c r="B328" s="22" t="s">
        <v>1475</v>
      </c>
      <c r="C328" s="22" t="s">
        <v>1476</v>
      </c>
      <c r="D328" s="22" t="s">
        <v>1461</v>
      </c>
      <c r="E328" s="22" t="s">
        <v>27</v>
      </c>
      <c r="F328" s="22" t="s">
        <v>1482</v>
      </c>
      <c r="G328" s="22">
        <v>65.260000000000005</v>
      </c>
      <c r="H328" s="22">
        <v>8</v>
      </c>
      <c r="I328" s="22">
        <v>26.103999999999999</v>
      </c>
      <c r="J328" s="23">
        <v>548.18399999999997</v>
      </c>
      <c r="K328" s="24" t="s">
        <v>1541</v>
      </c>
      <c r="L328" s="25">
        <v>0.58611111111111114</v>
      </c>
      <c r="M328" s="22" t="s">
        <v>1469</v>
      </c>
      <c r="N328" s="26">
        <v>522.08000000000004</v>
      </c>
      <c r="O328" s="27">
        <f t="shared" si="5"/>
        <v>4.761904762E-2</v>
      </c>
      <c r="P328" s="23">
        <v>26.103999999999999</v>
      </c>
      <c r="Q328" s="28">
        <v>6.3</v>
      </c>
    </row>
    <row r="329" spans="1:17" x14ac:dyDescent="0.35">
      <c r="A329" s="21" t="s">
        <v>1853</v>
      </c>
      <c r="B329" s="22" t="s">
        <v>1475</v>
      </c>
      <c r="C329" s="22" t="s">
        <v>1476</v>
      </c>
      <c r="D329" s="22" t="s">
        <v>1479</v>
      </c>
      <c r="E329" s="22" t="s">
        <v>27</v>
      </c>
      <c r="F329" s="22" t="s">
        <v>1468</v>
      </c>
      <c r="G329" s="22">
        <v>52.35</v>
      </c>
      <c r="H329" s="22">
        <v>1</v>
      </c>
      <c r="I329" s="22">
        <v>2.6175000000000002</v>
      </c>
      <c r="J329" s="23">
        <v>54.967500000000001</v>
      </c>
      <c r="K329" s="24">
        <v>43801</v>
      </c>
      <c r="L329" s="25">
        <v>0.74236111111111114</v>
      </c>
      <c r="M329" s="22" t="s">
        <v>1464</v>
      </c>
      <c r="N329" s="26">
        <v>52.35</v>
      </c>
      <c r="O329" s="27">
        <f t="shared" si="5"/>
        <v>4.761904762E-2</v>
      </c>
      <c r="P329" s="23">
        <v>2.6175000000000002</v>
      </c>
      <c r="Q329" s="28">
        <v>4</v>
      </c>
    </row>
    <row r="330" spans="1:17" x14ac:dyDescent="0.35">
      <c r="A330" s="21" t="s">
        <v>1854</v>
      </c>
      <c r="B330" s="22" t="s">
        <v>1466</v>
      </c>
      <c r="C330" s="22" t="s">
        <v>1467</v>
      </c>
      <c r="D330" s="22" t="s">
        <v>1479</v>
      </c>
      <c r="E330" s="22" t="s">
        <v>27</v>
      </c>
      <c r="F330" s="22" t="s">
        <v>1462</v>
      </c>
      <c r="G330" s="22">
        <v>39.75</v>
      </c>
      <c r="H330" s="22">
        <v>1</v>
      </c>
      <c r="I330" s="22">
        <v>1.9875</v>
      </c>
      <c r="J330" s="23">
        <v>41.737499999999997</v>
      </c>
      <c r="K330" s="24" t="s">
        <v>1506</v>
      </c>
      <c r="L330" s="25">
        <v>0.84652777777777777</v>
      </c>
      <c r="M330" s="22" t="s">
        <v>1464</v>
      </c>
      <c r="N330" s="26">
        <v>39.75</v>
      </c>
      <c r="O330" s="27">
        <f t="shared" si="5"/>
        <v>4.761904762E-2</v>
      </c>
      <c r="P330" s="23">
        <v>1.9875</v>
      </c>
      <c r="Q330" s="28">
        <v>6.1</v>
      </c>
    </row>
    <row r="331" spans="1:17" x14ac:dyDescent="0.35">
      <c r="A331" s="21" t="s">
        <v>1855</v>
      </c>
      <c r="B331" s="22" t="s">
        <v>1459</v>
      </c>
      <c r="C331" s="22" t="s">
        <v>1460</v>
      </c>
      <c r="D331" s="22" t="s">
        <v>1461</v>
      </c>
      <c r="E331" s="22" t="s">
        <v>19</v>
      </c>
      <c r="F331" s="22" t="s">
        <v>1462</v>
      </c>
      <c r="G331" s="22">
        <v>90.02</v>
      </c>
      <c r="H331" s="22">
        <v>8</v>
      </c>
      <c r="I331" s="22">
        <v>36.008000000000003</v>
      </c>
      <c r="J331" s="23">
        <v>756.16800000000001</v>
      </c>
      <c r="K331" s="24" t="s">
        <v>1856</v>
      </c>
      <c r="L331" s="25">
        <v>0.67222222222222228</v>
      </c>
      <c r="M331" s="22" t="s">
        <v>1477</v>
      </c>
      <c r="N331" s="26">
        <v>720.16</v>
      </c>
      <c r="O331" s="27">
        <f t="shared" si="5"/>
        <v>4.761904762E-2</v>
      </c>
      <c r="P331" s="23">
        <v>36.008000000000003</v>
      </c>
      <c r="Q331" s="28">
        <v>4.5</v>
      </c>
    </row>
    <row r="332" spans="1:17" x14ac:dyDescent="0.35">
      <c r="A332" s="21" t="s">
        <v>1857</v>
      </c>
      <c r="B332" s="22" t="s">
        <v>1466</v>
      </c>
      <c r="C332" s="22" t="s">
        <v>1467</v>
      </c>
      <c r="D332" s="22" t="s">
        <v>1479</v>
      </c>
      <c r="E332" s="22" t="s">
        <v>19</v>
      </c>
      <c r="F332" s="22" t="s">
        <v>1462</v>
      </c>
      <c r="G332" s="22">
        <v>12.1</v>
      </c>
      <c r="H332" s="22">
        <v>8</v>
      </c>
      <c r="I332" s="22">
        <v>4.84</v>
      </c>
      <c r="J332" s="23">
        <v>101.64</v>
      </c>
      <c r="K332" s="24" t="s">
        <v>1528</v>
      </c>
      <c r="L332" s="25">
        <v>0.4284722222222222</v>
      </c>
      <c r="M332" s="22" t="s">
        <v>1469</v>
      </c>
      <c r="N332" s="26">
        <v>96.8</v>
      </c>
      <c r="O332" s="27">
        <f t="shared" si="5"/>
        <v>4.761904762E-2</v>
      </c>
      <c r="P332" s="23">
        <v>4.84</v>
      </c>
      <c r="Q332" s="28">
        <v>8.6</v>
      </c>
    </row>
    <row r="333" spans="1:17" x14ac:dyDescent="0.35">
      <c r="A333" s="21" t="s">
        <v>1858</v>
      </c>
      <c r="B333" s="22" t="s">
        <v>1466</v>
      </c>
      <c r="C333" s="22" t="s">
        <v>1467</v>
      </c>
      <c r="D333" s="22" t="s">
        <v>1479</v>
      </c>
      <c r="E333" s="22" t="s">
        <v>19</v>
      </c>
      <c r="F333" s="22" t="s">
        <v>1486</v>
      </c>
      <c r="G333" s="22">
        <v>33.21</v>
      </c>
      <c r="H333" s="22">
        <v>10</v>
      </c>
      <c r="I333" s="22">
        <v>16.605</v>
      </c>
      <c r="J333" s="23">
        <v>348.70499999999998</v>
      </c>
      <c r="K333" s="24">
        <v>43678</v>
      </c>
      <c r="L333" s="25">
        <v>0.60069444444444442</v>
      </c>
      <c r="M333" s="22" t="s">
        <v>1469</v>
      </c>
      <c r="N333" s="26">
        <v>332.1</v>
      </c>
      <c r="O333" s="27">
        <f t="shared" si="5"/>
        <v>4.761904762E-2</v>
      </c>
      <c r="P333" s="23">
        <v>16.605</v>
      </c>
      <c r="Q333" s="28">
        <v>6</v>
      </c>
    </row>
    <row r="334" spans="1:17" x14ac:dyDescent="0.35">
      <c r="A334" s="21" t="s">
        <v>1859</v>
      </c>
      <c r="B334" s="22" t="s">
        <v>1475</v>
      </c>
      <c r="C334" s="22" t="s">
        <v>1476</v>
      </c>
      <c r="D334" s="22" t="s">
        <v>1479</v>
      </c>
      <c r="E334" s="22" t="s">
        <v>19</v>
      </c>
      <c r="F334" s="22" t="s">
        <v>1468</v>
      </c>
      <c r="G334" s="22">
        <v>10.18</v>
      </c>
      <c r="H334" s="22">
        <v>8</v>
      </c>
      <c r="I334" s="22">
        <v>4.0720000000000001</v>
      </c>
      <c r="J334" s="23">
        <v>85.512</v>
      </c>
      <c r="K334" s="24" t="s">
        <v>1605</v>
      </c>
      <c r="L334" s="25">
        <v>0.53541666666666665</v>
      </c>
      <c r="M334" s="22" t="s">
        <v>1477</v>
      </c>
      <c r="N334" s="26">
        <v>81.44</v>
      </c>
      <c r="O334" s="27">
        <f t="shared" si="5"/>
        <v>4.761904762E-2</v>
      </c>
      <c r="P334" s="23">
        <v>4.0720000000000001</v>
      </c>
      <c r="Q334" s="28">
        <v>9.5</v>
      </c>
    </row>
    <row r="335" spans="1:17" x14ac:dyDescent="0.35">
      <c r="A335" s="21" t="s">
        <v>1860</v>
      </c>
      <c r="B335" s="22" t="s">
        <v>1466</v>
      </c>
      <c r="C335" s="22" t="s">
        <v>1467</v>
      </c>
      <c r="D335" s="22" t="s">
        <v>1479</v>
      </c>
      <c r="E335" s="22" t="s">
        <v>27</v>
      </c>
      <c r="F335" s="22" t="s">
        <v>1501</v>
      </c>
      <c r="G335" s="22">
        <v>31.99</v>
      </c>
      <c r="H335" s="22">
        <v>10</v>
      </c>
      <c r="I335" s="22">
        <v>15.994999999999999</v>
      </c>
      <c r="J335" s="23">
        <v>335.89499999999998</v>
      </c>
      <c r="K335" s="24" t="s">
        <v>1516</v>
      </c>
      <c r="L335" s="25">
        <v>0.63749999999999996</v>
      </c>
      <c r="M335" s="22" t="s">
        <v>1477</v>
      </c>
      <c r="N335" s="26">
        <v>319.89999999999998</v>
      </c>
      <c r="O335" s="27">
        <f t="shared" si="5"/>
        <v>4.761904762E-2</v>
      </c>
      <c r="P335" s="23">
        <v>15.994999999999999</v>
      </c>
      <c r="Q335" s="28">
        <v>9.9</v>
      </c>
    </row>
    <row r="336" spans="1:17" x14ac:dyDescent="0.35">
      <c r="A336" s="21" t="s">
        <v>1861</v>
      </c>
      <c r="B336" s="22" t="s">
        <v>1459</v>
      </c>
      <c r="C336" s="22" t="s">
        <v>1460</v>
      </c>
      <c r="D336" s="22" t="s">
        <v>1479</v>
      </c>
      <c r="E336" s="22" t="s">
        <v>19</v>
      </c>
      <c r="F336" s="22" t="s">
        <v>1482</v>
      </c>
      <c r="G336" s="22">
        <v>34.42</v>
      </c>
      <c r="H336" s="22">
        <v>6</v>
      </c>
      <c r="I336" s="22">
        <v>10.326000000000001</v>
      </c>
      <c r="J336" s="23">
        <v>216.846</v>
      </c>
      <c r="K336" s="24" t="s">
        <v>1605</v>
      </c>
      <c r="L336" s="25">
        <v>0.53125</v>
      </c>
      <c r="M336" s="22" t="s">
        <v>1469</v>
      </c>
      <c r="N336" s="26">
        <v>206.52</v>
      </c>
      <c r="O336" s="27">
        <f t="shared" si="5"/>
        <v>4.761904762E-2</v>
      </c>
      <c r="P336" s="23">
        <v>10.326000000000001</v>
      </c>
      <c r="Q336" s="28">
        <v>7.5</v>
      </c>
    </row>
    <row r="337" spans="1:17" x14ac:dyDescent="0.35">
      <c r="A337" s="21" t="s">
        <v>1862</v>
      </c>
      <c r="B337" s="22" t="s">
        <v>1459</v>
      </c>
      <c r="C337" s="22" t="s">
        <v>1460</v>
      </c>
      <c r="D337" s="22" t="s">
        <v>1479</v>
      </c>
      <c r="E337" s="22" t="s">
        <v>19</v>
      </c>
      <c r="F337" s="22" t="s">
        <v>1486</v>
      </c>
      <c r="G337" s="22">
        <v>83.34</v>
      </c>
      <c r="H337" s="22">
        <v>2</v>
      </c>
      <c r="I337" s="22">
        <v>8.3339999999999996</v>
      </c>
      <c r="J337" s="23">
        <v>175.01400000000001</v>
      </c>
      <c r="K337" s="24" t="s">
        <v>1596</v>
      </c>
      <c r="L337" s="25">
        <v>0.56736111111111109</v>
      </c>
      <c r="M337" s="22" t="s">
        <v>1464</v>
      </c>
      <c r="N337" s="26">
        <v>166.68</v>
      </c>
      <c r="O337" s="27">
        <f t="shared" si="5"/>
        <v>4.761904762E-2</v>
      </c>
      <c r="P337" s="23">
        <v>8.3339999999999996</v>
      </c>
      <c r="Q337" s="28">
        <v>7.6</v>
      </c>
    </row>
    <row r="338" spans="1:17" x14ac:dyDescent="0.35">
      <c r="A338" s="21" t="s">
        <v>1863</v>
      </c>
      <c r="B338" s="22" t="s">
        <v>1459</v>
      </c>
      <c r="C338" s="22" t="s">
        <v>1460</v>
      </c>
      <c r="D338" s="22" t="s">
        <v>1461</v>
      </c>
      <c r="E338" s="22" t="s">
        <v>27</v>
      </c>
      <c r="F338" s="22" t="s">
        <v>1501</v>
      </c>
      <c r="G338" s="22">
        <v>45.58</v>
      </c>
      <c r="H338" s="22">
        <v>7</v>
      </c>
      <c r="I338" s="22">
        <v>15.952999999999999</v>
      </c>
      <c r="J338" s="23">
        <v>335.01299999999998</v>
      </c>
      <c r="K338" s="24" t="s">
        <v>1511</v>
      </c>
      <c r="L338" s="25">
        <v>0.41875000000000001</v>
      </c>
      <c r="M338" s="22" t="s">
        <v>1464</v>
      </c>
      <c r="N338" s="26">
        <v>319.06</v>
      </c>
      <c r="O338" s="27">
        <f t="shared" si="5"/>
        <v>4.761904762E-2</v>
      </c>
      <c r="P338" s="23">
        <v>15.952999999999999</v>
      </c>
      <c r="Q338" s="28">
        <v>5</v>
      </c>
    </row>
    <row r="339" spans="1:17" x14ac:dyDescent="0.35">
      <c r="A339" s="21" t="s">
        <v>1864</v>
      </c>
      <c r="B339" s="22" t="s">
        <v>1459</v>
      </c>
      <c r="C339" s="22" t="s">
        <v>1460</v>
      </c>
      <c r="D339" s="22" t="s">
        <v>1479</v>
      </c>
      <c r="E339" s="22" t="s">
        <v>27</v>
      </c>
      <c r="F339" s="22" t="s">
        <v>1486</v>
      </c>
      <c r="G339" s="22">
        <v>87.9</v>
      </c>
      <c r="H339" s="22">
        <v>1</v>
      </c>
      <c r="I339" s="22">
        <v>4.3949999999999996</v>
      </c>
      <c r="J339" s="23">
        <v>92.295000000000002</v>
      </c>
      <c r="K339" s="24">
        <v>43587</v>
      </c>
      <c r="L339" s="25">
        <v>0.8208333333333333</v>
      </c>
      <c r="M339" s="22" t="s">
        <v>1469</v>
      </c>
      <c r="N339" s="26">
        <v>87.9</v>
      </c>
      <c r="O339" s="27">
        <f t="shared" si="5"/>
        <v>4.761904762E-2</v>
      </c>
      <c r="P339" s="23">
        <v>4.3949999999999996</v>
      </c>
      <c r="Q339" s="28">
        <v>6.7</v>
      </c>
    </row>
    <row r="340" spans="1:17" x14ac:dyDescent="0.35">
      <c r="A340" s="21" t="s">
        <v>1865</v>
      </c>
      <c r="B340" s="22" t="s">
        <v>1459</v>
      </c>
      <c r="C340" s="22" t="s">
        <v>1460</v>
      </c>
      <c r="D340" s="22" t="s">
        <v>1479</v>
      </c>
      <c r="E340" s="22" t="s">
        <v>19</v>
      </c>
      <c r="F340" s="22" t="s">
        <v>1462</v>
      </c>
      <c r="G340" s="22">
        <v>73.47</v>
      </c>
      <c r="H340" s="22">
        <v>10</v>
      </c>
      <c r="I340" s="22">
        <v>36.734999999999999</v>
      </c>
      <c r="J340" s="23">
        <v>771.43499999999995</v>
      </c>
      <c r="K340" s="24" t="s">
        <v>1711</v>
      </c>
      <c r="L340" s="25">
        <v>0.55138888888888893</v>
      </c>
      <c r="M340" s="22" t="s">
        <v>1469</v>
      </c>
      <c r="N340" s="26">
        <v>734.7</v>
      </c>
      <c r="O340" s="27">
        <f t="shared" si="5"/>
        <v>4.761904762E-2</v>
      </c>
      <c r="P340" s="23">
        <v>36.734999999999999</v>
      </c>
      <c r="Q340" s="28">
        <v>9.5</v>
      </c>
    </row>
    <row r="341" spans="1:17" x14ac:dyDescent="0.35">
      <c r="A341" s="21" t="s">
        <v>1866</v>
      </c>
      <c r="B341" s="22" t="s">
        <v>1475</v>
      </c>
      <c r="C341" s="22" t="s">
        <v>1476</v>
      </c>
      <c r="D341" s="22" t="s">
        <v>1461</v>
      </c>
      <c r="E341" s="22" t="s">
        <v>19</v>
      </c>
      <c r="F341" s="22" t="s">
        <v>1468</v>
      </c>
      <c r="G341" s="22">
        <v>12.19</v>
      </c>
      <c r="H341" s="22">
        <v>8</v>
      </c>
      <c r="I341" s="22">
        <v>4.8760000000000003</v>
      </c>
      <c r="J341" s="23">
        <v>102.396</v>
      </c>
      <c r="K341" s="24" t="s">
        <v>1658</v>
      </c>
      <c r="L341" s="25">
        <v>0.53263888888888888</v>
      </c>
      <c r="M341" s="22" t="s">
        <v>1469</v>
      </c>
      <c r="N341" s="26">
        <v>97.52</v>
      </c>
      <c r="O341" s="27">
        <f t="shared" si="5"/>
        <v>4.761904762E-2</v>
      </c>
      <c r="P341" s="23">
        <v>4.8760000000000003</v>
      </c>
      <c r="Q341" s="28">
        <v>6.8</v>
      </c>
    </row>
    <row r="342" spans="1:17" x14ac:dyDescent="0.35">
      <c r="A342" s="21" t="s">
        <v>1867</v>
      </c>
      <c r="B342" s="22" t="s">
        <v>1459</v>
      </c>
      <c r="C342" s="22" t="s">
        <v>1460</v>
      </c>
      <c r="D342" s="22" t="s">
        <v>1479</v>
      </c>
      <c r="E342" s="22" t="s">
        <v>27</v>
      </c>
      <c r="F342" s="22" t="s">
        <v>1501</v>
      </c>
      <c r="G342" s="22">
        <v>76.92</v>
      </c>
      <c r="H342" s="22">
        <v>10</v>
      </c>
      <c r="I342" s="22">
        <v>38.46</v>
      </c>
      <c r="J342" s="23">
        <v>807.66</v>
      </c>
      <c r="K342" s="24" t="s">
        <v>1555</v>
      </c>
      <c r="L342" s="25">
        <v>0.82847222222222228</v>
      </c>
      <c r="M342" s="22" t="s">
        <v>1469</v>
      </c>
      <c r="N342" s="26">
        <v>769.2</v>
      </c>
      <c r="O342" s="27">
        <f t="shared" si="5"/>
        <v>4.761904762E-2</v>
      </c>
      <c r="P342" s="23">
        <v>38.46</v>
      </c>
      <c r="Q342" s="28">
        <v>5.6</v>
      </c>
    </row>
    <row r="343" spans="1:17" x14ac:dyDescent="0.35">
      <c r="A343" s="21" t="s">
        <v>1868</v>
      </c>
      <c r="B343" s="22" t="s">
        <v>1475</v>
      </c>
      <c r="C343" s="22" t="s">
        <v>1476</v>
      </c>
      <c r="D343" s="22" t="s">
        <v>1461</v>
      </c>
      <c r="E343" s="22" t="s">
        <v>19</v>
      </c>
      <c r="F343" s="22" t="s">
        <v>1473</v>
      </c>
      <c r="G343" s="22">
        <v>83.66</v>
      </c>
      <c r="H343" s="22">
        <v>5</v>
      </c>
      <c r="I343" s="22">
        <v>20.914999999999999</v>
      </c>
      <c r="J343" s="23">
        <v>439.21499999999997</v>
      </c>
      <c r="K343" s="24" t="s">
        <v>1632</v>
      </c>
      <c r="L343" s="25">
        <v>0.43472222222222223</v>
      </c>
      <c r="M343" s="22" t="s">
        <v>1464</v>
      </c>
      <c r="N343" s="26">
        <v>418.3</v>
      </c>
      <c r="O343" s="27">
        <f t="shared" si="5"/>
        <v>4.761904762E-2</v>
      </c>
      <c r="P343" s="23">
        <v>20.914999999999999</v>
      </c>
      <c r="Q343" s="28">
        <v>7.2</v>
      </c>
    </row>
    <row r="344" spans="1:17" x14ac:dyDescent="0.35">
      <c r="A344" s="21" t="s">
        <v>1869</v>
      </c>
      <c r="B344" s="22" t="s">
        <v>1466</v>
      </c>
      <c r="C344" s="22" t="s">
        <v>1467</v>
      </c>
      <c r="D344" s="22" t="s">
        <v>1461</v>
      </c>
      <c r="E344" s="22" t="s">
        <v>19</v>
      </c>
      <c r="F344" s="22" t="s">
        <v>1462</v>
      </c>
      <c r="G344" s="22">
        <v>57.91</v>
      </c>
      <c r="H344" s="22">
        <v>8</v>
      </c>
      <c r="I344" s="22">
        <v>23.164000000000001</v>
      </c>
      <c r="J344" s="23">
        <v>486.44400000000002</v>
      </c>
      <c r="K344" s="24">
        <v>43648</v>
      </c>
      <c r="L344" s="25">
        <v>0.62916666666666665</v>
      </c>
      <c r="M344" s="22" t="s">
        <v>1464</v>
      </c>
      <c r="N344" s="26">
        <v>463.28</v>
      </c>
      <c r="O344" s="27">
        <f t="shared" si="5"/>
        <v>4.761904762E-2</v>
      </c>
      <c r="P344" s="23">
        <v>23.164000000000001</v>
      </c>
      <c r="Q344" s="28">
        <v>8.1</v>
      </c>
    </row>
    <row r="345" spans="1:17" x14ac:dyDescent="0.35">
      <c r="A345" s="21" t="s">
        <v>1870</v>
      </c>
      <c r="B345" s="22" t="s">
        <v>1475</v>
      </c>
      <c r="C345" s="22" t="s">
        <v>1476</v>
      </c>
      <c r="D345" s="22" t="s">
        <v>1479</v>
      </c>
      <c r="E345" s="22" t="s">
        <v>19</v>
      </c>
      <c r="F345" s="22" t="s">
        <v>1468</v>
      </c>
      <c r="G345" s="22">
        <v>92.49</v>
      </c>
      <c r="H345" s="22">
        <v>5</v>
      </c>
      <c r="I345" s="22">
        <v>23.122499999999999</v>
      </c>
      <c r="J345" s="23">
        <v>485.57249999999999</v>
      </c>
      <c r="K345" s="24">
        <v>43499</v>
      </c>
      <c r="L345" s="25">
        <v>0.69097222222222221</v>
      </c>
      <c r="M345" s="22" t="s">
        <v>1477</v>
      </c>
      <c r="N345" s="26">
        <v>462.45</v>
      </c>
      <c r="O345" s="27">
        <f t="shared" si="5"/>
        <v>4.761904762E-2</v>
      </c>
      <c r="P345" s="23">
        <v>23.122499999999999</v>
      </c>
      <c r="Q345" s="28">
        <v>8.6</v>
      </c>
    </row>
    <row r="346" spans="1:17" x14ac:dyDescent="0.35">
      <c r="A346" s="21" t="s">
        <v>1871</v>
      </c>
      <c r="B346" s="22" t="s">
        <v>1466</v>
      </c>
      <c r="C346" s="22" t="s">
        <v>1467</v>
      </c>
      <c r="D346" s="22" t="s">
        <v>1461</v>
      </c>
      <c r="E346" s="22" t="s">
        <v>27</v>
      </c>
      <c r="F346" s="22" t="s">
        <v>1462</v>
      </c>
      <c r="G346" s="22">
        <v>28.38</v>
      </c>
      <c r="H346" s="22">
        <v>5</v>
      </c>
      <c r="I346" s="22">
        <v>7.0949999999999998</v>
      </c>
      <c r="J346" s="23">
        <v>148.995</v>
      </c>
      <c r="K346" s="24">
        <v>43619</v>
      </c>
      <c r="L346" s="25">
        <v>0.87291666666666667</v>
      </c>
      <c r="M346" s="22" t="s">
        <v>1464</v>
      </c>
      <c r="N346" s="26">
        <v>141.9</v>
      </c>
      <c r="O346" s="27">
        <f t="shared" si="5"/>
        <v>4.761904762E-2</v>
      </c>
      <c r="P346" s="23">
        <v>7.0949999999999998</v>
      </c>
      <c r="Q346" s="28">
        <v>9.4</v>
      </c>
    </row>
    <row r="347" spans="1:17" x14ac:dyDescent="0.35">
      <c r="A347" s="21" t="s">
        <v>1872</v>
      </c>
      <c r="B347" s="22" t="s">
        <v>1466</v>
      </c>
      <c r="C347" s="22" t="s">
        <v>1467</v>
      </c>
      <c r="D347" s="22" t="s">
        <v>1479</v>
      </c>
      <c r="E347" s="22" t="s">
        <v>27</v>
      </c>
      <c r="F347" s="22" t="s">
        <v>1462</v>
      </c>
      <c r="G347" s="22">
        <v>50.45</v>
      </c>
      <c r="H347" s="22">
        <v>6</v>
      </c>
      <c r="I347" s="22">
        <v>15.135</v>
      </c>
      <c r="J347" s="23">
        <v>317.83499999999998</v>
      </c>
      <c r="K347" s="24">
        <v>43618</v>
      </c>
      <c r="L347" s="25">
        <v>0.63611111111111107</v>
      </c>
      <c r="M347" s="22" t="s">
        <v>1477</v>
      </c>
      <c r="N347" s="26">
        <v>302.7</v>
      </c>
      <c r="O347" s="27">
        <f t="shared" si="5"/>
        <v>4.761904762E-2</v>
      </c>
      <c r="P347" s="23">
        <v>15.135</v>
      </c>
      <c r="Q347" s="28">
        <v>8.9</v>
      </c>
    </row>
    <row r="348" spans="1:17" x14ac:dyDescent="0.35">
      <c r="A348" s="21" t="s">
        <v>1873</v>
      </c>
      <c r="B348" s="22" t="s">
        <v>1466</v>
      </c>
      <c r="C348" s="22" t="s">
        <v>1467</v>
      </c>
      <c r="D348" s="22" t="s">
        <v>1461</v>
      </c>
      <c r="E348" s="22" t="s">
        <v>27</v>
      </c>
      <c r="F348" s="22" t="s">
        <v>1473</v>
      </c>
      <c r="G348" s="22">
        <v>99.16</v>
      </c>
      <c r="H348" s="22">
        <v>8</v>
      </c>
      <c r="I348" s="22">
        <v>39.664000000000001</v>
      </c>
      <c r="J348" s="23">
        <v>832.94399999999996</v>
      </c>
      <c r="K348" s="24" t="s">
        <v>1803</v>
      </c>
      <c r="L348" s="25">
        <v>0.74097222222222225</v>
      </c>
      <c r="M348" s="22" t="s">
        <v>1477</v>
      </c>
      <c r="N348" s="26">
        <v>793.28</v>
      </c>
      <c r="O348" s="27">
        <f t="shared" si="5"/>
        <v>4.761904762E-2</v>
      </c>
      <c r="P348" s="23">
        <v>39.664000000000001</v>
      </c>
      <c r="Q348" s="28">
        <v>4.2</v>
      </c>
    </row>
    <row r="349" spans="1:17" x14ac:dyDescent="0.35">
      <c r="A349" s="21" t="s">
        <v>1874</v>
      </c>
      <c r="B349" s="22" t="s">
        <v>1475</v>
      </c>
      <c r="C349" s="22" t="s">
        <v>1476</v>
      </c>
      <c r="D349" s="22" t="s">
        <v>1461</v>
      </c>
      <c r="E349" s="22" t="s">
        <v>27</v>
      </c>
      <c r="F349" s="22" t="s">
        <v>1468</v>
      </c>
      <c r="G349" s="22">
        <v>60.74</v>
      </c>
      <c r="H349" s="22">
        <v>7</v>
      </c>
      <c r="I349" s="22">
        <v>21.259</v>
      </c>
      <c r="J349" s="23">
        <v>446.43900000000002</v>
      </c>
      <c r="K349" s="24" t="s">
        <v>1608</v>
      </c>
      <c r="L349" s="25">
        <v>0.68263888888888891</v>
      </c>
      <c r="M349" s="22" t="s">
        <v>1469</v>
      </c>
      <c r="N349" s="26">
        <v>425.18</v>
      </c>
      <c r="O349" s="27">
        <f t="shared" si="5"/>
        <v>4.761904762E-2</v>
      </c>
      <c r="P349" s="23">
        <v>21.259</v>
      </c>
      <c r="Q349" s="28">
        <v>5</v>
      </c>
    </row>
    <row r="350" spans="1:17" x14ac:dyDescent="0.35">
      <c r="A350" s="21" t="s">
        <v>1875</v>
      </c>
      <c r="B350" s="22" t="s">
        <v>1475</v>
      </c>
      <c r="C350" s="22" t="s">
        <v>1476</v>
      </c>
      <c r="D350" s="22" t="s">
        <v>1479</v>
      </c>
      <c r="E350" s="22" t="s">
        <v>19</v>
      </c>
      <c r="F350" s="22" t="s">
        <v>1486</v>
      </c>
      <c r="G350" s="22">
        <v>47.27</v>
      </c>
      <c r="H350" s="22">
        <v>6</v>
      </c>
      <c r="I350" s="22">
        <v>14.180999999999999</v>
      </c>
      <c r="J350" s="23">
        <v>297.80099999999999</v>
      </c>
      <c r="K350" s="24">
        <v>43587</v>
      </c>
      <c r="L350" s="25">
        <v>0.4284722222222222</v>
      </c>
      <c r="M350" s="22" t="s">
        <v>1464</v>
      </c>
      <c r="N350" s="26">
        <v>283.62</v>
      </c>
      <c r="O350" s="27">
        <f t="shared" si="5"/>
        <v>4.761904762E-2</v>
      </c>
      <c r="P350" s="23">
        <v>14.180999999999999</v>
      </c>
      <c r="Q350" s="28">
        <v>8.8000000000000007</v>
      </c>
    </row>
    <row r="351" spans="1:17" x14ac:dyDescent="0.35">
      <c r="A351" s="21" t="s">
        <v>1876</v>
      </c>
      <c r="B351" s="22" t="s">
        <v>1475</v>
      </c>
      <c r="C351" s="22" t="s">
        <v>1476</v>
      </c>
      <c r="D351" s="22" t="s">
        <v>1479</v>
      </c>
      <c r="E351" s="22" t="s">
        <v>27</v>
      </c>
      <c r="F351" s="22" t="s">
        <v>1473</v>
      </c>
      <c r="G351" s="22">
        <v>85.6</v>
      </c>
      <c r="H351" s="22">
        <v>7</v>
      </c>
      <c r="I351" s="22">
        <v>29.96</v>
      </c>
      <c r="J351" s="23">
        <v>629.16</v>
      </c>
      <c r="K351" s="24">
        <v>43499</v>
      </c>
      <c r="L351" s="25">
        <v>0.57638888888888884</v>
      </c>
      <c r="M351" s="22" t="s">
        <v>1464</v>
      </c>
      <c r="N351" s="26">
        <v>599.20000000000005</v>
      </c>
      <c r="O351" s="27">
        <f t="shared" si="5"/>
        <v>4.761904762E-2</v>
      </c>
      <c r="P351" s="23">
        <v>29.96</v>
      </c>
      <c r="Q351" s="28">
        <v>5.3</v>
      </c>
    </row>
    <row r="352" spans="1:17" x14ac:dyDescent="0.35">
      <c r="A352" s="21" t="s">
        <v>1877</v>
      </c>
      <c r="B352" s="22" t="s">
        <v>1459</v>
      </c>
      <c r="C352" s="22" t="s">
        <v>1460</v>
      </c>
      <c r="D352" s="22" t="s">
        <v>1479</v>
      </c>
      <c r="E352" s="22" t="s">
        <v>27</v>
      </c>
      <c r="F352" s="22" t="s">
        <v>1486</v>
      </c>
      <c r="G352" s="22">
        <v>35.04</v>
      </c>
      <c r="H352" s="22">
        <v>9</v>
      </c>
      <c r="I352" s="22">
        <v>15.768000000000001</v>
      </c>
      <c r="J352" s="23">
        <v>331.12799999999999</v>
      </c>
      <c r="K352" s="24">
        <v>43710</v>
      </c>
      <c r="L352" s="25">
        <v>0.80347222222222225</v>
      </c>
      <c r="M352" s="22" t="s">
        <v>1469</v>
      </c>
      <c r="N352" s="26">
        <v>315.36</v>
      </c>
      <c r="O352" s="27">
        <f t="shared" si="5"/>
        <v>4.761904762E-2</v>
      </c>
      <c r="P352" s="23">
        <v>15.768000000000001</v>
      </c>
      <c r="Q352" s="28">
        <v>4.5999999999999996</v>
      </c>
    </row>
    <row r="353" spans="1:17" x14ac:dyDescent="0.35">
      <c r="A353" s="21" t="s">
        <v>1878</v>
      </c>
      <c r="B353" s="22" t="s">
        <v>1475</v>
      </c>
      <c r="C353" s="22" t="s">
        <v>1476</v>
      </c>
      <c r="D353" s="22" t="s">
        <v>1479</v>
      </c>
      <c r="E353" s="22" t="s">
        <v>19</v>
      </c>
      <c r="F353" s="22" t="s">
        <v>1462</v>
      </c>
      <c r="G353" s="22">
        <v>44.84</v>
      </c>
      <c r="H353" s="22">
        <v>9</v>
      </c>
      <c r="I353" s="22">
        <v>20.178000000000001</v>
      </c>
      <c r="J353" s="23">
        <v>423.738</v>
      </c>
      <c r="K353" s="24" t="s">
        <v>1518</v>
      </c>
      <c r="L353" s="25">
        <v>0.58333333333333337</v>
      </c>
      <c r="M353" s="22" t="s">
        <v>1477</v>
      </c>
      <c r="N353" s="26">
        <v>403.56</v>
      </c>
      <c r="O353" s="27">
        <f t="shared" si="5"/>
        <v>4.761904762E-2</v>
      </c>
      <c r="P353" s="23">
        <v>20.178000000000001</v>
      </c>
      <c r="Q353" s="28">
        <v>7.5</v>
      </c>
    </row>
    <row r="354" spans="1:17" x14ac:dyDescent="0.35">
      <c r="A354" s="21" t="s">
        <v>1879</v>
      </c>
      <c r="B354" s="22" t="s">
        <v>1466</v>
      </c>
      <c r="C354" s="22" t="s">
        <v>1467</v>
      </c>
      <c r="D354" s="22" t="s">
        <v>1461</v>
      </c>
      <c r="E354" s="22" t="s">
        <v>27</v>
      </c>
      <c r="F354" s="22" t="s">
        <v>1482</v>
      </c>
      <c r="G354" s="22">
        <v>45.97</v>
      </c>
      <c r="H354" s="22">
        <v>4</v>
      </c>
      <c r="I354" s="22">
        <v>9.1940000000000008</v>
      </c>
      <c r="J354" s="23">
        <v>193.07400000000001</v>
      </c>
      <c r="K354" s="24">
        <v>43710</v>
      </c>
      <c r="L354" s="25">
        <v>0.50138888888888888</v>
      </c>
      <c r="M354" s="22" t="s">
        <v>1469</v>
      </c>
      <c r="N354" s="26">
        <v>183.88</v>
      </c>
      <c r="O354" s="27">
        <f t="shared" si="5"/>
        <v>4.761904762E-2</v>
      </c>
      <c r="P354" s="23">
        <v>9.1940000000000008</v>
      </c>
      <c r="Q354" s="28">
        <v>5.0999999999999996</v>
      </c>
    </row>
    <row r="355" spans="1:17" x14ac:dyDescent="0.35">
      <c r="A355" s="21" t="s">
        <v>1880</v>
      </c>
      <c r="B355" s="22" t="s">
        <v>1459</v>
      </c>
      <c r="C355" s="22" t="s">
        <v>1460</v>
      </c>
      <c r="D355" s="22" t="s">
        <v>1479</v>
      </c>
      <c r="E355" s="22" t="s">
        <v>19</v>
      </c>
      <c r="F355" s="22" t="s">
        <v>1473</v>
      </c>
      <c r="G355" s="22">
        <v>27.73</v>
      </c>
      <c r="H355" s="22">
        <v>5</v>
      </c>
      <c r="I355" s="22">
        <v>6.9325000000000001</v>
      </c>
      <c r="J355" s="23">
        <v>145.58250000000001</v>
      </c>
      <c r="K355" s="24" t="s">
        <v>1520</v>
      </c>
      <c r="L355" s="25">
        <v>0.84791666666666665</v>
      </c>
      <c r="M355" s="22" t="s">
        <v>1477</v>
      </c>
      <c r="N355" s="26">
        <v>138.65</v>
      </c>
      <c r="O355" s="27">
        <f t="shared" si="5"/>
        <v>4.761904762E-2</v>
      </c>
      <c r="P355" s="23">
        <v>6.9325000000000001</v>
      </c>
      <c r="Q355" s="28">
        <v>4.2</v>
      </c>
    </row>
    <row r="356" spans="1:17" x14ac:dyDescent="0.35">
      <c r="A356" s="21" t="s">
        <v>1881</v>
      </c>
      <c r="B356" s="22" t="s">
        <v>1459</v>
      </c>
      <c r="C356" s="22" t="s">
        <v>1460</v>
      </c>
      <c r="D356" s="22" t="s">
        <v>1461</v>
      </c>
      <c r="E356" s="22" t="s">
        <v>27</v>
      </c>
      <c r="F356" s="22" t="s">
        <v>1486</v>
      </c>
      <c r="G356" s="22">
        <v>11.53</v>
      </c>
      <c r="H356" s="22">
        <v>7</v>
      </c>
      <c r="I356" s="22">
        <v>4.0354999999999999</v>
      </c>
      <c r="J356" s="23">
        <v>84.745500000000007</v>
      </c>
      <c r="K356" s="24" t="s">
        <v>1803</v>
      </c>
      <c r="L356" s="25">
        <v>0.73263888888888884</v>
      </c>
      <c r="M356" s="22" t="s">
        <v>1464</v>
      </c>
      <c r="N356" s="26">
        <v>80.709999999999994</v>
      </c>
      <c r="O356" s="27">
        <f t="shared" si="5"/>
        <v>4.761904762E-2</v>
      </c>
      <c r="P356" s="23">
        <v>4.0354999999999999</v>
      </c>
      <c r="Q356" s="28">
        <v>8.1</v>
      </c>
    </row>
    <row r="357" spans="1:17" x14ac:dyDescent="0.35">
      <c r="A357" s="21" t="s">
        <v>1882</v>
      </c>
      <c r="B357" s="22" t="s">
        <v>1475</v>
      </c>
      <c r="C357" s="22" t="s">
        <v>1476</v>
      </c>
      <c r="D357" s="22" t="s">
        <v>1461</v>
      </c>
      <c r="E357" s="22" t="s">
        <v>19</v>
      </c>
      <c r="F357" s="22" t="s">
        <v>1473</v>
      </c>
      <c r="G357" s="22">
        <v>58.32</v>
      </c>
      <c r="H357" s="22">
        <v>2</v>
      </c>
      <c r="I357" s="22">
        <v>5.8319999999999999</v>
      </c>
      <c r="J357" s="23">
        <v>122.47199999999999</v>
      </c>
      <c r="K357" s="24" t="s">
        <v>1800</v>
      </c>
      <c r="L357" s="25">
        <v>0.52916666666666667</v>
      </c>
      <c r="M357" s="22" t="s">
        <v>1469</v>
      </c>
      <c r="N357" s="26">
        <v>116.64</v>
      </c>
      <c r="O357" s="27">
        <f t="shared" si="5"/>
        <v>4.761904762E-2</v>
      </c>
      <c r="P357" s="23">
        <v>5.8319999999999999</v>
      </c>
      <c r="Q357" s="28">
        <v>6</v>
      </c>
    </row>
    <row r="358" spans="1:17" x14ac:dyDescent="0.35">
      <c r="A358" s="21" t="s">
        <v>1883</v>
      </c>
      <c r="B358" s="22" t="s">
        <v>1475</v>
      </c>
      <c r="C358" s="22" t="s">
        <v>1476</v>
      </c>
      <c r="D358" s="22" t="s">
        <v>1479</v>
      </c>
      <c r="E358" s="22" t="s">
        <v>19</v>
      </c>
      <c r="F358" s="22" t="s">
        <v>1482</v>
      </c>
      <c r="G358" s="22">
        <v>78.38</v>
      </c>
      <c r="H358" s="22">
        <v>4</v>
      </c>
      <c r="I358" s="22">
        <v>15.676</v>
      </c>
      <c r="J358" s="23">
        <v>329.19600000000003</v>
      </c>
      <c r="K358" s="24" t="s">
        <v>1550</v>
      </c>
      <c r="L358" s="25">
        <v>0.74722222222222223</v>
      </c>
      <c r="M358" s="22" t="s">
        <v>1464</v>
      </c>
      <c r="N358" s="26">
        <v>313.52</v>
      </c>
      <c r="O358" s="27">
        <f t="shared" si="5"/>
        <v>4.761904762E-2</v>
      </c>
      <c r="P358" s="23">
        <v>15.676</v>
      </c>
      <c r="Q358" s="28">
        <v>7.9</v>
      </c>
    </row>
    <row r="359" spans="1:17" x14ac:dyDescent="0.35">
      <c r="A359" s="21" t="s">
        <v>1884</v>
      </c>
      <c r="B359" s="22" t="s">
        <v>1475</v>
      </c>
      <c r="C359" s="22" t="s">
        <v>1476</v>
      </c>
      <c r="D359" s="22" t="s">
        <v>1461</v>
      </c>
      <c r="E359" s="22" t="s">
        <v>27</v>
      </c>
      <c r="F359" s="22" t="s">
        <v>1473</v>
      </c>
      <c r="G359" s="22">
        <v>84.61</v>
      </c>
      <c r="H359" s="22">
        <v>10</v>
      </c>
      <c r="I359" s="22">
        <v>42.305</v>
      </c>
      <c r="J359" s="23">
        <v>888.40499999999997</v>
      </c>
      <c r="K359" s="24">
        <v>43710</v>
      </c>
      <c r="L359" s="25">
        <v>0.79027777777777775</v>
      </c>
      <c r="M359" s="22" t="s">
        <v>1477</v>
      </c>
      <c r="N359" s="26">
        <v>846.1</v>
      </c>
      <c r="O359" s="27">
        <f t="shared" si="5"/>
        <v>4.761904762E-2</v>
      </c>
      <c r="P359" s="23">
        <v>42.305</v>
      </c>
      <c r="Q359" s="28">
        <v>8.8000000000000007</v>
      </c>
    </row>
    <row r="360" spans="1:17" x14ac:dyDescent="0.35">
      <c r="A360" s="21" t="s">
        <v>1885</v>
      </c>
      <c r="B360" s="22" t="s">
        <v>1466</v>
      </c>
      <c r="C360" s="22" t="s">
        <v>1467</v>
      </c>
      <c r="D360" s="22" t="s">
        <v>1461</v>
      </c>
      <c r="E360" s="22" t="s">
        <v>19</v>
      </c>
      <c r="F360" s="22" t="s">
        <v>1473</v>
      </c>
      <c r="G360" s="22">
        <v>82.88</v>
      </c>
      <c r="H360" s="22">
        <v>5</v>
      </c>
      <c r="I360" s="22">
        <v>20.72</v>
      </c>
      <c r="J360" s="23">
        <v>435.12</v>
      </c>
      <c r="K360" s="24" t="s">
        <v>1550</v>
      </c>
      <c r="L360" s="25">
        <v>0.58888888888888891</v>
      </c>
      <c r="M360" s="22" t="s">
        <v>1477</v>
      </c>
      <c r="N360" s="26">
        <v>414.4</v>
      </c>
      <c r="O360" s="27">
        <f t="shared" si="5"/>
        <v>4.761904762E-2</v>
      </c>
      <c r="P360" s="23">
        <v>20.72</v>
      </c>
      <c r="Q360" s="28">
        <v>6.6</v>
      </c>
    </row>
    <row r="361" spans="1:17" x14ac:dyDescent="0.35">
      <c r="A361" s="21" t="s">
        <v>1886</v>
      </c>
      <c r="B361" s="22" t="s">
        <v>1459</v>
      </c>
      <c r="C361" s="22" t="s">
        <v>1460</v>
      </c>
      <c r="D361" s="22" t="s">
        <v>1479</v>
      </c>
      <c r="E361" s="22" t="s">
        <v>19</v>
      </c>
      <c r="F361" s="22" t="s">
        <v>1486</v>
      </c>
      <c r="G361" s="22">
        <v>79.540000000000006</v>
      </c>
      <c r="H361" s="22">
        <v>2</v>
      </c>
      <c r="I361" s="22">
        <v>7.9539999999999997</v>
      </c>
      <c r="J361" s="23">
        <v>167.03399999999999</v>
      </c>
      <c r="K361" s="24" t="s">
        <v>1531</v>
      </c>
      <c r="L361" s="25">
        <v>0.6875</v>
      </c>
      <c r="M361" s="22" t="s">
        <v>1469</v>
      </c>
      <c r="N361" s="26">
        <v>159.08000000000001</v>
      </c>
      <c r="O361" s="27">
        <f t="shared" si="5"/>
        <v>4.761904762E-2</v>
      </c>
      <c r="P361" s="23">
        <v>7.9539999999999997</v>
      </c>
      <c r="Q361" s="28">
        <v>6.2</v>
      </c>
    </row>
    <row r="362" spans="1:17" x14ac:dyDescent="0.35">
      <c r="A362" s="21" t="s">
        <v>1887</v>
      </c>
      <c r="B362" s="22" t="s">
        <v>1466</v>
      </c>
      <c r="C362" s="22" t="s">
        <v>1467</v>
      </c>
      <c r="D362" s="22" t="s">
        <v>1461</v>
      </c>
      <c r="E362" s="22" t="s">
        <v>19</v>
      </c>
      <c r="F362" s="22" t="s">
        <v>1482</v>
      </c>
      <c r="G362" s="22">
        <v>49.01</v>
      </c>
      <c r="H362" s="22">
        <v>10</v>
      </c>
      <c r="I362" s="22">
        <v>24.504999999999999</v>
      </c>
      <c r="J362" s="23">
        <v>514.60500000000002</v>
      </c>
      <c r="K362" s="24" t="s">
        <v>1537</v>
      </c>
      <c r="L362" s="25">
        <v>0.44722222222222224</v>
      </c>
      <c r="M362" s="22" t="s">
        <v>1477</v>
      </c>
      <c r="N362" s="26">
        <v>490.1</v>
      </c>
      <c r="O362" s="27">
        <f t="shared" si="5"/>
        <v>4.761904762E-2</v>
      </c>
      <c r="P362" s="23">
        <v>24.504999999999999</v>
      </c>
      <c r="Q362" s="28">
        <v>4.2</v>
      </c>
    </row>
    <row r="363" spans="1:17" x14ac:dyDescent="0.35">
      <c r="A363" s="21" t="s">
        <v>1888</v>
      </c>
      <c r="B363" s="22" t="s">
        <v>1466</v>
      </c>
      <c r="C363" s="22" t="s">
        <v>1467</v>
      </c>
      <c r="D363" s="22" t="s">
        <v>1479</v>
      </c>
      <c r="E363" s="22" t="s">
        <v>19</v>
      </c>
      <c r="F363" s="22" t="s">
        <v>1486</v>
      </c>
      <c r="G363" s="22">
        <v>29.15</v>
      </c>
      <c r="H363" s="22">
        <v>3</v>
      </c>
      <c r="I363" s="22">
        <v>4.3724999999999996</v>
      </c>
      <c r="J363" s="23">
        <v>91.822500000000005</v>
      </c>
      <c r="K363" s="24" t="s">
        <v>1531</v>
      </c>
      <c r="L363" s="25">
        <v>0.85347222222222219</v>
      </c>
      <c r="M363" s="22" t="s">
        <v>1477</v>
      </c>
      <c r="N363" s="26">
        <v>87.45</v>
      </c>
      <c r="O363" s="27">
        <f t="shared" si="5"/>
        <v>4.761904762E-2</v>
      </c>
      <c r="P363" s="23">
        <v>4.3724999999999996</v>
      </c>
      <c r="Q363" s="28">
        <v>7.3</v>
      </c>
    </row>
    <row r="364" spans="1:17" x14ac:dyDescent="0.35">
      <c r="A364" s="21" t="s">
        <v>1889</v>
      </c>
      <c r="B364" s="22" t="s">
        <v>1475</v>
      </c>
      <c r="C364" s="22" t="s">
        <v>1476</v>
      </c>
      <c r="D364" s="22" t="s">
        <v>1461</v>
      </c>
      <c r="E364" s="22" t="s">
        <v>19</v>
      </c>
      <c r="F364" s="22" t="s">
        <v>1462</v>
      </c>
      <c r="G364" s="22">
        <v>56.13</v>
      </c>
      <c r="H364" s="22">
        <v>4</v>
      </c>
      <c r="I364" s="22">
        <v>11.226000000000001</v>
      </c>
      <c r="J364" s="23">
        <v>235.74600000000001</v>
      </c>
      <c r="K364" s="24" t="s">
        <v>1528</v>
      </c>
      <c r="L364" s="25">
        <v>0.48819444444444443</v>
      </c>
      <c r="M364" s="22" t="s">
        <v>1469</v>
      </c>
      <c r="N364" s="26">
        <v>224.52</v>
      </c>
      <c r="O364" s="27">
        <f t="shared" si="5"/>
        <v>4.761904762E-2</v>
      </c>
      <c r="P364" s="23">
        <v>11.226000000000001</v>
      </c>
      <c r="Q364" s="28">
        <v>8.6</v>
      </c>
    </row>
    <row r="365" spans="1:17" x14ac:dyDescent="0.35">
      <c r="A365" s="21" t="s">
        <v>1890</v>
      </c>
      <c r="B365" s="22" t="s">
        <v>1459</v>
      </c>
      <c r="C365" s="22" t="s">
        <v>1460</v>
      </c>
      <c r="D365" s="22" t="s">
        <v>1461</v>
      </c>
      <c r="E365" s="22" t="s">
        <v>19</v>
      </c>
      <c r="F365" s="22" t="s">
        <v>1482</v>
      </c>
      <c r="G365" s="22">
        <v>93.12</v>
      </c>
      <c r="H365" s="22">
        <v>8</v>
      </c>
      <c r="I365" s="22">
        <v>37.247999999999998</v>
      </c>
      <c r="J365" s="23">
        <v>782.20799999999997</v>
      </c>
      <c r="K365" s="24">
        <v>43648</v>
      </c>
      <c r="L365" s="25">
        <v>0.42291666666666666</v>
      </c>
      <c r="M365" s="22" t="s">
        <v>1464</v>
      </c>
      <c r="N365" s="26">
        <v>744.96</v>
      </c>
      <c r="O365" s="27">
        <f t="shared" si="5"/>
        <v>4.761904762E-2</v>
      </c>
      <c r="P365" s="23">
        <v>37.247999999999998</v>
      </c>
      <c r="Q365" s="28">
        <v>6.8</v>
      </c>
    </row>
    <row r="366" spans="1:17" x14ac:dyDescent="0.35">
      <c r="A366" s="21" t="s">
        <v>1891</v>
      </c>
      <c r="B366" s="22" t="s">
        <v>1459</v>
      </c>
      <c r="C366" s="22" t="s">
        <v>1460</v>
      </c>
      <c r="D366" s="22" t="s">
        <v>1479</v>
      </c>
      <c r="E366" s="22" t="s">
        <v>27</v>
      </c>
      <c r="F366" s="22" t="s">
        <v>1468</v>
      </c>
      <c r="G366" s="22">
        <v>51.34</v>
      </c>
      <c r="H366" s="22">
        <v>8</v>
      </c>
      <c r="I366" s="22">
        <v>20.536000000000001</v>
      </c>
      <c r="J366" s="23">
        <v>431.25599999999997</v>
      </c>
      <c r="K366" s="24" t="s">
        <v>1677</v>
      </c>
      <c r="L366" s="25">
        <v>0.41666666666666669</v>
      </c>
      <c r="M366" s="22" t="s">
        <v>1469</v>
      </c>
      <c r="N366" s="26">
        <v>410.72</v>
      </c>
      <c r="O366" s="27">
        <f t="shared" si="5"/>
        <v>4.761904762E-2</v>
      </c>
      <c r="P366" s="23">
        <v>20.536000000000001</v>
      </c>
      <c r="Q366" s="28">
        <v>7.6</v>
      </c>
    </row>
    <row r="367" spans="1:17" x14ac:dyDescent="0.35">
      <c r="A367" s="21" t="s">
        <v>1892</v>
      </c>
      <c r="B367" s="22" t="s">
        <v>1459</v>
      </c>
      <c r="C367" s="22" t="s">
        <v>1460</v>
      </c>
      <c r="D367" s="22" t="s">
        <v>1479</v>
      </c>
      <c r="E367" s="22" t="s">
        <v>19</v>
      </c>
      <c r="F367" s="22" t="s">
        <v>1486</v>
      </c>
      <c r="G367" s="22">
        <v>99.6</v>
      </c>
      <c r="H367" s="22">
        <v>3</v>
      </c>
      <c r="I367" s="22">
        <v>14.94</v>
      </c>
      <c r="J367" s="23">
        <v>313.74</v>
      </c>
      <c r="K367" s="24" t="s">
        <v>1506</v>
      </c>
      <c r="L367" s="25">
        <v>0.78125</v>
      </c>
      <c r="M367" s="22" t="s">
        <v>1464</v>
      </c>
      <c r="N367" s="26">
        <v>298.8</v>
      </c>
      <c r="O367" s="27">
        <f t="shared" si="5"/>
        <v>4.761904762E-2</v>
      </c>
      <c r="P367" s="23">
        <v>14.94</v>
      </c>
      <c r="Q367" s="28">
        <v>5.8</v>
      </c>
    </row>
    <row r="368" spans="1:17" x14ac:dyDescent="0.35">
      <c r="A368" s="21" t="s">
        <v>1893</v>
      </c>
      <c r="B368" s="22" t="s">
        <v>1475</v>
      </c>
      <c r="C368" s="22" t="s">
        <v>1476</v>
      </c>
      <c r="D368" s="22" t="s">
        <v>1461</v>
      </c>
      <c r="E368" s="22" t="s">
        <v>19</v>
      </c>
      <c r="F368" s="22" t="s">
        <v>1462</v>
      </c>
      <c r="G368" s="22">
        <v>35.49</v>
      </c>
      <c r="H368" s="22">
        <v>6</v>
      </c>
      <c r="I368" s="22">
        <v>10.647</v>
      </c>
      <c r="J368" s="23">
        <v>223.58699999999999</v>
      </c>
      <c r="K368" s="24">
        <v>43498</v>
      </c>
      <c r="L368" s="25">
        <v>0.52777777777777779</v>
      </c>
      <c r="M368" s="22" t="s">
        <v>1464</v>
      </c>
      <c r="N368" s="26">
        <v>212.94</v>
      </c>
      <c r="O368" s="27">
        <f t="shared" si="5"/>
        <v>4.761904762E-2</v>
      </c>
      <c r="P368" s="23">
        <v>10.647</v>
      </c>
      <c r="Q368" s="28">
        <v>4.0999999999999996</v>
      </c>
    </row>
    <row r="369" spans="1:17" x14ac:dyDescent="0.35">
      <c r="A369" s="21" t="s">
        <v>1894</v>
      </c>
      <c r="B369" s="22" t="s">
        <v>1475</v>
      </c>
      <c r="C369" s="22" t="s">
        <v>1476</v>
      </c>
      <c r="D369" s="22" t="s">
        <v>1479</v>
      </c>
      <c r="E369" s="22" t="s">
        <v>27</v>
      </c>
      <c r="F369" s="22" t="s">
        <v>1501</v>
      </c>
      <c r="G369" s="22">
        <v>42.85</v>
      </c>
      <c r="H369" s="22">
        <v>1</v>
      </c>
      <c r="I369" s="22">
        <v>2.1425000000000001</v>
      </c>
      <c r="J369" s="23">
        <v>44.9925</v>
      </c>
      <c r="K369" s="24" t="s">
        <v>1492</v>
      </c>
      <c r="L369" s="25">
        <v>0.65</v>
      </c>
      <c r="M369" s="22" t="s">
        <v>1477</v>
      </c>
      <c r="N369" s="26">
        <v>42.85</v>
      </c>
      <c r="O369" s="27">
        <f t="shared" si="5"/>
        <v>4.761904762E-2</v>
      </c>
      <c r="P369" s="23">
        <v>2.1425000000000001</v>
      </c>
      <c r="Q369" s="28">
        <v>9.3000000000000007</v>
      </c>
    </row>
    <row r="370" spans="1:17" x14ac:dyDescent="0.35">
      <c r="A370" s="21" t="s">
        <v>1895</v>
      </c>
      <c r="B370" s="22" t="s">
        <v>1459</v>
      </c>
      <c r="C370" s="22" t="s">
        <v>1460</v>
      </c>
      <c r="D370" s="22" t="s">
        <v>1461</v>
      </c>
      <c r="E370" s="22" t="s">
        <v>19</v>
      </c>
      <c r="F370" s="22" t="s">
        <v>1468</v>
      </c>
      <c r="G370" s="22">
        <v>94.67</v>
      </c>
      <c r="H370" s="22">
        <v>4</v>
      </c>
      <c r="I370" s="22">
        <v>18.934000000000001</v>
      </c>
      <c r="J370" s="23">
        <v>397.61399999999998</v>
      </c>
      <c r="K370" s="24">
        <v>43772</v>
      </c>
      <c r="L370" s="25">
        <v>0.50277777777777777</v>
      </c>
      <c r="M370" s="22" t="s">
        <v>1464</v>
      </c>
      <c r="N370" s="26">
        <v>378.68</v>
      </c>
      <c r="O370" s="27">
        <f t="shared" si="5"/>
        <v>4.761904762E-2</v>
      </c>
      <c r="P370" s="23">
        <v>18.934000000000001</v>
      </c>
      <c r="Q370" s="28">
        <v>6.8</v>
      </c>
    </row>
    <row r="371" spans="1:17" x14ac:dyDescent="0.35">
      <c r="A371" s="21" t="s">
        <v>1896</v>
      </c>
      <c r="B371" s="22" t="s">
        <v>1466</v>
      </c>
      <c r="C371" s="22" t="s">
        <v>1467</v>
      </c>
      <c r="D371" s="22" t="s">
        <v>1461</v>
      </c>
      <c r="E371" s="22" t="s">
        <v>27</v>
      </c>
      <c r="F371" s="22" t="s">
        <v>1482</v>
      </c>
      <c r="G371" s="22">
        <v>68.97</v>
      </c>
      <c r="H371" s="22">
        <v>3</v>
      </c>
      <c r="I371" s="22">
        <v>10.345499999999999</v>
      </c>
      <c r="J371" s="23">
        <v>217.25550000000001</v>
      </c>
      <c r="K371" s="24" t="s">
        <v>1471</v>
      </c>
      <c r="L371" s="25">
        <v>0.47638888888888886</v>
      </c>
      <c r="M371" s="22" t="s">
        <v>1469</v>
      </c>
      <c r="N371" s="26">
        <v>206.91</v>
      </c>
      <c r="O371" s="27">
        <f t="shared" si="5"/>
        <v>4.761904762E-2</v>
      </c>
      <c r="P371" s="23">
        <v>10.345499999999999</v>
      </c>
      <c r="Q371" s="28">
        <v>8.6999999999999993</v>
      </c>
    </row>
    <row r="372" spans="1:17" x14ac:dyDescent="0.35">
      <c r="A372" s="21" t="s">
        <v>1897</v>
      </c>
      <c r="B372" s="22" t="s">
        <v>1466</v>
      </c>
      <c r="C372" s="22" t="s">
        <v>1467</v>
      </c>
      <c r="D372" s="22" t="s">
        <v>1479</v>
      </c>
      <c r="E372" s="22" t="s">
        <v>19</v>
      </c>
      <c r="F372" s="22" t="s">
        <v>1462</v>
      </c>
      <c r="G372" s="22">
        <v>26.26</v>
      </c>
      <c r="H372" s="22">
        <v>3</v>
      </c>
      <c r="I372" s="22">
        <v>3.9390000000000001</v>
      </c>
      <c r="J372" s="23">
        <v>82.718999999999994</v>
      </c>
      <c r="K372" s="24">
        <v>43499</v>
      </c>
      <c r="L372" s="25">
        <v>0.52500000000000002</v>
      </c>
      <c r="M372" s="22" t="s">
        <v>1469</v>
      </c>
      <c r="N372" s="26">
        <v>78.78</v>
      </c>
      <c r="O372" s="27">
        <f t="shared" si="5"/>
        <v>4.761904762E-2</v>
      </c>
      <c r="P372" s="23">
        <v>3.9390000000000001</v>
      </c>
      <c r="Q372" s="28">
        <v>6.3</v>
      </c>
    </row>
    <row r="373" spans="1:17" x14ac:dyDescent="0.35">
      <c r="A373" s="21" t="s">
        <v>1898</v>
      </c>
      <c r="B373" s="22" t="s">
        <v>1475</v>
      </c>
      <c r="C373" s="22" t="s">
        <v>1476</v>
      </c>
      <c r="D373" s="22" t="s">
        <v>1479</v>
      </c>
      <c r="E373" s="22" t="s">
        <v>19</v>
      </c>
      <c r="F373" s="22" t="s">
        <v>1482</v>
      </c>
      <c r="G373" s="22">
        <v>35.79</v>
      </c>
      <c r="H373" s="22">
        <v>9</v>
      </c>
      <c r="I373" s="22">
        <v>16.105499999999999</v>
      </c>
      <c r="J373" s="23">
        <v>338.21550000000002</v>
      </c>
      <c r="K373" s="24">
        <v>43741</v>
      </c>
      <c r="L373" s="25">
        <v>0.62916666666666665</v>
      </c>
      <c r="M373" s="22" t="s">
        <v>1477</v>
      </c>
      <c r="N373" s="26">
        <v>322.11</v>
      </c>
      <c r="O373" s="27">
        <f t="shared" si="5"/>
        <v>4.761904762E-2</v>
      </c>
      <c r="P373" s="23">
        <v>16.105499999999999</v>
      </c>
      <c r="Q373" s="28">
        <v>5.0999999999999996</v>
      </c>
    </row>
    <row r="374" spans="1:17" x14ac:dyDescent="0.35">
      <c r="A374" s="21" t="s">
        <v>1899</v>
      </c>
      <c r="B374" s="22" t="s">
        <v>1466</v>
      </c>
      <c r="C374" s="22" t="s">
        <v>1467</v>
      </c>
      <c r="D374" s="22" t="s">
        <v>1461</v>
      </c>
      <c r="E374" s="22" t="s">
        <v>19</v>
      </c>
      <c r="F374" s="22" t="s">
        <v>1482</v>
      </c>
      <c r="G374" s="22">
        <v>16.37</v>
      </c>
      <c r="H374" s="22">
        <v>6</v>
      </c>
      <c r="I374" s="22">
        <v>4.9109999999999996</v>
      </c>
      <c r="J374" s="23">
        <v>103.131</v>
      </c>
      <c r="K374" s="24">
        <v>43679</v>
      </c>
      <c r="L374" s="25">
        <v>0.45694444444444443</v>
      </c>
      <c r="M374" s="22" t="s">
        <v>1464</v>
      </c>
      <c r="N374" s="26">
        <v>98.22</v>
      </c>
      <c r="O374" s="27">
        <f t="shared" si="5"/>
        <v>4.761904762E-2</v>
      </c>
      <c r="P374" s="23">
        <v>4.9109999999999996</v>
      </c>
      <c r="Q374" s="28">
        <v>7</v>
      </c>
    </row>
    <row r="375" spans="1:17" x14ac:dyDescent="0.35">
      <c r="A375" s="21" t="s">
        <v>1900</v>
      </c>
      <c r="B375" s="22" t="s">
        <v>1475</v>
      </c>
      <c r="C375" s="22" t="s">
        <v>1476</v>
      </c>
      <c r="D375" s="22" t="s">
        <v>1479</v>
      </c>
      <c r="E375" s="22" t="s">
        <v>19</v>
      </c>
      <c r="F375" s="22" t="s">
        <v>1482</v>
      </c>
      <c r="G375" s="22">
        <v>12.73</v>
      </c>
      <c r="H375" s="22">
        <v>2</v>
      </c>
      <c r="I375" s="22">
        <v>1.2729999999999999</v>
      </c>
      <c r="J375" s="23">
        <v>26.733000000000001</v>
      </c>
      <c r="K375" s="24" t="s">
        <v>1471</v>
      </c>
      <c r="L375" s="25">
        <v>0.50694444444444442</v>
      </c>
      <c r="M375" s="22" t="s">
        <v>1477</v>
      </c>
      <c r="N375" s="26">
        <v>25.46</v>
      </c>
      <c r="O375" s="27">
        <f t="shared" si="5"/>
        <v>4.761904762E-2</v>
      </c>
      <c r="P375" s="23">
        <v>1.2729999999999999</v>
      </c>
      <c r="Q375" s="28">
        <v>5.2</v>
      </c>
    </row>
    <row r="376" spans="1:17" x14ac:dyDescent="0.35">
      <c r="A376" s="21" t="s">
        <v>1901</v>
      </c>
      <c r="B376" s="22" t="s">
        <v>1475</v>
      </c>
      <c r="C376" s="22" t="s">
        <v>1476</v>
      </c>
      <c r="D376" s="22" t="s">
        <v>1461</v>
      </c>
      <c r="E376" s="22" t="s">
        <v>19</v>
      </c>
      <c r="F376" s="22" t="s">
        <v>1501</v>
      </c>
      <c r="G376" s="22">
        <v>83.14</v>
      </c>
      <c r="H376" s="22">
        <v>7</v>
      </c>
      <c r="I376" s="22">
        <v>29.099</v>
      </c>
      <c r="J376" s="23">
        <v>611.07899999999995</v>
      </c>
      <c r="K376" s="24">
        <v>43739</v>
      </c>
      <c r="L376" s="25">
        <v>0.43819444444444444</v>
      </c>
      <c r="M376" s="22" t="s">
        <v>1477</v>
      </c>
      <c r="N376" s="26">
        <v>581.98</v>
      </c>
      <c r="O376" s="27">
        <f t="shared" si="5"/>
        <v>4.761904762E-2</v>
      </c>
      <c r="P376" s="23">
        <v>29.099</v>
      </c>
      <c r="Q376" s="28">
        <v>6.6</v>
      </c>
    </row>
    <row r="377" spans="1:17" x14ac:dyDescent="0.35">
      <c r="A377" s="21" t="s">
        <v>1902</v>
      </c>
      <c r="B377" s="22" t="s">
        <v>1475</v>
      </c>
      <c r="C377" s="22" t="s">
        <v>1476</v>
      </c>
      <c r="D377" s="22" t="s">
        <v>1479</v>
      </c>
      <c r="E377" s="22" t="s">
        <v>19</v>
      </c>
      <c r="F377" s="22" t="s">
        <v>1501</v>
      </c>
      <c r="G377" s="22">
        <v>35.22</v>
      </c>
      <c r="H377" s="22">
        <v>6</v>
      </c>
      <c r="I377" s="22">
        <v>10.566000000000001</v>
      </c>
      <c r="J377" s="23">
        <v>221.886</v>
      </c>
      <c r="K377" s="24" t="s">
        <v>1492</v>
      </c>
      <c r="L377" s="25">
        <v>0.5756944444444444</v>
      </c>
      <c r="M377" s="22" t="s">
        <v>1469</v>
      </c>
      <c r="N377" s="26">
        <v>211.32</v>
      </c>
      <c r="O377" s="27">
        <f t="shared" si="5"/>
        <v>4.761904762E-2</v>
      </c>
      <c r="P377" s="23">
        <v>10.566000000000001</v>
      </c>
      <c r="Q377" s="28">
        <v>6.5</v>
      </c>
    </row>
    <row r="378" spans="1:17" x14ac:dyDescent="0.35">
      <c r="A378" s="21" t="s">
        <v>1903</v>
      </c>
      <c r="B378" s="22" t="s">
        <v>1466</v>
      </c>
      <c r="C378" s="22" t="s">
        <v>1467</v>
      </c>
      <c r="D378" s="22" t="s">
        <v>1461</v>
      </c>
      <c r="E378" s="22" t="s">
        <v>19</v>
      </c>
      <c r="F378" s="22" t="s">
        <v>1462</v>
      </c>
      <c r="G378" s="22">
        <v>13.78</v>
      </c>
      <c r="H378" s="22">
        <v>4</v>
      </c>
      <c r="I378" s="22">
        <v>2.7559999999999998</v>
      </c>
      <c r="J378" s="23">
        <v>57.875999999999998</v>
      </c>
      <c r="K378" s="24">
        <v>43739</v>
      </c>
      <c r="L378" s="25">
        <v>0.46527777777777779</v>
      </c>
      <c r="M378" s="22" t="s">
        <v>1469</v>
      </c>
      <c r="N378" s="26">
        <v>55.12</v>
      </c>
      <c r="O378" s="27">
        <f t="shared" si="5"/>
        <v>4.761904762E-2</v>
      </c>
      <c r="P378" s="23">
        <v>2.7559999999999998</v>
      </c>
      <c r="Q378" s="28">
        <v>9</v>
      </c>
    </row>
    <row r="379" spans="1:17" x14ac:dyDescent="0.35">
      <c r="A379" s="21" t="s">
        <v>1904</v>
      </c>
      <c r="B379" s="22" t="s">
        <v>1466</v>
      </c>
      <c r="C379" s="22" t="s">
        <v>1467</v>
      </c>
      <c r="D379" s="22" t="s">
        <v>1479</v>
      </c>
      <c r="E379" s="22" t="s">
        <v>27</v>
      </c>
      <c r="F379" s="22" t="s">
        <v>1501</v>
      </c>
      <c r="G379" s="22">
        <v>88.31</v>
      </c>
      <c r="H379" s="22">
        <v>1</v>
      </c>
      <c r="I379" s="22">
        <v>4.4154999999999998</v>
      </c>
      <c r="J379" s="23">
        <v>92.725499999999997</v>
      </c>
      <c r="K379" s="24" t="s">
        <v>1544</v>
      </c>
      <c r="L379" s="25">
        <v>0.73472222222222228</v>
      </c>
      <c r="M379" s="22" t="s">
        <v>1477</v>
      </c>
      <c r="N379" s="26">
        <v>88.31</v>
      </c>
      <c r="O379" s="27">
        <f t="shared" si="5"/>
        <v>4.761904762E-2</v>
      </c>
      <c r="P379" s="23">
        <v>4.4154999999999998</v>
      </c>
      <c r="Q379" s="28">
        <v>5.2</v>
      </c>
    </row>
    <row r="380" spans="1:17" x14ac:dyDescent="0.35">
      <c r="A380" s="21" t="s">
        <v>1905</v>
      </c>
      <c r="B380" s="22" t="s">
        <v>1459</v>
      </c>
      <c r="C380" s="22" t="s">
        <v>1460</v>
      </c>
      <c r="D380" s="22" t="s">
        <v>1479</v>
      </c>
      <c r="E380" s="22" t="s">
        <v>19</v>
      </c>
      <c r="F380" s="22" t="s">
        <v>1473</v>
      </c>
      <c r="G380" s="22">
        <v>39.619999999999997</v>
      </c>
      <c r="H380" s="22">
        <v>9</v>
      </c>
      <c r="I380" s="22">
        <v>17.829000000000001</v>
      </c>
      <c r="J380" s="23">
        <v>374.40899999999999</v>
      </c>
      <c r="K380" s="24" t="s">
        <v>1511</v>
      </c>
      <c r="L380" s="25">
        <v>0.74583333333333335</v>
      </c>
      <c r="M380" s="22" t="s">
        <v>1477</v>
      </c>
      <c r="N380" s="26">
        <v>356.58</v>
      </c>
      <c r="O380" s="27">
        <f t="shared" si="5"/>
        <v>4.761904762E-2</v>
      </c>
      <c r="P380" s="23">
        <v>17.829000000000001</v>
      </c>
      <c r="Q380" s="28">
        <v>6.8</v>
      </c>
    </row>
    <row r="381" spans="1:17" x14ac:dyDescent="0.35">
      <c r="A381" s="21" t="s">
        <v>1906</v>
      </c>
      <c r="B381" s="22" t="s">
        <v>1466</v>
      </c>
      <c r="C381" s="22" t="s">
        <v>1467</v>
      </c>
      <c r="D381" s="22" t="s">
        <v>1461</v>
      </c>
      <c r="E381" s="22" t="s">
        <v>19</v>
      </c>
      <c r="F381" s="22" t="s">
        <v>1462</v>
      </c>
      <c r="G381" s="22">
        <v>88.25</v>
      </c>
      <c r="H381" s="22">
        <v>9</v>
      </c>
      <c r="I381" s="22">
        <v>39.712499999999999</v>
      </c>
      <c r="J381" s="23">
        <v>833.96249999999998</v>
      </c>
      <c r="K381" s="24" t="s">
        <v>1544</v>
      </c>
      <c r="L381" s="25">
        <v>0.86875000000000002</v>
      </c>
      <c r="M381" s="22" t="s">
        <v>1477</v>
      </c>
      <c r="N381" s="26">
        <v>794.25</v>
      </c>
      <c r="O381" s="27">
        <f t="shared" si="5"/>
        <v>4.761904762E-2</v>
      </c>
      <c r="P381" s="23">
        <v>39.712499999999999</v>
      </c>
      <c r="Q381" s="28">
        <v>7.6</v>
      </c>
    </row>
    <row r="382" spans="1:17" x14ac:dyDescent="0.35">
      <c r="A382" s="21" t="s">
        <v>1907</v>
      </c>
      <c r="B382" s="22" t="s">
        <v>1466</v>
      </c>
      <c r="C382" s="22" t="s">
        <v>1467</v>
      </c>
      <c r="D382" s="22" t="s">
        <v>1461</v>
      </c>
      <c r="E382" s="22" t="s">
        <v>27</v>
      </c>
      <c r="F382" s="22" t="s">
        <v>1501</v>
      </c>
      <c r="G382" s="22">
        <v>25.31</v>
      </c>
      <c r="H382" s="22">
        <v>2</v>
      </c>
      <c r="I382" s="22">
        <v>2.5310000000000001</v>
      </c>
      <c r="J382" s="23">
        <v>53.151000000000003</v>
      </c>
      <c r="K382" s="24">
        <v>43499</v>
      </c>
      <c r="L382" s="25">
        <v>0.80972222222222223</v>
      </c>
      <c r="M382" s="22" t="s">
        <v>1469</v>
      </c>
      <c r="N382" s="26">
        <v>50.62</v>
      </c>
      <c r="O382" s="27">
        <f t="shared" si="5"/>
        <v>4.761904762E-2</v>
      </c>
      <c r="P382" s="23">
        <v>2.5310000000000001</v>
      </c>
      <c r="Q382" s="28">
        <v>7.2</v>
      </c>
    </row>
    <row r="383" spans="1:17" x14ac:dyDescent="0.35">
      <c r="A383" s="21" t="s">
        <v>1908</v>
      </c>
      <c r="B383" s="22" t="s">
        <v>1466</v>
      </c>
      <c r="C383" s="22" t="s">
        <v>1467</v>
      </c>
      <c r="D383" s="22" t="s">
        <v>1461</v>
      </c>
      <c r="E383" s="22" t="s">
        <v>27</v>
      </c>
      <c r="F383" s="22" t="s">
        <v>1482</v>
      </c>
      <c r="G383" s="22">
        <v>99.92</v>
      </c>
      <c r="H383" s="22">
        <v>6</v>
      </c>
      <c r="I383" s="22">
        <v>29.975999999999999</v>
      </c>
      <c r="J383" s="23">
        <v>629.49599999999998</v>
      </c>
      <c r="K383" s="24" t="s">
        <v>1550</v>
      </c>
      <c r="L383" s="25">
        <v>0.56458333333333333</v>
      </c>
      <c r="M383" s="22" t="s">
        <v>1469</v>
      </c>
      <c r="N383" s="26">
        <v>599.52</v>
      </c>
      <c r="O383" s="27">
        <f t="shared" si="5"/>
        <v>4.761904762E-2</v>
      </c>
      <c r="P383" s="23">
        <v>29.975999999999999</v>
      </c>
      <c r="Q383" s="28">
        <v>7.1</v>
      </c>
    </row>
    <row r="384" spans="1:17" x14ac:dyDescent="0.35">
      <c r="A384" s="21" t="s">
        <v>1909</v>
      </c>
      <c r="B384" s="22" t="s">
        <v>1475</v>
      </c>
      <c r="C384" s="22" t="s">
        <v>1476</v>
      </c>
      <c r="D384" s="22" t="s">
        <v>1479</v>
      </c>
      <c r="E384" s="22" t="s">
        <v>19</v>
      </c>
      <c r="F384" s="22" t="s">
        <v>1468</v>
      </c>
      <c r="G384" s="22">
        <v>83.35</v>
      </c>
      <c r="H384" s="22">
        <v>2</v>
      </c>
      <c r="I384" s="22">
        <v>8.3350000000000009</v>
      </c>
      <c r="J384" s="23">
        <v>175.035</v>
      </c>
      <c r="K384" s="24">
        <v>43498</v>
      </c>
      <c r="L384" s="25">
        <v>0.58680555555555558</v>
      </c>
      <c r="M384" s="22" t="s">
        <v>1477</v>
      </c>
      <c r="N384" s="26">
        <v>166.7</v>
      </c>
      <c r="O384" s="27">
        <f t="shared" si="5"/>
        <v>4.761904762E-2</v>
      </c>
      <c r="P384" s="23">
        <v>8.3350000000000009</v>
      </c>
      <c r="Q384" s="28">
        <v>9.5</v>
      </c>
    </row>
    <row r="385" spans="1:17" x14ac:dyDescent="0.35">
      <c r="A385" s="21" t="s">
        <v>1910</v>
      </c>
      <c r="B385" s="22" t="s">
        <v>1459</v>
      </c>
      <c r="C385" s="22" t="s">
        <v>1460</v>
      </c>
      <c r="D385" s="22" t="s">
        <v>1461</v>
      </c>
      <c r="E385" s="22" t="s">
        <v>19</v>
      </c>
      <c r="F385" s="22" t="s">
        <v>1486</v>
      </c>
      <c r="G385" s="22">
        <v>74.44</v>
      </c>
      <c r="H385" s="22">
        <v>10</v>
      </c>
      <c r="I385" s="22">
        <v>37.22</v>
      </c>
      <c r="J385" s="23">
        <v>781.62</v>
      </c>
      <c r="K385" s="24" t="s">
        <v>1599</v>
      </c>
      <c r="L385" s="25">
        <v>0.4861111111111111</v>
      </c>
      <c r="M385" s="22" t="s">
        <v>1469</v>
      </c>
      <c r="N385" s="26">
        <v>744.4</v>
      </c>
      <c r="O385" s="27">
        <f t="shared" si="5"/>
        <v>4.761904762E-2</v>
      </c>
      <c r="P385" s="23">
        <v>37.22</v>
      </c>
      <c r="Q385" s="28">
        <v>5.0999999999999996</v>
      </c>
    </row>
    <row r="386" spans="1:17" x14ac:dyDescent="0.35">
      <c r="A386" s="21" t="s">
        <v>1911</v>
      </c>
      <c r="B386" s="22" t="s">
        <v>1475</v>
      </c>
      <c r="C386" s="22" t="s">
        <v>1476</v>
      </c>
      <c r="D386" s="22" t="s">
        <v>1461</v>
      </c>
      <c r="E386" s="22" t="s">
        <v>27</v>
      </c>
      <c r="F386" s="22" t="s">
        <v>1473</v>
      </c>
      <c r="G386" s="22">
        <v>64.08</v>
      </c>
      <c r="H386" s="22">
        <v>7</v>
      </c>
      <c r="I386" s="22">
        <v>22.428000000000001</v>
      </c>
      <c r="J386" s="23">
        <v>470.988</v>
      </c>
      <c r="K386" s="24" t="s">
        <v>1483</v>
      </c>
      <c r="L386" s="25">
        <v>0.51875000000000004</v>
      </c>
      <c r="M386" s="22" t="s">
        <v>1469</v>
      </c>
      <c r="N386" s="26">
        <v>448.56</v>
      </c>
      <c r="O386" s="27">
        <f t="shared" ref="O386:O449" si="6">4.761904762/100</f>
        <v>4.761904762E-2</v>
      </c>
      <c r="P386" s="23">
        <v>22.428000000000001</v>
      </c>
      <c r="Q386" s="28">
        <v>7.6</v>
      </c>
    </row>
    <row r="387" spans="1:17" x14ac:dyDescent="0.35">
      <c r="A387" s="21" t="s">
        <v>1912</v>
      </c>
      <c r="B387" s="22" t="s">
        <v>1466</v>
      </c>
      <c r="C387" s="22" t="s">
        <v>1467</v>
      </c>
      <c r="D387" s="22" t="s">
        <v>1461</v>
      </c>
      <c r="E387" s="22" t="s">
        <v>19</v>
      </c>
      <c r="F387" s="22" t="s">
        <v>1482</v>
      </c>
      <c r="G387" s="22">
        <v>63.15</v>
      </c>
      <c r="H387" s="22">
        <v>6</v>
      </c>
      <c r="I387" s="22">
        <v>18.945</v>
      </c>
      <c r="J387" s="23">
        <v>397.84500000000003</v>
      </c>
      <c r="K387" s="24">
        <v>43525</v>
      </c>
      <c r="L387" s="25">
        <v>0.85</v>
      </c>
      <c r="M387" s="22" t="s">
        <v>1469</v>
      </c>
      <c r="N387" s="26">
        <v>378.9</v>
      </c>
      <c r="O387" s="27">
        <f t="shared" si="6"/>
        <v>4.761904762E-2</v>
      </c>
      <c r="P387" s="23">
        <v>18.945</v>
      </c>
      <c r="Q387" s="28">
        <v>9.8000000000000007</v>
      </c>
    </row>
    <row r="388" spans="1:17" x14ac:dyDescent="0.35">
      <c r="A388" s="21" t="s">
        <v>1913</v>
      </c>
      <c r="B388" s="22" t="s">
        <v>1475</v>
      </c>
      <c r="C388" s="22" t="s">
        <v>1476</v>
      </c>
      <c r="D388" s="22" t="s">
        <v>1479</v>
      </c>
      <c r="E388" s="22" t="s">
        <v>27</v>
      </c>
      <c r="F388" s="22" t="s">
        <v>1482</v>
      </c>
      <c r="G388" s="22">
        <v>85.72</v>
      </c>
      <c r="H388" s="22">
        <v>3</v>
      </c>
      <c r="I388" s="22">
        <v>12.858000000000001</v>
      </c>
      <c r="J388" s="23">
        <v>270.01799999999997</v>
      </c>
      <c r="K388" s="24" t="s">
        <v>1566</v>
      </c>
      <c r="L388" s="25">
        <v>0.87430555555555556</v>
      </c>
      <c r="M388" s="22" t="s">
        <v>1469</v>
      </c>
      <c r="N388" s="26">
        <v>257.16000000000003</v>
      </c>
      <c r="O388" s="27">
        <f t="shared" si="6"/>
        <v>4.761904762E-2</v>
      </c>
      <c r="P388" s="23">
        <v>12.858000000000001</v>
      </c>
      <c r="Q388" s="28">
        <v>5.0999999999999996</v>
      </c>
    </row>
    <row r="389" spans="1:17" x14ac:dyDescent="0.35">
      <c r="A389" s="21" t="s">
        <v>1914</v>
      </c>
      <c r="B389" s="22" t="s">
        <v>1475</v>
      </c>
      <c r="C389" s="22" t="s">
        <v>1476</v>
      </c>
      <c r="D389" s="22" t="s">
        <v>1461</v>
      </c>
      <c r="E389" s="22" t="s">
        <v>19</v>
      </c>
      <c r="F389" s="22" t="s">
        <v>1473</v>
      </c>
      <c r="G389" s="22">
        <v>78.89</v>
      </c>
      <c r="H389" s="22">
        <v>7</v>
      </c>
      <c r="I389" s="22">
        <v>27.611499999999999</v>
      </c>
      <c r="J389" s="23">
        <v>579.8415</v>
      </c>
      <c r="K389" s="24">
        <v>43586</v>
      </c>
      <c r="L389" s="25">
        <v>0.82499999999999996</v>
      </c>
      <c r="M389" s="22" t="s">
        <v>1469</v>
      </c>
      <c r="N389" s="26">
        <v>552.23</v>
      </c>
      <c r="O389" s="27">
        <f t="shared" si="6"/>
        <v>4.761904762E-2</v>
      </c>
      <c r="P389" s="23">
        <v>27.611499999999999</v>
      </c>
      <c r="Q389" s="28">
        <v>7.5</v>
      </c>
    </row>
    <row r="390" spans="1:17" x14ac:dyDescent="0.35">
      <c r="A390" s="21" t="s">
        <v>1915</v>
      </c>
      <c r="B390" s="22" t="s">
        <v>1459</v>
      </c>
      <c r="C390" s="22" t="s">
        <v>1460</v>
      </c>
      <c r="D390" s="22" t="s">
        <v>1461</v>
      </c>
      <c r="E390" s="22" t="s">
        <v>19</v>
      </c>
      <c r="F390" s="22" t="s">
        <v>1501</v>
      </c>
      <c r="G390" s="22">
        <v>89.48</v>
      </c>
      <c r="H390" s="22">
        <v>5</v>
      </c>
      <c r="I390" s="22">
        <v>22.37</v>
      </c>
      <c r="J390" s="23">
        <v>469.77</v>
      </c>
      <c r="K390" s="24" t="s">
        <v>1605</v>
      </c>
      <c r="L390" s="25">
        <v>0.42916666666666664</v>
      </c>
      <c r="M390" s="22" t="s">
        <v>1464</v>
      </c>
      <c r="N390" s="26">
        <v>447.4</v>
      </c>
      <c r="O390" s="27">
        <f t="shared" si="6"/>
        <v>4.761904762E-2</v>
      </c>
      <c r="P390" s="23">
        <v>22.37</v>
      </c>
      <c r="Q390" s="28">
        <v>7.4</v>
      </c>
    </row>
    <row r="391" spans="1:17" x14ac:dyDescent="0.35">
      <c r="A391" s="21" t="s">
        <v>1916</v>
      </c>
      <c r="B391" s="22" t="s">
        <v>1459</v>
      </c>
      <c r="C391" s="22" t="s">
        <v>1460</v>
      </c>
      <c r="D391" s="22" t="s">
        <v>1479</v>
      </c>
      <c r="E391" s="22" t="s">
        <v>19</v>
      </c>
      <c r="F391" s="22" t="s">
        <v>1473</v>
      </c>
      <c r="G391" s="22">
        <v>92.09</v>
      </c>
      <c r="H391" s="22">
        <v>3</v>
      </c>
      <c r="I391" s="22">
        <v>13.813499999999999</v>
      </c>
      <c r="J391" s="23">
        <v>290.08350000000002</v>
      </c>
      <c r="K391" s="24" t="s">
        <v>1546</v>
      </c>
      <c r="L391" s="25">
        <v>0.68541666666666667</v>
      </c>
      <c r="M391" s="22" t="s">
        <v>1464</v>
      </c>
      <c r="N391" s="26">
        <v>276.27</v>
      </c>
      <c r="O391" s="27">
        <f t="shared" si="6"/>
        <v>4.761904762E-2</v>
      </c>
      <c r="P391" s="23">
        <v>13.813499999999999</v>
      </c>
      <c r="Q391" s="28">
        <v>4.2</v>
      </c>
    </row>
    <row r="392" spans="1:17" x14ac:dyDescent="0.35">
      <c r="A392" s="21" t="s">
        <v>1917</v>
      </c>
      <c r="B392" s="22" t="s">
        <v>1475</v>
      </c>
      <c r="C392" s="22" t="s">
        <v>1476</v>
      </c>
      <c r="D392" s="22" t="s">
        <v>1461</v>
      </c>
      <c r="E392" s="22" t="s">
        <v>19</v>
      </c>
      <c r="F392" s="22" t="s">
        <v>1486</v>
      </c>
      <c r="G392" s="22">
        <v>57.29</v>
      </c>
      <c r="H392" s="22">
        <v>6</v>
      </c>
      <c r="I392" s="22">
        <v>17.187000000000001</v>
      </c>
      <c r="J392" s="23">
        <v>360.92700000000002</v>
      </c>
      <c r="K392" s="24" t="s">
        <v>1856</v>
      </c>
      <c r="L392" s="25">
        <v>0.71111111111111114</v>
      </c>
      <c r="M392" s="22" t="s">
        <v>1469</v>
      </c>
      <c r="N392" s="26">
        <v>343.74</v>
      </c>
      <c r="O392" s="27">
        <f t="shared" si="6"/>
        <v>4.761904762E-2</v>
      </c>
      <c r="P392" s="23">
        <v>17.187000000000001</v>
      </c>
      <c r="Q392" s="28">
        <v>5.9</v>
      </c>
    </row>
    <row r="393" spans="1:17" x14ac:dyDescent="0.35">
      <c r="A393" s="21" t="s">
        <v>1918</v>
      </c>
      <c r="B393" s="22" t="s">
        <v>1459</v>
      </c>
      <c r="C393" s="22" t="s">
        <v>1460</v>
      </c>
      <c r="D393" s="22" t="s">
        <v>1461</v>
      </c>
      <c r="E393" s="22" t="s">
        <v>27</v>
      </c>
      <c r="F393" s="22" t="s">
        <v>1486</v>
      </c>
      <c r="G393" s="22">
        <v>66.52</v>
      </c>
      <c r="H393" s="22">
        <v>4</v>
      </c>
      <c r="I393" s="22">
        <v>13.304</v>
      </c>
      <c r="J393" s="23">
        <v>279.38400000000001</v>
      </c>
      <c r="K393" s="24">
        <v>43499</v>
      </c>
      <c r="L393" s="25">
        <v>0.75972222222222219</v>
      </c>
      <c r="M393" s="22" t="s">
        <v>1469</v>
      </c>
      <c r="N393" s="26">
        <v>266.08</v>
      </c>
      <c r="O393" s="27">
        <f t="shared" si="6"/>
        <v>4.761904762E-2</v>
      </c>
      <c r="P393" s="23">
        <v>13.304</v>
      </c>
      <c r="Q393" s="28">
        <v>6.9</v>
      </c>
    </row>
    <row r="394" spans="1:17" x14ac:dyDescent="0.35">
      <c r="A394" s="21" t="s">
        <v>1919</v>
      </c>
      <c r="B394" s="22" t="s">
        <v>1475</v>
      </c>
      <c r="C394" s="22" t="s">
        <v>1476</v>
      </c>
      <c r="D394" s="22" t="s">
        <v>1479</v>
      </c>
      <c r="E394" s="22" t="s">
        <v>27</v>
      </c>
      <c r="F394" s="22" t="s">
        <v>1468</v>
      </c>
      <c r="G394" s="22">
        <v>99.82</v>
      </c>
      <c r="H394" s="22">
        <v>9</v>
      </c>
      <c r="I394" s="22">
        <v>44.918999999999997</v>
      </c>
      <c r="J394" s="23">
        <v>943.29899999999998</v>
      </c>
      <c r="K394" s="24" t="s">
        <v>1531</v>
      </c>
      <c r="L394" s="25">
        <v>0.4465277777777778</v>
      </c>
      <c r="M394" s="22" t="s">
        <v>1464</v>
      </c>
      <c r="N394" s="26">
        <v>898.38</v>
      </c>
      <c r="O394" s="27">
        <f t="shared" si="6"/>
        <v>4.761904762E-2</v>
      </c>
      <c r="P394" s="23">
        <v>44.918999999999997</v>
      </c>
      <c r="Q394" s="28">
        <v>6.6</v>
      </c>
    </row>
    <row r="395" spans="1:17" x14ac:dyDescent="0.35">
      <c r="A395" s="21" t="s">
        <v>1920</v>
      </c>
      <c r="B395" s="22" t="s">
        <v>1459</v>
      </c>
      <c r="C395" s="22" t="s">
        <v>1460</v>
      </c>
      <c r="D395" s="22" t="s">
        <v>1461</v>
      </c>
      <c r="E395" s="22" t="s">
        <v>19</v>
      </c>
      <c r="F395" s="22" t="s">
        <v>1482</v>
      </c>
      <c r="G395" s="22">
        <v>45.68</v>
      </c>
      <c r="H395" s="22">
        <v>10</v>
      </c>
      <c r="I395" s="22">
        <v>22.84</v>
      </c>
      <c r="J395" s="23">
        <v>479.64</v>
      </c>
      <c r="K395" s="24" t="s">
        <v>1528</v>
      </c>
      <c r="L395" s="25">
        <v>0.8125</v>
      </c>
      <c r="M395" s="22" t="s">
        <v>1469</v>
      </c>
      <c r="N395" s="26">
        <v>456.8</v>
      </c>
      <c r="O395" s="27">
        <f t="shared" si="6"/>
        <v>4.761904762E-2</v>
      </c>
      <c r="P395" s="23">
        <v>22.84</v>
      </c>
      <c r="Q395" s="28">
        <v>5.7</v>
      </c>
    </row>
    <row r="396" spans="1:17" x14ac:dyDescent="0.35">
      <c r="A396" s="21" t="s">
        <v>1921</v>
      </c>
      <c r="B396" s="22" t="s">
        <v>1459</v>
      </c>
      <c r="C396" s="22" t="s">
        <v>1460</v>
      </c>
      <c r="D396" s="22" t="s">
        <v>1461</v>
      </c>
      <c r="E396" s="22" t="s">
        <v>27</v>
      </c>
      <c r="F396" s="22" t="s">
        <v>1473</v>
      </c>
      <c r="G396" s="22">
        <v>50.79</v>
      </c>
      <c r="H396" s="22">
        <v>5</v>
      </c>
      <c r="I396" s="22">
        <v>12.6975</v>
      </c>
      <c r="J396" s="23">
        <v>266.64749999999998</v>
      </c>
      <c r="K396" s="24" t="s">
        <v>1645</v>
      </c>
      <c r="L396" s="25">
        <v>0.62013888888888891</v>
      </c>
      <c r="M396" s="22" t="s">
        <v>1477</v>
      </c>
      <c r="N396" s="26">
        <v>253.95</v>
      </c>
      <c r="O396" s="27">
        <f t="shared" si="6"/>
        <v>4.761904762E-2</v>
      </c>
      <c r="P396" s="23">
        <v>12.6975</v>
      </c>
      <c r="Q396" s="28">
        <v>5.3</v>
      </c>
    </row>
    <row r="397" spans="1:17" x14ac:dyDescent="0.35">
      <c r="A397" s="21" t="s">
        <v>1922</v>
      </c>
      <c r="B397" s="22" t="s">
        <v>1459</v>
      </c>
      <c r="C397" s="22" t="s">
        <v>1460</v>
      </c>
      <c r="D397" s="22" t="s">
        <v>1479</v>
      </c>
      <c r="E397" s="22" t="s">
        <v>27</v>
      </c>
      <c r="F397" s="22" t="s">
        <v>1473</v>
      </c>
      <c r="G397" s="22">
        <v>10.08</v>
      </c>
      <c r="H397" s="22">
        <v>7</v>
      </c>
      <c r="I397" s="22">
        <v>3.528</v>
      </c>
      <c r="J397" s="23">
        <v>74.087999999999994</v>
      </c>
      <c r="K397" s="24" t="s">
        <v>1560</v>
      </c>
      <c r="L397" s="25">
        <v>0.84305555555555556</v>
      </c>
      <c r="M397" s="22" t="s">
        <v>1464</v>
      </c>
      <c r="N397" s="26">
        <v>70.56</v>
      </c>
      <c r="O397" s="27">
        <f t="shared" si="6"/>
        <v>4.761904762E-2</v>
      </c>
      <c r="P397" s="23">
        <v>3.528</v>
      </c>
      <c r="Q397" s="28">
        <v>4.2</v>
      </c>
    </row>
    <row r="398" spans="1:17" x14ac:dyDescent="0.35">
      <c r="A398" s="21" t="s">
        <v>1923</v>
      </c>
      <c r="B398" s="22" t="s">
        <v>1459</v>
      </c>
      <c r="C398" s="22" t="s">
        <v>1460</v>
      </c>
      <c r="D398" s="22" t="s">
        <v>1461</v>
      </c>
      <c r="E398" s="22" t="s">
        <v>19</v>
      </c>
      <c r="F398" s="22" t="s">
        <v>1462</v>
      </c>
      <c r="G398" s="22">
        <v>93.88</v>
      </c>
      <c r="H398" s="22">
        <v>7</v>
      </c>
      <c r="I398" s="22">
        <v>32.857999999999997</v>
      </c>
      <c r="J398" s="23">
        <v>690.01800000000003</v>
      </c>
      <c r="K398" s="24">
        <v>43586</v>
      </c>
      <c r="L398" s="25">
        <v>0.49375000000000002</v>
      </c>
      <c r="M398" s="22" t="s">
        <v>1477</v>
      </c>
      <c r="N398" s="26">
        <v>657.16</v>
      </c>
      <c r="O398" s="27">
        <f t="shared" si="6"/>
        <v>4.761904762E-2</v>
      </c>
      <c r="P398" s="23">
        <v>32.857999999999997</v>
      </c>
      <c r="Q398" s="28">
        <v>7.3</v>
      </c>
    </row>
    <row r="399" spans="1:17" x14ac:dyDescent="0.35">
      <c r="A399" s="21" t="s">
        <v>1924</v>
      </c>
      <c r="B399" s="22" t="s">
        <v>1475</v>
      </c>
      <c r="C399" s="22" t="s">
        <v>1476</v>
      </c>
      <c r="D399" s="22" t="s">
        <v>1479</v>
      </c>
      <c r="E399" s="22" t="s">
        <v>27</v>
      </c>
      <c r="F399" s="22" t="s">
        <v>1462</v>
      </c>
      <c r="G399" s="22">
        <v>84.25</v>
      </c>
      <c r="H399" s="22">
        <v>2</v>
      </c>
      <c r="I399" s="22">
        <v>8.4250000000000007</v>
      </c>
      <c r="J399" s="23">
        <v>176.92500000000001</v>
      </c>
      <c r="K399" s="24" t="s">
        <v>1520</v>
      </c>
      <c r="L399" s="25">
        <v>0.59236111111111112</v>
      </c>
      <c r="M399" s="22" t="s">
        <v>1477</v>
      </c>
      <c r="N399" s="26">
        <v>168.5</v>
      </c>
      <c r="O399" s="27">
        <f t="shared" si="6"/>
        <v>4.761904762E-2</v>
      </c>
      <c r="P399" s="23">
        <v>8.4250000000000007</v>
      </c>
      <c r="Q399" s="28">
        <v>5.3</v>
      </c>
    </row>
    <row r="400" spans="1:17" x14ac:dyDescent="0.35">
      <c r="A400" s="21" t="s">
        <v>1925</v>
      </c>
      <c r="B400" s="22" t="s">
        <v>1466</v>
      </c>
      <c r="C400" s="22" t="s">
        <v>1467</v>
      </c>
      <c r="D400" s="22" t="s">
        <v>1479</v>
      </c>
      <c r="E400" s="22" t="s">
        <v>27</v>
      </c>
      <c r="F400" s="22" t="s">
        <v>1468</v>
      </c>
      <c r="G400" s="22">
        <v>53.78</v>
      </c>
      <c r="H400" s="22">
        <v>1</v>
      </c>
      <c r="I400" s="22">
        <v>2.6890000000000001</v>
      </c>
      <c r="J400" s="23">
        <v>56.469000000000001</v>
      </c>
      <c r="K400" s="24">
        <v>43526</v>
      </c>
      <c r="L400" s="25">
        <v>0.84236111111111112</v>
      </c>
      <c r="M400" s="22" t="s">
        <v>1469</v>
      </c>
      <c r="N400" s="26">
        <v>53.78</v>
      </c>
      <c r="O400" s="27">
        <f t="shared" si="6"/>
        <v>4.761904762E-2</v>
      </c>
      <c r="P400" s="23">
        <v>2.6890000000000001</v>
      </c>
      <c r="Q400" s="28">
        <v>4.7</v>
      </c>
    </row>
    <row r="401" spans="1:17" x14ac:dyDescent="0.35">
      <c r="A401" s="21" t="s">
        <v>1926</v>
      </c>
      <c r="B401" s="22" t="s">
        <v>1475</v>
      </c>
      <c r="C401" s="22" t="s">
        <v>1476</v>
      </c>
      <c r="D401" s="22" t="s">
        <v>1479</v>
      </c>
      <c r="E401" s="22" t="s">
        <v>27</v>
      </c>
      <c r="F401" s="22" t="s">
        <v>1482</v>
      </c>
      <c r="G401" s="22">
        <v>35.81</v>
      </c>
      <c r="H401" s="22">
        <v>5</v>
      </c>
      <c r="I401" s="22">
        <v>8.9525000000000006</v>
      </c>
      <c r="J401" s="23">
        <v>188.0025</v>
      </c>
      <c r="K401" s="24">
        <v>43618</v>
      </c>
      <c r="L401" s="25">
        <v>0.78055555555555556</v>
      </c>
      <c r="M401" s="22" t="s">
        <v>1469</v>
      </c>
      <c r="N401" s="26">
        <v>179.05</v>
      </c>
      <c r="O401" s="27">
        <f t="shared" si="6"/>
        <v>4.761904762E-2</v>
      </c>
      <c r="P401" s="23">
        <v>8.9525000000000006</v>
      </c>
      <c r="Q401" s="28">
        <v>7.9</v>
      </c>
    </row>
    <row r="402" spans="1:17" x14ac:dyDescent="0.35">
      <c r="A402" s="21" t="s">
        <v>1927</v>
      </c>
      <c r="B402" s="22" t="s">
        <v>1466</v>
      </c>
      <c r="C402" s="22" t="s">
        <v>1467</v>
      </c>
      <c r="D402" s="22" t="s">
        <v>1461</v>
      </c>
      <c r="E402" s="22" t="s">
        <v>19</v>
      </c>
      <c r="F402" s="22" t="s">
        <v>1486</v>
      </c>
      <c r="G402" s="22">
        <v>26.43</v>
      </c>
      <c r="H402" s="22">
        <v>8</v>
      </c>
      <c r="I402" s="22">
        <v>10.571999999999999</v>
      </c>
      <c r="J402" s="23">
        <v>222.012</v>
      </c>
      <c r="K402" s="24" t="s">
        <v>1614</v>
      </c>
      <c r="L402" s="25">
        <v>0.60138888888888886</v>
      </c>
      <c r="M402" s="22" t="s">
        <v>1469</v>
      </c>
      <c r="N402" s="26">
        <v>211.44</v>
      </c>
      <c r="O402" s="27">
        <f t="shared" si="6"/>
        <v>4.761904762E-2</v>
      </c>
      <c r="P402" s="23">
        <v>10.571999999999999</v>
      </c>
      <c r="Q402" s="28">
        <v>8.9</v>
      </c>
    </row>
    <row r="403" spans="1:17" x14ac:dyDescent="0.35">
      <c r="A403" s="21" t="s">
        <v>1928</v>
      </c>
      <c r="B403" s="22" t="s">
        <v>1466</v>
      </c>
      <c r="C403" s="22" t="s">
        <v>1467</v>
      </c>
      <c r="D403" s="22" t="s">
        <v>1479</v>
      </c>
      <c r="E403" s="22" t="s">
        <v>27</v>
      </c>
      <c r="F403" s="22" t="s">
        <v>1473</v>
      </c>
      <c r="G403" s="22">
        <v>39.909999999999997</v>
      </c>
      <c r="H403" s="22">
        <v>3</v>
      </c>
      <c r="I403" s="22">
        <v>5.9865000000000004</v>
      </c>
      <c r="J403" s="23">
        <v>125.7165</v>
      </c>
      <c r="K403" s="24" t="s">
        <v>1632</v>
      </c>
      <c r="L403" s="25">
        <v>0.52777777777777779</v>
      </c>
      <c r="M403" s="22" t="s">
        <v>1469</v>
      </c>
      <c r="N403" s="26">
        <v>119.73</v>
      </c>
      <c r="O403" s="27">
        <f t="shared" si="6"/>
        <v>4.761904762E-2</v>
      </c>
      <c r="P403" s="23">
        <v>5.9865000000000004</v>
      </c>
      <c r="Q403" s="28">
        <v>9.3000000000000007</v>
      </c>
    </row>
    <row r="404" spans="1:17" x14ac:dyDescent="0.35">
      <c r="A404" s="21" t="s">
        <v>1929</v>
      </c>
      <c r="B404" s="22" t="s">
        <v>1466</v>
      </c>
      <c r="C404" s="22" t="s">
        <v>1467</v>
      </c>
      <c r="D404" s="22" t="s">
        <v>1479</v>
      </c>
      <c r="E404" s="22" t="s">
        <v>19</v>
      </c>
      <c r="F404" s="22" t="s">
        <v>1482</v>
      </c>
      <c r="G404" s="22">
        <v>21.9</v>
      </c>
      <c r="H404" s="22">
        <v>3</v>
      </c>
      <c r="I404" s="22">
        <v>3.2850000000000001</v>
      </c>
      <c r="J404" s="23">
        <v>68.984999999999999</v>
      </c>
      <c r="K404" s="24">
        <v>43709</v>
      </c>
      <c r="L404" s="25">
        <v>0.77986111111111112</v>
      </c>
      <c r="M404" s="22" t="s">
        <v>1469</v>
      </c>
      <c r="N404" s="26">
        <v>65.7</v>
      </c>
      <c r="O404" s="27">
        <f t="shared" si="6"/>
        <v>4.761904762E-2</v>
      </c>
      <c r="P404" s="23">
        <v>3.2850000000000001</v>
      </c>
      <c r="Q404" s="28">
        <v>4.7</v>
      </c>
    </row>
    <row r="405" spans="1:17" x14ac:dyDescent="0.35">
      <c r="A405" s="21" t="s">
        <v>1930</v>
      </c>
      <c r="B405" s="22" t="s">
        <v>1466</v>
      </c>
      <c r="C405" s="22" t="s">
        <v>1467</v>
      </c>
      <c r="D405" s="22" t="s">
        <v>1479</v>
      </c>
      <c r="E405" s="22" t="s">
        <v>19</v>
      </c>
      <c r="F405" s="22" t="s">
        <v>1486</v>
      </c>
      <c r="G405" s="22">
        <v>62.85</v>
      </c>
      <c r="H405" s="22">
        <v>4</v>
      </c>
      <c r="I405" s="22">
        <v>12.57</v>
      </c>
      <c r="J405" s="23">
        <v>263.97000000000003</v>
      </c>
      <c r="K405" s="24" t="s">
        <v>1506</v>
      </c>
      <c r="L405" s="25">
        <v>0.55694444444444446</v>
      </c>
      <c r="M405" s="22" t="s">
        <v>1469</v>
      </c>
      <c r="N405" s="26">
        <v>251.4</v>
      </c>
      <c r="O405" s="27">
        <f t="shared" si="6"/>
        <v>4.761904762E-2</v>
      </c>
      <c r="P405" s="23">
        <v>12.57</v>
      </c>
      <c r="Q405" s="28">
        <v>8.6999999999999993</v>
      </c>
    </row>
    <row r="406" spans="1:17" x14ac:dyDescent="0.35">
      <c r="A406" s="21" t="s">
        <v>1931</v>
      </c>
      <c r="B406" s="22" t="s">
        <v>1475</v>
      </c>
      <c r="C406" s="22" t="s">
        <v>1476</v>
      </c>
      <c r="D406" s="22" t="s">
        <v>1479</v>
      </c>
      <c r="E406" s="22" t="s">
        <v>19</v>
      </c>
      <c r="F406" s="22" t="s">
        <v>1486</v>
      </c>
      <c r="G406" s="22">
        <v>21.04</v>
      </c>
      <c r="H406" s="22">
        <v>4</v>
      </c>
      <c r="I406" s="22">
        <v>4.2080000000000002</v>
      </c>
      <c r="J406" s="23">
        <v>88.367999999999995</v>
      </c>
      <c r="K406" s="24" t="s">
        <v>1511</v>
      </c>
      <c r="L406" s="25">
        <v>0.58194444444444449</v>
      </c>
      <c r="M406" s="22" t="s">
        <v>1464</v>
      </c>
      <c r="N406" s="26">
        <v>84.16</v>
      </c>
      <c r="O406" s="27">
        <f t="shared" si="6"/>
        <v>4.761904762E-2</v>
      </c>
      <c r="P406" s="23">
        <v>4.2080000000000002</v>
      </c>
      <c r="Q406" s="28">
        <v>7.6</v>
      </c>
    </row>
    <row r="407" spans="1:17" x14ac:dyDescent="0.35">
      <c r="A407" s="21" t="s">
        <v>1932</v>
      </c>
      <c r="B407" s="22" t="s">
        <v>1466</v>
      </c>
      <c r="C407" s="22" t="s">
        <v>1467</v>
      </c>
      <c r="D407" s="22" t="s">
        <v>1479</v>
      </c>
      <c r="E407" s="22" t="s">
        <v>27</v>
      </c>
      <c r="F407" s="22" t="s">
        <v>1482</v>
      </c>
      <c r="G407" s="22">
        <v>65.91</v>
      </c>
      <c r="H407" s="22">
        <v>6</v>
      </c>
      <c r="I407" s="22">
        <v>19.773</v>
      </c>
      <c r="J407" s="23">
        <v>415.233</v>
      </c>
      <c r="K407" s="24">
        <v>43710</v>
      </c>
      <c r="L407" s="25">
        <v>0.48958333333333331</v>
      </c>
      <c r="M407" s="22" t="s">
        <v>1464</v>
      </c>
      <c r="N407" s="26">
        <v>395.46</v>
      </c>
      <c r="O407" s="27">
        <f t="shared" si="6"/>
        <v>4.761904762E-2</v>
      </c>
      <c r="P407" s="23">
        <v>19.773</v>
      </c>
      <c r="Q407" s="28">
        <v>5.7</v>
      </c>
    </row>
    <row r="408" spans="1:17" x14ac:dyDescent="0.35">
      <c r="A408" s="21" t="s">
        <v>1933</v>
      </c>
      <c r="B408" s="22" t="s">
        <v>1459</v>
      </c>
      <c r="C408" s="22" t="s">
        <v>1460</v>
      </c>
      <c r="D408" s="22" t="s">
        <v>1461</v>
      </c>
      <c r="E408" s="22" t="s">
        <v>19</v>
      </c>
      <c r="F408" s="22" t="s">
        <v>1468</v>
      </c>
      <c r="G408" s="22">
        <v>42.57</v>
      </c>
      <c r="H408" s="22">
        <v>7</v>
      </c>
      <c r="I408" s="22">
        <v>14.8995</v>
      </c>
      <c r="J408" s="23">
        <v>312.8895</v>
      </c>
      <c r="K408" s="24">
        <v>43617</v>
      </c>
      <c r="L408" s="25">
        <v>0.49375000000000002</v>
      </c>
      <c r="M408" s="22" t="s">
        <v>1464</v>
      </c>
      <c r="N408" s="26">
        <v>297.99</v>
      </c>
      <c r="O408" s="27">
        <f t="shared" si="6"/>
        <v>4.761904762E-2</v>
      </c>
      <c r="P408" s="23">
        <v>14.8995</v>
      </c>
      <c r="Q408" s="28">
        <v>6.8</v>
      </c>
    </row>
    <row r="409" spans="1:17" x14ac:dyDescent="0.35">
      <c r="A409" s="21" t="s">
        <v>1934</v>
      </c>
      <c r="B409" s="22" t="s">
        <v>1475</v>
      </c>
      <c r="C409" s="22" t="s">
        <v>1476</v>
      </c>
      <c r="D409" s="22" t="s">
        <v>1479</v>
      </c>
      <c r="E409" s="22" t="s">
        <v>27</v>
      </c>
      <c r="F409" s="22" t="s">
        <v>1486</v>
      </c>
      <c r="G409" s="22">
        <v>50.49</v>
      </c>
      <c r="H409" s="22">
        <v>9</v>
      </c>
      <c r="I409" s="22">
        <v>22.720500000000001</v>
      </c>
      <c r="J409" s="23">
        <v>477.13049999999998</v>
      </c>
      <c r="K409" s="24">
        <v>43739</v>
      </c>
      <c r="L409" s="25">
        <v>0.71944444444444444</v>
      </c>
      <c r="M409" s="22" t="s">
        <v>1464</v>
      </c>
      <c r="N409" s="26">
        <v>454.41</v>
      </c>
      <c r="O409" s="27">
        <f t="shared" si="6"/>
        <v>4.761904762E-2</v>
      </c>
      <c r="P409" s="23">
        <v>22.720500000000001</v>
      </c>
      <c r="Q409" s="28">
        <v>5.4</v>
      </c>
    </row>
    <row r="410" spans="1:17" x14ac:dyDescent="0.35">
      <c r="A410" s="21" t="s">
        <v>1935</v>
      </c>
      <c r="B410" s="22" t="s">
        <v>1466</v>
      </c>
      <c r="C410" s="22" t="s">
        <v>1467</v>
      </c>
      <c r="D410" s="22" t="s">
        <v>1461</v>
      </c>
      <c r="E410" s="22" t="s">
        <v>27</v>
      </c>
      <c r="F410" s="22" t="s">
        <v>1462</v>
      </c>
      <c r="G410" s="22">
        <v>46.02</v>
      </c>
      <c r="H410" s="22">
        <v>6</v>
      </c>
      <c r="I410" s="22">
        <v>13.805999999999999</v>
      </c>
      <c r="J410" s="23">
        <v>289.92599999999999</v>
      </c>
      <c r="K410" s="24">
        <v>43648</v>
      </c>
      <c r="L410" s="25">
        <v>0.66319444444444442</v>
      </c>
      <c r="M410" s="22" t="s">
        <v>1464</v>
      </c>
      <c r="N410" s="26">
        <v>276.12</v>
      </c>
      <c r="O410" s="27">
        <f t="shared" si="6"/>
        <v>4.761904762E-2</v>
      </c>
      <c r="P410" s="23">
        <v>13.805999999999999</v>
      </c>
      <c r="Q410" s="28">
        <v>7.1</v>
      </c>
    </row>
    <row r="411" spans="1:17" x14ac:dyDescent="0.35">
      <c r="A411" s="21" t="s">
        <v>1936</v>
      </c>
      <c r="B411" s="22" t="s">
        <v>1475</v>
      </c>
      <c r="C411" s="22" t="s">
        <v>1476</v>
      </c>
      <c r="D411" s="22" t="s">
        <v>1461</v>
      </c>
      <c r="E411" s="22" t="s">
        <v>19</v>
      </c>
      <c r="F411" s="22" t="s">
        <v>1482</v>
      </c>
      <c r="G411" s="22">
        <v>15.8</v>
      </c>
      <c r="H411" s="22">
        <v>10</v>
      </c>
      <c r="I411" s="22">
        <v>7.9</v>
      </c>
      <c r="J411" s="23">
        <v>165.9</v>
      </c>
      <c r="K411" s="24">
        <v>43709</v>
      </c>
      <c r="L411" s="25">
        <v>0.50486111111111109</v>
      </c>
      <c r="M411" s="22" t="s">
        <v>1464</v>
      </c>
      <c r="N411" s="26">
        <v>158</v>
      </c>
      <c r="O411" s="27">
        <f t="shared" si="6"/>
        <v>4.761904762E-2</v>
      </c>
      <c r="P411" s="23">
        <v>7.9</v>
      </c>
      <c r="Q411" s="28">
        <v>7.8</v>
      </c>
    </row>
    <row r="412" spans="1:17" x14ac:dyDescent="0.35">
      <c r="A412" s="21" t="s">
        <v>1937</v>
      </c>
      <c r="B412" s="22" t="s">
        <v>1459</v>
      </c>
      <c r="C412" s="22" t="s">
        <v>1460</v>
      </c>
      <c r="D412" s="22" t="s">
        <v>1479</v>
      </c>
      <c r="E412" s="22" t="s">
        <v>19</v>
      </c>
      <c r="F412" s="22" t="s">
        <v>1486</v>
      </c>
      <c r="G412" s="22">
        <v>98.66</v>
      </c>
      <c r="H412" s="22">
        <v>9</v>
      </c>
      <c r="I412" s="22">
        <v>44.396999999999998</v>
      </c>
      <c r="J412" s="23">
        <v>932.33699999999999</v>
      </c>
      <c r="K412" s="24" t="s">
        <v>1645</v>
      </c>
      <c r="L412" s="25">
        <v>0.62986111111111109</v>
      </c>
      <c r="M412" s="22" t="s">
        <v>1464</v>
      </c>
      <c r="N412" s="26">
        <v>887.94</v>
      </c>
      <c r="O412" s="27">
        <f t="shared" si="6"/>
        <v>4.761904762E-2</v>
      </c>
      <c r="P412" s="23">
        <v>44.396999999999998</v>
      </c>
      <c r="Q412" s="28">
        <v>8.4</v>
      </c>
    </row>
    <row r="413" spans="1:17" x14ac:dyDescent="0.35">
      <c r="A413" s="21" t="s">
        <v>1938</v>
      </c>
      <c r="B413" s="22" t="s">
        <v>1475</v>
      </c>
      <c r="C413" s="22" t="s">
        <v>1476</v>
      </c>
      <c r="D413" s="22" t="s">
        <v>1479</v>
      </c>
      <c r="E413" s="22" t="s">
        <v>27</v>
      </c>
      <c r="F413" s="22" t="s">
        <v>1468</v>
      </c>
      <c r="G413" s="22">
        <v>91.98</v>
      </c>
      <c r="H413" s="22">
        <v>1</v>
      </c>
      <c r="I413" s="22">
        <v>4.5990000000000002</v>
      </c>
      <c r="J413" s="23">
        <v>96.578999999999994</v>
      </c>
      <c r="K413" s="24" t="s">
        <v>1591</v>
      </c>
      <c r="L413" s="25">
        <v>0.64513888888888893</v>
      </c>
      <c r="M413" s="22" t="s">
        <v>1464</v>
      </c>
      <c r="N413" s="26">
        <v>91.98</v>
      </c>
      <c r="O413" s="27">
        <f t="shared" si="6"/>
        <v>4.761904762E-2</v>
      </c>
      <c r="P413" s="23">
        <v>4.5990000000000002</v>
      </c>
      <c r="Q413" s="28">
        <v>9.8000000000000007</v>
      </c>
    </row>
    <row r="414" spans="1:17" x14ac:dyDescent="0.35">
      <c r="A414" s="21" t="s">
        <v>1939</v>
      </c>
      <c r="B414" s="22" t="s">
        <v>1459</v>
      </c>
      <c r="C414" s="22" t="s">
        <v>1460</v>
      </c>
      <c r="D414" s="22" t="s">
        <v>1479</v>
      </c>
      <c r="E414" s="22" t="s">
        <v>27</v>
      </c>
      <c r="F414" s="22" t="s">
        <v>1462</v>
      </c>
      <c r="G414" s="22">
        <v>20.89</v>
      </c>
      <c r="H414" s="22">
        <v>2</v>
      </c>
      <c r="I414" s="22">
        <v>2.089</v>
      </c>
      <c r="J414" s="23">
        <v>43.869</v>
      </c>
      <c r="K414" s="24">
        <v>43587</v>
      </c>
      <c r="L414" s="25">
        <v>0.78125</v>
      </c>
      <c r="M414" s="22" t="s">
        <v>1464</v>
      </c>
      <c r="N414" s="26">
        <v>41.78</v>
      </c>
      <c r="O414" s="27">
        <f t="shared" si="6"/>
        <v>4.761904762E-2</v>
      </c>
      <c r="P414" s="23">
        <v>2.089</v>
      </c>
      <c r="Q414" s="28">
        <v>9.8000000000000007</v>
      </c>
    </row>
    <row r="415" spans="1:17" x14ac:dyDescent="0.35">
      <c r="A415" s="21" t="s">
        <v>1940</v>
      </c>
      <c r="B415" s="22" t="s">
        <v>1459</v>
      </c>
      <c r="C415" s="22" t="s">
        <v>1460</v>
      </c>
      <c r="D415" s="22" t="s">
        <v>1461</v>
      </c>
      <c r="E415" s="22" t="s">
        <v>19</v>
      </c>
      <c r="F415" s="22" t="s">
        <v>1468</v>
      </c>
      <c r="G415" s="22">
        <v>15.5</v>
      </c>
      <c r="H415" s="22">
        <v>1</v>
      </c>
      <c r="I415" s="22">
        <v>0.77500000000000002</v>
      </c>
      <c r="J415" s="23">
        <v>16.274999999999999</v>
      </c>
      <c r="K415" s="24" t="s">
        <v>1596</v>
      </c>
      <c r="L415" s="25">
        <v>0.64097222222222228</v>
      </c>
      <c r="M415" s="22" t="s">
        <v>1477</v>
      </c>
      <c r="N415" s="26">
        <v>15.5</v>
      </c>
      <c r="O415" s="27">
        <f t="shared" si="6"/>
        <v>4.761904762E-2</v>
      </c>
      <c r="P415" s="23">
        <v>0.77500000000000002</v>
      </c>
      <c r="Q415" s="28">
        <v>7.4</v>
      </c>
    </row>
    <row r="416" spans="1:17" x14ac:dyDescent="0.35">
      <c r="A416" s="21" t="s">
        <v>1941</v>
      </c>
      <c r="B416" s="22" t="s">
        <v>1475</v>
      </c>
      <c r="C416" s="22" t="s">
        <v>1476</v>
      </c>
      <c r="D416" s="22" t="s">
        <v>1479</v>
      </c>
      <c r="E416" s="22" t="s">
        <v>27</v>
      </c>
      <c r="F416" s="22" t="s">
        <v>1462</v>
      </c>
      <c r="G416" s="22">
        <v>96.82</v>
      </c>
      <c r="H416" s="22">
        <v>3</v>
      </c>
      <c r="I416" s="22">
        <v>14.523</v>
      </c>
      <c r="J416" s="23">
        <v>304.983</v>
      </c>
      <c r="K416" s="24" t="s">
        <v>1605</v>
      </c>
      <c r="L416" s="25">
        <v>0.85902777777777772</v>
      </c>
      <c r="M416" s="22" t="s">
        <v>1464</v>
      </c>
      <c r="N416" s="26">
        <v>290.45999999999998</v>
      </c>
      <c r="O416" s="27">
        <f t="shared" si="6"/>
        <v>4.761904762E-2</v>
      </c>
      <c r="P416" s="23">
        <v>14.523</v>
      </c>
      <c r="Q416" s="28">
        <v>6.7</v>
      </c>
    </row>
    <row r="417" spans="1:17" x14ac:dyDescent="0.35">
      <c r="A417" s="21" t="s">
        <v>1942</v>
      </c>
      <c r="B417" s="22" t="s">
        <v>1466</v>
      </c>
      <c r="C417" s="22" t="s">
        <v>1467</v>
      </c>
      <c r="D417" s="22" t="s">
        <v>1461</v>
      </c>
      <c r="E417" s="22" t="s">
        <v>27</v>
      </c>
      <c r="F417" s="22" t="s">
        <v>1486</v>
      </c>
      <c r="G417" s="22">
        <v>33.33</v>
      </c>
      <c r="H417" s="22">
        <v>2</v>
      </c>
      <c r="I417" s="22">
        <v>3.3330000000000002</v>
      </c>
      <c r="J417" s="23">
        <v>69.992999999999995</v>
      </c>
      <c r="K417" s="24" t="s">
        <v>1548</v>
      </c>
      <c r="L417" s="25">
        <v>0.6118055555555556</v>
      </c>
      <c r="M417" s="22" t="s">
        <v>1477</v>
      </c>
      <c r="N417" s="26">
        <v>66.66</v>
      </c>
      <c r="O417" s="27">
        <f t="shared" si="6"/>
        <v>4.761904762E-2</v>
      </c>
      <c r="P417" s="23">
        <v>3.3330000000000002</v>
      </c>
      <c r="Q417" s="28">
        <v>6.4</v>
      </c>
    </row>
    <row r="418" spans="1:17" x14ac:dyDescent="0.35">
      <c r="A418" s="21" t="s">
        <v>1943</v>
      </c>
      <c r="B418" s="22" t="s">
        <v>1466</v>
      </c>
      <c r="C418" s="22" t="s">
        <v>1467</v>
      </c>
      <c r="D418" s="22" t="s">
        <v>1461</v>
      </c>
      <c r="E418" s="22" t="s">
        <v>19</v>
      </c>
      <c r="F418" s="22" t="s">
        <v>1462</v>
      </c>
      <c r="G418" s="22">
        <v>38.270000000000003</v>
      </c>
      <c r="H418" s="22">
        <v>2</v>
      </c>
      <c r="I418" s="22">
        <v>3.827</v>
      </c>
      <c r="J418" s="23">
        <v>80.367000000000004</v>
      </c>
      <c r="K418" s="24">
        <v>43499</v>
      </c>
      <c r="L418" s="25">
        <v>0.76249999999999996</v>
      </c>
      <c r="M418" s="22" t="s">
        <v>1477</v>
      </c>
      <c r="N418" s="26">
        <v>76.540000000000006</v>
      </c>
      <c r="O418" s="27">
        <f t="shared" si="6"/>
        <v>4.761904762E-2</v>
      </c>
      <c r="P418" s="23">
        <v>3.827</v>
      </c>
      <c r="Q418" s="28">
        <v>5.8</v>
      </c>
    </row>
    <row r="419" spans="1:17" x14ac:dyDescent="0.35">
      <c r="A419" s="21" t="s">
        <v>1944</v>
      </c>
      <c r="B419" s="22" t="s">
        <v>1459</v>
      </c>
      <c r="C419" s="22" t="s">
        <v>1460</v>
      </c>
      <c r="D419" s="22" t="s">
        <v>1461</v>
      </c>
      <c r="E419" s="22" t="s">
        <v>19</v>
      </c>
      <c r="F419" s="22" t="s">
        <v>1482</v>
      </c>
      <c r="G419" s="22">
        <v>33.299999999999997</v>
      </c>
      <c r="H419" s="22">
        <v>9</v>
      </c>
      <c r="I419" s="22">
        <v>14.984999999999999</v>
      </c>
      <c r="J419" s="23">
        <v>314.685</v>
      </c>
      <c r="K419" s="24">
        <v>43558</v>
      </c>
      <c r="L419" s="25">
        <v>0.64375000000000004</v>
      </c>
      <c r="M419" s="22" t="s">
        <v>1469</v>
      </c>
      <c r="N419" s="26">
        <v>299.7</v>
      </c>
      <c r="O419" s="27">
        <f t="shared" si="6"/>
        <v>4.761904762E-2</v>
      </c>
      <c r="P419" s="23">
        <v>14.984999999999999</v>
      </c>
      <c r="Q419" s="28">
        <v>7.2</v>
      </c>
    </row>
    <row r="420" spans="1:17" x14ac:dyDescent="0.35">
      <c r="A420" s="21" t="s">
        <v>1945</v>
      </c>
      <c r="B420" s="22" t="s">
        <v>1459</v>
      </c>
      <c r="C420" s="22" t="s">
        <v>1460</v>
      </c>
      <c r="D420" s="22" t="s">
        <v>1479</v>
      </c>
      <c r="E420" s="22" t="s">
        <v>27</v>
      </c>
      <c r="F420" s="22" t="s">
        <v>1482</v>
      </c>
      <c r="G420" s="22">
        <v>81.010000000000005</v>
      </c>
      <c r="H420" s="22">
        <v>3</v>
      </c>
      <c r="I420" s="22">
        <v>12.1515</v>
      </c>
      <c r="J420" s="23">
        <v>255.1815</v>
      </c>
      <c r="K420" s="24" t="s">
        <v>1511</v>
      </c>
      <c r="L420" s="25">
        <v>0.53819444444444442</v>
      </c>
      <c r="M420" s="22" t="s">
        <v>1477</v>
      </c>
      <c r="N420" s="26">
        <v>243.03</v>
      </c>
      <c r="O420" s="27">
        <f t="shared" si="6"/>
        <v>4.761904762E-2</v>
      </c>
      <c r="P420" s="23">
        <v>12.1515</v>
      </c>
      <c r="Q420" s="28">
        <v>9.3000000000000007</v>
      </c>
    </row>
    <row r="421" spans="1:17" x14ac:dyDescent="0.35">
      <c r="A421" s="21" t="s">
        <v>1946</v>
      </c>
      <c r="B421" s="22" t="s">
        <v>1459</v>
      </c>
      <c r="C421" s="22" t="s">
        <v>1460</v>
      </c>
      <c r="D421" s="22" t="s">
        <v>1461</v>
      </c>
      <c r="E421" s="22" t="s">
        <v>19</v>
      </c>
      <c r="F421" s="22" t="s">
        <v>1473</v>
      </c>
      <c r="G421" s="22">
        <v>15.8</v>
      </c>
      <c r="H421" s="22">
        <v>3</v>
      </c>
      <c r="I421" s="22">
        <v>2.37</v>
      </c>
      <c r="J421" s="23">
        <v>49.77</v>
      </c>
      <c r="K421" s="24" t="s">
        <v>1480</v>
      </c>
      <c r="L421" s="25">
        <v>0.75138888888888888</v>
      </c>
      <c r="M421" s="22" t="s">
        <v>1464</v>
      </c>
      <c r="N421" s="26">
        <v>47.4</v>
      </c>
      <c r="O421" s="27">
        <f t="shared" si="6"/>
        <v>4.761904762E-2</v>
      </c>
      <c r="P421" s="23">
        <v>2.37</v>
      </c>
      <c r="Q421" s="28">
        <v>9.5</v>
      </c>
    </row>
    <row r="422" spans="1:17" x14ac:dyDescent="0.35">
      <c r="A422" s="21" t="s">
        <v>1947</v>
      </c>
      <c r="B422" s="22" t="s">
        <v>1466</v>
      </c>
      <c r="C422" s="22" t="s">
        <v>1467</v>
      </c>
      <c r="D422" s="22" t="s">
        <v>1479</v>
      </c>
      <c r="E422" s="22" t="s">
        <v>19</v>
      </c>
      <c r="F422" s="22" t="s">
        <v>1462</v>
      </c>
      <c r="G422" s="22">
        <v>34.49</v>
      </c>
      <c r="H422" s="22">
        <v>5</v>
      </c>
      <c r="I422" s="22">
        <v>8.6225000000000005</v>
      </c>
      <c r="J422" s="23">
        <v>181.07249999999999</v>
      </c>
      <c r="K422" s="24">
        <v>43772</v>
      </c>
      <c r="L422" s="25">
        <v>0.82222222222222219</v>
      </c>
      <c r="M422" s="22" t="s">
        <v>1477</v>
      </c>
      <c r="N422" s="26">
        <v>172.45</v>
      </c>
      <c r="O422" s="27">
        <f t="shared" si="6"/>
        <v>4.761904762E-2</v>
      </c>
      <c r="P422" s="23">
        <v>8.6225000000000005</v>
      </c>
      <c r="Q422" s="28">
        <v>9</v>
      </c>
    </row>
    <row r="423" spans="1:17" x14ac:dyDescent="0.35">
      <c r="A423" s="21" t="s">
        <v>1948</v>
      </c>
      <c r="B423" s="22" t="s">
        <v>1466</v>
      </c>
      <c r="C423" s="22" t="s">
        <v>1467</v>
      </c>
      <c r="D423" s="22" t="s">
        <v>1479</v>
      </c>
      <c r="E423" s="22" t="s">
        <v>19</v>
      </c>
      <c r="F423" s="22" t="s">
        <v>1486</v>
      </c>
      <c r="G423" s="22">
        <v>84.63</v>
      </c>
      <c r="H423" s="22">
        <v>10</v>
      </c>
      <c r="I423" s="22">
        <v>42.314999999999998</v>
      </c>
      <c r="J423" s="23">
        <v>888.61500000000001</v>
      </c>
      <c r="K423" s="24">
        <v>43466</v>
      </c>
      <c r="L423" s="25">
        <v>0.48333333333333334</v>
      </c>
      <c r="M423" s="22" t="s">
        <v>1477</v>
      </c>
      <c r="N423" s="26">
        <v>846.3</v>
      </c>
      <c r="O423" s="27">
        <f t="shared" si="6"/>
        <v>4.761904762E-2</v>
      </c>
      <c r="P423" s="23">
        <v>42.314999999999998</v>
      </c>
      <c r="Q423" s="28">
        <v>9</v>
      </c>
    </row>
    <row r="424" spans="1:17" x14ac:dyDescent="0.35">
      <c r="A424" s="21" t="s">
        <v>1949</v>
      </c>
      <c r="B424" s="22" t="s">
        <v>1466</v>
      </c>
      <c r="C424" s="22" t="s">
        <v>1467</v>
      </c>
      <c r="D424" s="22" t="s">
        <v>1479</v>
      </c>
      <c r="E424" s="22" t="s">
        <v>27</v>
      </c>
      <c r="F424" s="22" t="s">
        <v>1482</v>
      </c>
      <c r="G424" s="22">
        <v>36.909999999999997</v>
      </c>
      <c r="H424" s="22">
        <v>7</v>
      </c>
      <c r="I424" s="22">
        <v>12.9185</v>
      </c>
      <c r="J424" s="23">
        <v>271.2885</v>
      </c>
      <c r="K424" s="24">
        <v>43740</v>
      </c>
      <c r="L424" s="25">
        <v>0.57708333333333328</v>
      </c>
      <c r="M424" s="22" t="s">
        <v>1469</v>
      </c>
      <c r="N424" s="26">
        <v>258.37</v>
      </c>
      <c r="O424" s="27">
        <f t="shared" si="6"/>
        <v>4.761904762E-2</v>
      </c>
      <c r="P424" s="23">
        <v>12.9185</v>
      </c>
      <c r="Q424" s="28">
        <v>6.7</v>
      </c>
    </row>
    <row r="425" spans="1:17" x14ac:dyDescent="0.35">
      <c r="A425" s="21" t="s">
        <v>1950</v>
      </c>
      <c r="B425" s="22" t="s">
        <v>1466</v>
      </c>
      <c r="C425" s="22" t="s">
        <v>1467</v>
      </c>
      <c r="D425" s="22" t="s">
        <v>1461</v>
      </c>
      <c r="E425" s="22" t="s">
        <v>27</v>
      </c>
      <c r="F425" s="22" t="s">
        <v>1462</v>
      </c>
      <c r="G425" s="22">
        <v>87.08</v>
      </c>
      <c r="H425" s="22">
        <v>7</v>
      </c>
      <c r="I425" s="22">
        <v>30.478000000000002</v>
      </c>
      <c r="J425" s="23">
        <v>640.03800000000001</v>
      </c>
      <c r="K425" s="24" t="s">
        <v>1548</v>
      </c>
      <c r="L425" s="25">
        <v>0.63680555555555551</v>
      </c>
      <c r="M425" s="22" t="s">
        <v>1464</v>
      </c>
      <c r="N425" s="26">
        <v>609.55999999999995</v>
      </c>
      <c r="O425" s="27">
        <f t="shared" si="6"/>
        <v>4.761904762E-2</v>
      </c>
      <c r="P425" s="23">
        <v>30.478000000000002</v>
      </c>
      <c r="Q425" s="28">
        <v>5.5</v>
      </c>
    </row>
    <row r="426" spans="1:17" x14ac:dyDescent="0.35">
      <c r="A426" s="21" t="s">
        <v>1951</v>
      </c>
      <c r="B426" s="22" t="s">
        <v>1459</v>
      </c>
      <c r="C426" s="22" t="s">
        <v>1460</v>
      </c>
      <c r="D426" s="22" t="s">
        <v>1461</v>
      </c>
      <c r="E426" s="22" t="s">
        <v>27</v>
      </c>
      <c r="F426" s="22" t="s">
        <v>1482</v>
      </c>
      <c r="G426" s="22">
        <v>80.08</v>
      </c>
      <c r="H426" s="22">
        <v>3</v>
      </c>
      <c r="I426" s="22">
        <v>12.012</v>
      </c>
      <c r="J426" s="23">
        <v>252.25200000000001</v>
      </c>
      <c r="K426" s="24">
        <v>43771</v>
      </c>
      <c r="L426" s="25">
        <v>0.64513888888888893</v>
      </c>
      <c r="M426" s="22" t="s">
        <v>1464</v>
      </c>
      <c r="N426" s="26">
        <v>240.24</v>
      </c>
      <c r="O426" s="27">
        <f t="shared" si="6"/>
        <v>4.761904762E-2</v>
      </c>
      <c r="P426" s="23">
        <v>12.012</v>
      </c>
      <c r="Q426" s="28">
        <v>5.4</v>
      </c>
    </row>
    <row r="427" spans="1:17" x14ac:dyDescent="0.35">
      <c r="A427" s="21" t="s">
        <v>1952</v>
      </c>
      <c r="B427" s="22" t="s">
        <v>1475</v>
      </c>
      <c r="C427" s="22" t="s">
        <v>1476</v>
      </c>
      <c r="D427" s="22" t="s">
        <v>1461</v>
      </c>
      <c r="E427" s="22" t="s">
        <v>27</v>
      </c>
      <c r="F427" s="22" t="s">
        <v>1468</v>
      </c>
      <c r="G427" s="22">
        <v>86.13</v>
      </c>
      <c r="H427" s="22">
        <v>2</v>
      </c>
      <c r="I427" s="22">
        <v>8.6129999999999995</v>
      </c>
      <c r="J427" s="23">
        <v>180.87299999999999</v>
      </c>
      <c r="K427" s="24">
        <v>43648</v>
      </c>
      <c r="L427" s="25">
        <v>0.74930555555555556</v>
      </c>
      <c r="M427" s="22" t="s">
        <v>1464</v>
      </c>
      <c r="N427" s="26">
        <v>172.26</v>
      </c>
      <c r="O427" s="27">
        <f t="shared" si="6"/>
        <v>4.761904762E-2</v>
      </c>
      <c r="P427" s="23">
        <v>8.6129999999999995</v>
      </c>
      <c r="Q427" s="28">
        <v>8.1999999999999993</v>
      </c>
    </row>
    <row r="428" spans="1:17" x14ac:dyDescent="0.35">
      <c r="A428" s="21" t="s">
        <v>1953</v>
      </c>
      <c r="B428" s="22" t="s">
        <v>1466</v>
      </c>
      <c r="C428" s="22" t="s">
        <v>1467</v>
      </c>
      <c r="D428" s="22" t="s">
        <v>1479</v>
      </c>
      <c r="E428" s="22" t="s">
        <v>27</v>
      </c>
      <c r="F428" s="22" t="s">
        <v>1468</v>
      </c>
      <c r="G428" s="22">
        <v>49.92</v>
      </c>
      <c r="H428" s="22">
        <v>2</v>
      </c>
      <c r="I428" s="22">
        <v>4.992</v>
      </c>
      <c r="J428" s="23">
        <v>104.83199999999999</v>
      </c>
      <c r="K428" s="24">
        <v>43619</v>
      </c>
      <c r="L428" s="25">
        <v>0.49652777777777779</v>
      </c>
      <c r="M428" s="22" t="s">
        <v>1477</v>
      </c>
      <c r="N428" s="26">
        <v>99.84</v>
      </c>
      <c r="O428" s="27">
        <f t="shared" si="6"/>
        <v>4.761904762E-2</v>
      </c>
      <c r="P428" s="23">
        <v>4.992</v>
      </c>
      <c r="Q428" s="28">
        <v>7</v>
      </c>
    </row>
    <row r="429" spans="1:17" x14ac:dyDescent="0.35">
      <c r="A429" s="21" t="s">
        <v>1954</v>
      </c>
      <c r="B429" s="22" t="s">
        <v>1459</v>
      </c>
      <c r="C429" s="22" t="s">
        <v>1460</v>
      </c>
      <c r="D429" s="22" t="s">
        <v>1461</v>
      </c>
      <c r="E429" s="22" t="s">
        <v>19</v>
      </c>
      <c r="F429" s="22" t="s">
        <v>1486</v>
      </c>
      <c r="G429" s="22">
        <v>74.66</v>
      </c>
      <c r="H429" s="22">
        <v>4</v>
      </c>
      <c r="I429" s="22">
        <v>14.932</v>
      </c>
      <c r="J429" s="23">
        <v>313.572</v>
      </c>
      <c r="K429" s="24">
        <v>43558</v>
      </c>
      <c r="L429" s="25">
        <v>0.44374999999999998</v>
      </c>
      <c r="M429" s="22" t="s">
        <v>1464</v>
      </c>
      <c r="N429" s="26">
        <v>298.64</v>
      </c>
      <c r="O429" s="27">
        <f t="shared" si="6"/>
        <v>4.761904762E-2</v>
      </c>
      <c r="P429" s="23">
        <v>14.932</v>
      </c>
      <c r="Q429" s="28">
        <v>8.5</v>
      </c>
    </row>
    <row r="430" spans="1:17" x14ac:dyDescent="0.35">
      <c r="A430" s="21" t="s">
        <v>1955</v>
      </c>
      <c r="B430" s="22" t="s">
        <v>1466</v>
      </c>
      <c r="C430" s="22" t="s">
        <v>1467</v>
      </c>
      <c r="D430" s="22" t="s">
        <v>1479</v>
      </c>
      <c r="E430" s="22" t="s">
        <v>27</v>
      </c>
      <c r="F430" s="22" t="s">
        <v>1486</v>
      </c>
      <c r="G430" s="22">
        <v>26.6</v>
      </c>
      <c r="H430" s="22">
        <v>6</v>
      </c>
      <c r="I430" s="22">
        <v>7.98</v>
      </c>
      <c r="J430" s="23">
        <v>167.58</v>
      </c>
      <c r="K430" s="24" t="s">
        <v>1626</v>
      </c>
      <c r="L430" s="25">
        <v>0.63194444444444442</v>
      </c>
      <c r="M430" s="22" t="s">
        <v>1469</v>
      </c>
      <c r="N430" s="26">
        <v>159.6</v>
      </c>
      <c r="O430" s="27">
        <f t="shared" si="6"/>
        <v>4.761904762E-2</v>
      </c>
      <c r="P430" s="23">
        <v>7.98</v>
      </c>
      <c r="Q430" s="28">
        <v>4.9000000000000004</v>
      </c>
    </row>
    <row r="431" spans="1:17" x14ac:dyDescent="0.35">
      <c r="A431" s="21" t="s">
        <v>1956</v>
      </c>
      <c r="B431" s="22" t="s">
        <v>1466</v>
      </c>
      <c r="C431" s="22" t="s">
        <v>1467</v>
      </c>
      <c r="D431" s="22" t="s">
        <v>1461</v>
      </c>
      <c r="E431" s="22" t="s">
        <v>19</v>
      </c>
      <c r="F431" s="22" t="s">
        <v>1462</v>
      </c>
      <c r="G431" s="22">
        <v>25.45</v>
      </c>
      <c r="H431" s="22">
        <v>1</v>
      </c>
      <c r="I431" s="22">
        <v>1.2725</v>
      </c>
      <c r="J431" s="23">
        <v>26.7225</v>
      </c>
      <c r="K431" s="24">
        <v>43741</v>
      </c>
      <c r="L431" s="25">
        <v>0.75694444444444442</v>
      </c>
      <c r="M431" s="22" t="s">
        <v>1477</v>
      </c>
      <c r="N431" s="26">
        <v>25.45</v>
      </c>
      <c r="O431" s="27">
        <f t="shared" si="6"/>
        <v>4.761904762E-2</v>
      </c>
      <c r="P431" s="23">
        <v>1.2725</v>
      </c>
      <c r="Q431" s="28">
        <v>5.0999999999999996</v>
      </c>
    </row>
    <row r="432" spans="1:17" x14ac:dyDescent="0.35">
      <c r="A432" s="21" t="s">
        <v>1957</v>
      </c>
      <c r="B432" s="22" t="s">
        <v>1466</v>
      </c>
      <c r="C432" s="22" t="s">
        <v>1467</v>
      </c>
      <c r="D432" s="22" t="s">
        <v>1461</v>
      </c>
      <c r="E432" s="22" t="s">
        <v>19</v>
      </c>
      <c r="F432" s="22" t="s">
        <v>1486</v>
      </c>
      <c r="G432" s="22">
        <v>67.77</v>
      </c>
      <c r="H432" s="22">
        <v>1</v>
      </c>
      <c r="I432" s="22">
        <v>3.3885000000000001</v>
      </c>
      <c r="J432" s="23">
        <v>71.158500000000004</v>
      </c>
      <c r="K432" s="24">
        <v>43557</v>
      </c>
      <c r="L432" s="25">
        <v>0.86319444444444449</v>
      </c>
      <c r="M432" s="22" t="s">
        <v>1477</v>
      </c>
      <c r="N432" s="26">
        <v>67.77</v>
      </c>
      <c r="O432" s="27">
        <f t="shared" si="6"/>
        <v>4.761904762E-2</v>
      </c>
      <c r="P432" s="23">
        <v>3.3885000000000001</v>
      </c>
      <c r="Q432" s="28">
        <v>6.5</v>
      </c>
    </row>
    <row r="433" spans="1:17" x14ac:dyDescent="0.35">
      <c r="A433" s="21" t="s">
        <v>1958</v>
      </c>
      <c r="B433" s="22" t="s">
        <v>1475</v>
      </c>
      <c r="C433" s="22" t="s">
        <v>1476</v>
      </c>
      <c r="D433" s="22" t="s">
        <v>1479</v>
      </c>
      <c r="E433" s="22" t="s">
        <v>27</v>
      </c>
      <c r="F433" s="22" t="s">
        <v>1486</v>
      </c>
      <c r="G433" s="22">
        <v>59.59</v>
      </c>
      <c r="H433" s="22">
        <v>4</v>
      </c>
      <c r="I433" s="22">
        <v>11.917999999999999</v>
      </c>
      <c r="J433" s="23">
        <v>250.27799999999999</v>
      </c>
      <c r="K433" s="24" t="s">
        <v>1528</v>
      </c>
      <c r="L433" s="25">
        <v>0.53194444444444444</v>
      </c>
      <c r="M433" s="22" t="s">
        <v>1464</v>
      </c>
      <c r="N433" s="26">
        <v>238.36</v>
      </c>
      <c r="O433" s="27">
        <f t="shared" si="6"/>
        <v>4.761904762E-2</v>
      </c>
      <c r="P433" s="23">
        <v>11.917999999999999</v>
      </c>
      <c r="Q433" s="28">
        <v>9.8000000000000007</v>
      </c>
    </row>
    <row r="434" spans="1:17" x14ac:dyDescent="0.35">
      <c r="A434" s="21" t="s">
        <v>1959</v>
      </c>
      <c r="B434" s="22" t="s">
        <v>1459</v>
      </c>
      <c r="C434" s="22" t="s">
        <v>1460</v>
      </c>
      <c r="D434" s="22" t="s">
        <v>1461</v>
      </c>
      <c r="E434" s="22" t="s">
        <v>27</v>
      </c>
      <c r="F434" s="22" t="s">
        <v>1473</v>
      </c>
      <c r="G434" s="22">
        <v>58.15</v>
      </c>
      <c r="H434" s="22">
        <v>4</v>
      </c>
      <c r="I434" s="22">
        <v>11.63</v>
      </c>
      <c r="J434" s="23">
        <v>244.23</v>
      </c>
      <c r="K434" s="24" t="s">
        <v>1463</v>
      </c>
      <c r="L434" s="25">
        <v>0.73888888888888893</v>
      </c>
      <c r="M434" s="22" t="s">
        <v>1464</v>
      </c>
      <c r="N434" s="26">
        <v>232.6</v>
      </c>
      <c r="O434" s="27">
        <f t="shared" si="6"/>
        <v>4.761904762E-2</v>
      </c>
      <c r="P434" s="23">
        <v>11.63</v>
      </c>
      <c r="Q434" s="28">
        <v>8.4</v>
      </c>
    </row>
    <row r="435" spans="1:17" x14ac:dyDescent="0.35">
      <c r="A435" s="21" t="s">
        <v>1960</v>
      </c>
      <c r="B435" s="22" t="s">
        <v>1459</v>
      </c>
      <c r="C435" s="22" t="s">
        <v>1460</v>
      </c>
      <c r="D435" s="22" t="s">
        <v>1479</v>
      </c>
      <c r="E435" s="22" t="s">
        <v>19</v>
      </c>
      <c r="F435" s="22" t="s">
        <v>1501</v>
      </c>
      <c r="G435" s="22">
        <v>97.48</v>
      </c>
      <c r="H435" s="22">
        <v>9</v>
      </c>
      <c r="I435" s="22">
        <v>43.866</v>
      </c>
      <c r="J435" s="23">
        <v>921.18600000000004</v>
      </c>
      <c r="K435" s="24" t="s">
        <v>1492</v>
      </c>
      <c r="L435" s="25">
        <v>0.59652777777777777</v>
      </c>
      <c r="M435" s="22" t="s">
        <v>1469</v>
      </c>
      <c r="N435" s="26">
        <v>877.32</v>
      </c>
      <c r="O435" s="27">
        <f t="shared" si="6"/>
        <v>4.761904762E-2</v>
      </c>
      <c r="P435" s="23">
        <v>43.866</v>
      </c>
      <c r="Q435" s="28">
        <v>7.4</v>
      </c>
    </row>
    <row r="436" spans="1:17" x14ac:dyDescent="0.35">
      <c r="A436" s="21" t="s">
        <v>1961</v>
      </c>
      <c r="B436" s="22" t="s">
        <v>1475</v>
      </c>
      <c r="C436" s="22" t="s">
        <v>1476</v>
      </c>
      <c r="D436" s="22" t="s">
        <v>1461</v>
      </c>
      <c r="E436" s="22" t="s">
        <v>27</v>
      </c>
      <c r="F436" s="22" t="s">
        <v>1473</v>
      </c>
      <c r="G436" s="22">
        <v>99.96</v>
      </c>
      <c r="H436" s="22">
        <v>7</v>
      </c>
      <c r="I436" s="22">
        <v>34.985999999999997</v>
      </c>
      <c r="J436" s="23">
        <v>734.70600000000002</v>
      </c>
      <c r="K436" s="24" t="s">
        <v>1463</v>
      </c>
      <c r="L436" s="25">
        <v>0.43958333333333333</v>
      </c>
      <c r="M436" s="22" t="s">
        <v>1464</v>
      </c>
      <c r="N436" s="26">
        <v>699.72</v>
      </c>
      <c r="O436" s="27">
        <f t="shared" si="6"/>
        <v>4.761904762E-2</v>
      </c>
      <c r="P436" s="23">
        <v>34.985999999999997</v>
      </c>
      <c r="Q436" s="28">
        <v>6.1</v>
      </c>
    </row>
    <row r="437" spans="1:17" x14ac:dyDescent="0.35">
      <c r="A437" s="21" t="s">
        <v>1962</v>
      </c>
      <c r="B437" s="22" t="s">
        <v>1475</v>
      </c>
      <c r="C437" s="22" t="s">
        <v>1476</v>
      </c>
      <c r="D437" s="22" t="s">
        <v>1461</v>
      </c>
      <c r="E437" s="22" t="s">
        <v>27</v>
      </c>
      <c r="F437" s="22" t="s">
        <v>1462</v>
      </c>
      <c r="G437" s="22">
        <v>96.37</v>
      </c>
      <c r="H437" s="22">
        <v>7</v>
      </c>
      <c r="I437" s="22">
        <v>33.729500000000002</v>
      </c>
      <c r="J437" s="23">
        <v>708.31949999999995</v>
      </c>
      <c r="K437" s="24">
        <v>43709</v>
      </c>
      <c r="L437" s="25">
        <v>0.4861111111111111</v>
      </c>
      <c r="M437" s="22" t="s">
        <v>1464</v>
      </c>
      <c r="N437" s="26">
        <v>674.59</v>
      </c>
      <c r="O437" s="27">
        <f t="shared" si="6"/>
        <v>4.761904762E-2</v>
      </c>
      <c r="P437" s="23">
        <v>33.729500000000002</v>
      </c>
      <c r="Q437" s="28">
        <v>6</v>
      </c>
    </row>
    <row r="438" spans="1:17" x14ac:dyDescent="0.35">
      <c r="A438" s="21" t="s">
        <v>1963</v>
      </c>
      <c r="B438" s="22" t="s">
        <v>1466</v>
      </c>
      <c r="C438" s="22" t="s">
        <v>1467</v>
      </c>
      <c r="D438" s="22" t="s">
        <v>1461</v>
      </c>
      <c r="E438" s="22" t="s">
        <v>19</v>
      </c>
      <c r="F438" s="22" t="s">
        <v>1468</v>
      </c>
      <c r="G438" s="22">
        <v>63.71</v>
      </c>
      <c r="H438" s="22">
        <v>5</v>
      </c>
      <c r="I438" s="22">
        <v>15.9275</v>
      </c>
      <c r="J438" s="23">
        <v>334.47750000000002</v>
      </c>
      <c r="K438" s="24">
        <v>43648</v>
      </c>
      <c r="L438" s="25">
        <v>0.8125</v>
      </c>
      <c r="M438" s="22" t="s">
        <v>1469</v>
      </c>
      <c r="N438" s="26">
        <v>318.55</v>
      </c>
      <c r="O438" s="27">
        <f t="shared" si="6"/>
        <v>4.761904762E-2</v>
      </c>
      <c r="P438" s="23">
        <v>15.9275</v>
      </c>
      <c r="Q438" s="28">
        <v>8.5</v>
      </c>
    </row>
    <row r="439" spans="1:17" x14ac:dyDescent="0.35">
      <c r="A439" s="21" t="s">
        <v>1964</v>
      </c>
      <c r="B439" s="22" t="s">
        <v>1466</v>
      </c>
      <c r="C439" s="22" t="s">
        <v>1467</v>
      </c>
      <c r="D439" s="22" t="s">
        <v>1461</v>
      </c>
      <c r="E439" s="22" t="s">
        <v>19</v>
      </c>
      <c r="F439" s="22" t="s">
        <v>1473</v>
      </c>
      <c r="G439" s="22">
        <v>14.76</v>
      </c>
      <c r="H439" s="22">
        <v>2</v>
      </c>
      <c r="I439" s="22">
        <v>1.476</v>
      </c>
      <c r="J439" s="23">
        <v>30.995999999999999</v>
      </c>
      <c r="K439" s="24" t="s">
        <v>1965</v>
      </c>
      <c r="L439" s="25">
        <v>0.61250000000000004</v>
      </c>
      <c r="M439" s="22" t="s">
        <v>1469</v>
      </c>
      <c r="N439" s="26">
        <v>29.52</v>
      </c>
      <c r="O439" s="27">
        <f t="shared" si="6"/>
        <v>4.761904762E-2</v>
      </c>
      <c r="P439" s="23">
        <v>1.476</v>
      </c>
      <c r="Q439" s="28">
        <v>4.3</v>
      </c>
    </row>
    <row r="440" spans="1:17" x14ac:dyDescent="0.35">
      <c r="A440" s="21" t="s">
        <v>1966</v>
      </c>
      <c r="B440" s="22" t="s">
        <v>1466</v>
      </c>
      <c r="C440" s="22" t="s">
        <v>1467</v>
      </c>
      <c r="D440" s="22" t="s">
        <v>1479</v>
      </c>
      <c r="E440" s="22" t="s">
        <v>27</v>
      </c>
      <c r="F440" s="22" t="s">
        <v>1473</v>
      </c>
      <c r="G440" s="22">
        <v>62</v>
      </c>
      <c r="H440" s="22">
        <v>8</v>
      </c>
      <c r="I440" s="22">
        <v>24.8</v>
      </c>
      <c r="J440" s="23">
        <v>520.79999999999995</v>
      </c>
      <c r="K440" s="24">
        <v>43525</v>
      </c>
      <c r="L440" s="25">
        <v>0.79722222222222228</v>
      </c>
      <c r="M440" s="22" t="s">
        <v>1477</v>
      </c>
      <c r="N440" s="26">
        <v>496</v>
      </c>
      <c r="O440" s="27">
        <f t="shared" si="6"/>
        <v>4.761904762E-2</v>
      </c>
      <c r="P440" s="23">
        <v>24.8</v>
      </c>
      <c r="Q440" s="28">
        <v>6.2</v>
      </c>
    </row>
    <row r="441" spans="1:17" x14ac:dyDescent="0.35">
      <c r="A441" s="21" t="s">
        <v>1967</v>
      </c>
      <c r="B441" s="22" t="s">
        <v>1475</v>
      </c>
      <c r="C441" s="22" t="s">
        <v>1476</v>
      </c>
      <c r="D441" s="22" t="s">
        <v>1479</v>
      </c>
      <c r="E441" s="22" t="s">
        <v>27</v>
      </c>
      <c r="F441" s="22" t="s">
        <v>1462</v>
      </c>
      <c r="G441" s="22">
        <v>82.34</v>
      </c>
      <c r="H441" s="22">
        <v>10</v>
      </c>
      <c r="I441" s="22">
        <v>41.17</v>
      </c>
      <c r="J441" s="23">
        <v>864.57</v>
      </c>
      <c r="K441" s="24" t="s">
        <v>1490</v>
      </c>
      <c r="L441" s="25">
        <v>0.8</v>
      </c>
      <c r="M441" s="22" t="s">
        <v>1469</v>
      </c>
      <c r="N441" s="26">
        <v>823.4</v>
      </c>
      <c r="O441" s="27">
        <f t="shared" si="6"/>
        <v>4.761904762E-2</v>
      </c>
      <c r="P441" s="23">
        <v>41.17</v>
      </c>
      <c r="Q441" s="28">
        <v>4.3</v>
      </c>
    </row>
    <row r="442" spans="1:17" x14ac:dyDescent="0.35">
      <c r="A442" s="21" t="s">
        <v>1968</v>
      </c>
      <c r="B442" s="22" t="s">
        <v>1466</v>
      </c>
      <c r="C442" s="22" t="s">
        <v>1467</v>
      </c>
      <c r="D442" s="22" t="s">
        <v>1479</v>
      </c>
      <c r="E442" s="22" t="s">
        <v>27</v>
      </c>
      <c r="F442" s="22" t="s">
        <v>1473</v>
      </c>
      <c r="G442" s="22">
        <v>75.37</v>
      </c>
      <c r="H442" s="22">
        <v>8</v>
      </c>
      <c r="I442" s="22">
        <v>30.148</v>
      </c>
      <c r="J442" s="23">
        <v>633.10799999999995</v>
      </c>
      <c r="K442" s="24" t="s">
        <v>1803</v>
      </c>
      <c r="L442" s="25">
        <v>0.65694444444444444</v>
      </c>
      <c r="M442" s="22" t="s">
        <v>1477</v>
      </c>
      <c r="N442" s="26">
        <v>602.96</v>
      </c>
      <c r="O442" s="27">
        <f t="shared" si="6"/>
        <v>4.761904762E-2</v>
      </c>
      <c r="P442" s="23">
        <v>30.148</v>
      </c>
      <c r="Q442" s="28">
        <v>8.4</v>
      </c>
    </row>
    <row r="443" spans="1:17" x14ac:dyDescent="0.35">
      <c r="A443" s="21" t="s">
        <v>1969</v>
      </c>
      <c r="B443" s="22" t="s">
        <v>1459</v>
      </c>
      <c r="C443" s="22" t="s">
        <v>1460</v>
      </c>
      <c r="D443" s="22" t="s">
        <v>1461</v>
      </c>
      <c r="E443" s="22" t="s">
        <v>19</v>
      </c>
      <c r="F443" s="22" t="s">
        <v>1486</v>
      </c>
      <c r="G443" s="22">
        <v>56.56</v>
      </c>
      <c r="H443" s="22">
        <v>5</v>
      </c>
      <c r="I443" s="22">
        <v>14.14</v>
      </c>
      <c r="J443" s="23">
        <v>296.94</v>
      </c>
      <c r="K443" s="24" t="s">
        <v>1513</v>
      </c>
      <c r="L443" s="25">
        <v>0.79583333333333328</v>
      </c>
      <c r="M443" s="22" t="s">
        <v>1477</v>
      </c>
      <c r="N443" s="26">
        <v>282.8</v>
      </c>
      <c r="O443" s="27">
        <f t="shared" si="6"/>
        <v>4.761904762E-2</v>
      </c>
      <c r="P443" s="23">
        <v>14.14</v>
      </c>
      <c r="Q443" s="28">
        <v>4.5</v>
      </c>
    </row>
    <row r="444" spans="1:17" x14ac:dyDescent="0.35">
      <c r="A444" s="21" t="s">
        <v>1970</v>
      </c>
      <c r="B444" s="22" t="s">
        <v>1466</v>
      </c>
      <c r="C444" s="22" t="s">
        <v>1467</v>
      </c>
      <c r="D444" s="22" t="s">
        <v>1461</v>
      </c>
      <c r="E444" s="22" t="s">
        <v>19</v>
      </c>
      <c r="F444" s="22" t="s">
        <v>1501</v>
      </c>
      <c r="G444" s="22">
        <v>76.599999999999994</v>
      </c>
      <c r="H444" s="22">
        <v>10</v>
      </c>
      <c r="I444" s="22">
        <v>38.299999999999997</v>
      </c>
      <c r="J444" s="23">
        <v>804.3</v>
      </c>
      <c r="K444" s="24" t="s">
        <v>1566</v>
      </c>
      <c r="L444" s="25">
        <v>0.75694444444444442</v>
      </c>
      <c r="M444" s="22" t="s">
        <v>1469</v>
      </c>
      <c r="N444" s="26">
        <v>766</v>
      </c>
      <c r="O444" s="27">
        <f t="shared" si="6"/>
        <v>4.761904762E-2</v>
      </c>
      <c r="P444" s="23">
        <v>38.299999999999997</v>
      </c>
      <c r="Q444" s="28">
        <v>6</v>
      </c>
    </row>
    <row r="445" spans="1:17" x14ac:dyDescent="0.35">
      <c r="A445" s="21" t="s">
        <v>1971</v>
      </c>
      <c r="B445" s="22" t="s">
        <v>1459</v>
      </c>
      <c r="C445" s="22" t="s">
        <v>1460</v>
      </c>
      <c r="D445" s="22" t="s">
        <v>1461</v>
      </c>
      <c r="E445" s="22" t="s">
        <v>27</v>
      </c>
      <c r="F445" s="22" t="s">
        <v>1462</v>
      </c>
      <c r="G445" s="22">
        <v>58.03</v>
      </c>
      <c r="H445" s="22">
        <v>2</v>
      </c>
      <c r="I445" s="22">
        <v>5.8029999999999999</v>
      </c>
      <c r="J445" s="23">
        <v>121.863</v>
      </c>
      <c r="K445" s="24">
        <v>43741</v>
      </c>
      <c r="L445" s="25">
        <v>0.86527777777777781</v>
      </c>
      <c r="M445" s="22" t="s">
        <v>1469</v>
      </c>
      <c r="N445" s="26">
        <v>116.06</v>
      </c>
      <c r="O445" s="27">
        <f t="shared" si="6"/>
        <v>4.761904762E-2</v>
      </c>
      <c r="P445" s="23">
        <v>5.8029999999999999</v>
      </c>
      <c r="Q445" s="28">
        <v>8.8000000000000007</v>
      </c>
    </row>
    <row r="446" spans="1:17" x14ac:dyDescent="0.35">
      <c r="A446" s="21" t="s">
        <v>1972</v>
      </c>
      <c r="B446" s="22" t="s">
        <v>1466</v>
      </c>
      <c r="C446" s="22" t="s">
        <v>1467</v>
      </c>
      <c r="D446" s="22" t="s">
        <v>1461</v>
      </c>
      <c r="E446" s="22" t="s">
        <v>27</v>
      </c>
      <c r="F446" s="22" t="s">
        <v>1468</v>
      </c>
      <c r="G446" s="22">
        <v>17.489999999999998</v>
      </c>
      <c r="H446" s="22">
        <v>10</v>
      </c>
      <c r="I446" s="22">
        <v>8.7449999999999992</v>
      </c>
      <c r="J446" s="23">
        <v>183.64500000000001</v>
      </c>
      <c r="K446" s="24" t="s">
        <v>1471</v>
      </c>
      <c r="L446" s="25">
        <v>0.77430555555555558</v>
      </c>
      <c r="M446" s="22" t="s">
        <v>1469</v>
      </c>
      <c r="N446" s="26">
        <v>174.9</v>
      </c>
      <c r="O446" s="27">
        <f t="shared" si="6"/>
        <v>4.761904762E-2</v>
      </c>
      <c r="P446" s="23">
        <v>8.7449999999999992</v>
      </c>
      <c r="Q446" s="28">
        <v>6.6</v>
      </c>
    </row>
    <row r="447" spans="1:17" x14ac:dyDescent="0.35">
      <c r="A447" s="21" t="s">
        <v>1973</v>
      </c>
      <c r="B447" s="22" t="s">
        <v>1475</v>
      </c>
      <c r="C447" s="22" t="s">
        <v>1476</v>
      </c>
      <c r="D447" s="22" t="s">
        <v>1479</v>
      </c>
      <c r="E447" s="22" t="s">
        <v>19</v>
      </c>
      <c r="F447" s="22" t="s">
        <v>1462</v>
      </c>
      <c r="G447" s="22">
        <v>60.95</v>
      </c>
      <c r="H447" s="22">
        <v>1</v>
      </c>
      <c r="I447" s="22">
        <v>3.0474999999999999</v>
      </c>
      <c r="J447" s="23">
        <v>63.997500000000002</v>
      </c>
      <c r="K447" s="24" t="s">
        <v>1965</v>
      </c>
      <c r="L447" s="25">
        <v>0.4861111111111111</v>
      </c>
      <c r="M447" s="22" t="s">
        <v>1469</v>
      </c>
      <c r="N447" s="26">
        <v>60.95</v>
      </c>
      <c r="O447" s="27">
        <f t="shared" si="6"/>
        <v>4.761904762E-2</v>
      </c>
      <c r="P447" s="23">
        <v>3.0474999999999999</v>
      </c>
      <c r="Q447" s="28">
        <v>5.9</v>
      </c>
    </row>
    <row r="448" spans="1:17" x14ac:dyDescent="0.35">
      <c r="A448" s="21" t="s">
        <v>1974</v>
      </c>
      <c r="B448" s="22" t="s">
        <v>1475</v>
      </c>
      <c r="C448" s="22" t="s">
        <v>1476</v>
      </c>
      <c r="D448" s="22" t="s">
        <v>1461</v>
      </c>
      <c r="E448" s="22" t="s">
        <v>27</v>
      </c>
      <c r="F448" s="22" t="s">
        <v>1473</v>
      </c>
      <c r="G448" s="22">
        <v>40.35</v>
      </c>
      <c r="H448" s="22">
        <v>1</v>
      </c>
      <c r="I448" s="22">
        <v>2.0175000000000001</v>
      </c>
      <c r="J448" s="23">
        <v>42.3675</v>
      </c>
      <c r="K448" s="24" t="s">
        <v>1508</v>
      </c>
      <c r="L448" s="25">
        <v>0.57361111111111107</v>
      </c>
      <c r="M448" s="22" t="s">
        <v>1469</v>
      </c>
      <c r="N448" s="26">
        <v>40.35</v>
      </c>
      <c r="O448" s="27">
        <f t="shared" si="6"/>
        <v>4.761904762E-2</v>
      </c>
      <c r="P448" s="23">
        <v>2.0175000000000001</v>
      </c>
      <c r="Q448" s="28">
        <v>6.2</v>
      </c>
    </row>
    <row r="449" spans="1:17" x14ac:dyDescent="0.35">
      <c r="A449" s="21" t="s">
        <v>1975</v>
      </c>
      <c r="B449" s="22" t="s">
        <v>1466</v>
      </c>
      <c r="C449" s="22" t="s">
        <v>1467</v>
      </c>
      <c r="D449" s="22" t="s">
        <v>1461</v>
      </c>
      <c r="E449" s="22" t="s">
        <v>19</v>
      </c>
      <c r="F449" s="22" t="s">
        <v>1482</v>
      </c>
      <c r="G449" s="22">
        <v>97.38</v>
      </c>
      <c r="H449" s="22">
        <v>10</v>
      </c>
      <c r="I449" s="22">
        <v>48.69</v>
      </c>
      <c r="J449" s="23">
        <v>1022.49</v>
      </c>
      <c r="K449" s="24">
        <v>43499</v>
      </c>
      <c r="L449" s="25">
        <v>0.71944444444444444</v>
      </c>
      <c r="M449" s="22" t="s">
        <v>1469</v>
      </c>
      <c r="N449" s="26">
        <v>973.8</v>
      </c>
      <c r="O449" s="27">
        <f t="shared" si="6"/>
        <v>4.761904762E-2</v>
      </c>
      <c r="P449" s="23">
        <v>48.69</v>
      </c>
      <c r="Q449" s="28">
        <v>4.4000000000000004</v>
      </c>
    </row>
    <row r="450" spans="1:17" x14ac:dyDescent="0.35">
      <c r="A450" s="21" t="s">
        <v>1976</v>
      </c>
      <c r="B450" s="22" t="s">
        <v>1459</v>
      </c>
      <c r="C450" s="22" t="s">
        <v>1460</v>
      </c>
      <c r="D450" s="22" t="s">
        <v>1479</v>
      </c>
      <c r="E450" s="22" t="s">
        <v>27</v>
      </c>
      <c r="F450" s="22" t="s">
        <v>1486</v>
      </c>
      <c r="G450" s="22">
        <v>31.84</v>
      </c>
      <c r="H450" s="22">
        <v>1</v>
      </c>
      <c r="I450" s="22">
        <v>1.5920000000000001</v>
      </c>
      <c r="J450" s="23">
        <v>33.432000000000002</v>
      </c>
      <c r="K450" s="24">
        <v>43710</v>
      </c>
      <c r="L450" s="25">
        <v>0.55694444444444446</v>
      </c>
      <c r="M450" s="22" t="s">
        <v>1464</v>
      </c>
      <c r="N450" s="26">
        <v>31.84</v>
      </c>
      <c r="O450" s="27">
        <f t="shared" ref="O450:O512" si="7">4.761904762/100</f>
        <v>4.761904762E-2</v>
      </c>
      <c r="P450" s="23">
        <v>1.5920000000000001</v>
      </c>
      <c r="Q450" s="28">
        <v>7.7</v>
      </c>
    </row>
    <row r="451" spans="1:17" x14ac:dyDescent="0.35">
      <c r="A451" s="21" t="s">
        <v>1977</v>
      </c>
      <c r="B451" s="22" t="s">
        <v>1459</v>
      </c>
      <c r="C451" s="22" t="s">
        <v>1460</v>
      </c>
      <c r="D451" s="22" t="s">
        <v>1461</v>
      </c>
      <c r="E451" s="22" t="s">
        <v>27</v>
      </c>
      <c r="F451" s="22" t="s">
        <v>1482</v>
      </c>
      <c r="G451" s="22">
        <v>65.819999999999993</v>
      </c>
      <c r="H451" s="22">
        <v>1</v>
      </c>
      <c r="I451" s="22">
        <v>3.2909999999999999</v>
      </c>
      <c r="J451" s="23">
        <v>69.111000000000004</v>
      </c>
      <c r="K451" s="24" t="s">
        <v>1471</v>
      </c>
      <c r="L451" s="25">
        <v>0.6479166666666667</v>
      </c>
      <c r="M451" s="22" t="s">
        <v>1464</v>
      </c>
      <c r="N451" s="26">
        <v>65.819999999999993</v>
      </c>
      <c r="O451" s="27">
        <f t="shared" si="7"/>
        <v>4.761904762E-2</v>
      </c>
      <c r="P451" s="23">
        <v>3.2909999999999999</v>
      </c>
      <c r="Q451" s="28">
        <v>4.0999999999999996</v>
      </c>
    </row>
    <row r="452" spans="1:17" x14ac:dyDescent="0.35">
      <c r="A452" s="21" t="s">
        <v>1978</v>
      </c>
      <c r="B452" s="22" t="s">
        <v>1459</v>
      </c>
      <c r="C452" s="22" t="s">
        <v>1460</v>
      </c>
      <c r="D452" s="22" t="s">
        <v>1479</v>
      </c>
      <c r="E452" s="22" t="s">
        <v>19</v>
      </c>
      <c r="F452" s="22" t="s">
        <v>1468</v>
      </c>
      <c r="G452" s="22">
        <v>88.34</v>
      </c>
      <c r="H452" s="22">
        <v>7</v>
      </c>
      <c r="I452" s="22">
        <v>30.919</v>
      </c>
      <c r="J452" s="23">
        <v>649.29899999999998</v>
      </c>
      <c r="K452" s="24" t="s">
        <v>1965</v>
      </c>
      <c r="L452" s="25">
        <v>0.56111111111111112</v>
      </c>
      <c r="M452" s="22" t="s">
        <v>1464</v>
      </c>
      <c r="N452" s="26">
        <v>618.38</v>
      </c>
      <c r="O452" s="27">
        <f t="shared" si="7"/>
        <v>4.761904762E-2</v>
      </c>
      <c r="P452" s="23">
        <v>30.919</v>
      </c>
      <c r="Q452" s="28">
        <v>6.6</v>
      </c>
    </row>
    <row r="453" spans="1:17" x14ac:dyDescent="0.35">
      <c r="A453" s="21" t="s">
        <v>1994</v>
      </c>
      <c r="B453" s="22" t="s">
        <v>1459</v>
      </c>
      <c r="C453" s="22" t="s">
        <v>1460</v>
      </c>
      <c r="D453" s="22" t="s">
        <v>1461</v>
      </c>
      <c r="E453" s="22" t="s">
        <v>19</v>
      </c>
      <c r="F453" s="22" t="s">
        <v>1473</v>
      </c>
      <c r="G453" s="22">
        <v>71.38</v>
      </c>
      <c r="H453" s="22">
        <v>10</v>
      </c>
      <c r="I453" s="22">
        <v>35.69</v>
      </c>
      <c r="J453" s="23">
        <v>749.49</v>
      </c>
      <c r="K453" s="24" t="s">
        <v>1490</v>
      </c>
      <c r="L453" s="25">
        <v>0.80625000000000002</v>
      </c>
      <c r="M453" s="22" t="s">
        <v>1464</v>
      </c>
      <c r="N453" s="26">
        <v>713.8</v>
      </c>
      <c r="O453" s="27">
        <f t="shared" si="7"/>
        <v>4.761904762E-2</v>
      </c>
      <c r="P453" s="23">
        <v>35.69</v>
      </c>
      <c r="Q453" s="28">
        <v>5.7</v>
      </c>
    </row>
    <row r="454" spans="1:17" x14ac:dyDescent="0.35">
      <c r="A454" s="21" t="s">
        <v>1995</v>
      </c>
      <c r="B454" s="22" t="s">
        <v>1466</v>
      </c>
      <c r="C454" s="22" t="s">
        <v>1467</v>
      </c>
      <c r="D454" s="22" t="s">
        <v>1479</v>
      </c>
      <c r="E454" s="22" t="s">
        <v>19</v>
      </c>
      <c r="F454" s="22" t="s">
        <v>1501</v>
      </c>
      <c r="G454" s="22">
        <v>93.72</v>
      </c>
      <c r="H454" s="22">
        <v>6</v>
      </c>
      <c r="I454" s="22">
        <v>28.116</v>
      </c>
      <c r="J454" s="23">
        <v>590.43600000000004</v>
      </c>
      <c r="K454" s="24" t="s">
        <v>1589</v>
      </c>
      <c r="L454" s="25">
        <v>0.67986111111111114</v>
      </c>
      <c r="M454" s="22" t="s">
        <v>1464</v>
      </c>
      <c r="N454" s="26">
        <v>562.32000000000005</v>
      </c>
      <c r="O454" s="27">
        <f t="shared" si="7"/>
        <v>4.761904762E-2</v>
      </c>
      <c r="P454" s="23">
        <v>28.116</v>
      </c>
      <c r="Q454" s="28">
        <v>4.5</v>
      </c>
    </row>
    <row r="455" spans="1:17" x14ac:dyDescent="0.35">
      <c r="A455" s="21" t="s">
        <v>1996</v>
      </c>
      <c r="B455" s="22" t="s">
        <v>1459</v>
      </c>
      <c r="C455" s="22" t="s">
        <v>1460</v>
      </c>
      <c r="D455" s="22" t="s">
        <v>1479</v>
      </c>
      <c r="E455" s="22" t="s">
        <v>19</v>
      </c>
      <c r="F455" s="22" t="s">
        <v>1473</v>
      </c>
      <c r="G455" s="22">
        <v>68.930000000000007</v>
      </c>
      <c r="H455" s="22">
        <v>7</v>
      </c>
      <c r="I455" s="22">
        <v>24.125499999999999</v>
      </c>
      <c r="J455" s="23">
        <v>506.63549999999998</v>
      </c>
      <c r="K455" s="24">
        <v>43772</v>
      </c>
      <c r="L455" s="25">
        <v>0.46041666666666664</v>
      </c>
      <c r="M455" s="22" t="s">
        <v>1477</v>
      </c>
      <c r="N455" s="26">
        <v>482.51</v>
      </c>
      <c r="O455" s="27">
        <f t="shared" si="7"/>
        <v>4.761904762E-2</v>
      </c>
      <c r="P455" s="23">
        <v>24.125499999999999</v>
      </c>
      <c r="Q455" s="28">
        <v>4.5999999999999996</v>
      </c>
    </row>
    <row r="456" spans="1:17" x14ac:dyDescent="0.35">
      <c r="A456" s="21" t="s">
        <v>1997</v>
      </c>
      <c r="B456" s="22" t="s">
        <v>1459</v>
      </c>
      <c r="C456" s="22" t="s">
        <v>1460</v>
      </c>
      <c r="D456" s="22" t="s">
        <v>1461</v>
      </c>
      <c r="E456" s="22" t="s">
        <v>27</v>
      </c>
      <c r="F456" s="22" t="s">
        <v>1501</v>
      </c>
      <c r="G456" s="22">
        <v>72.61</v>
      </c>
      <c r="H456" s="22">
        <v>6</v>
      </c>
      <c r="I456" s="22">
        <v>21.783000000000001</v>
      </c>
      <c r="J456" s="23">
        <v>457.44299999999998</v>
      </c>
      <c r="K456" s="24">
        <v>43466</v>
      </c>
      <c r="L456" s="25">
        <v>0.44374999999999998</v>
      </c>
      <c r="M456" s="22" t="s">
        <v>1477</v>
      </c>
      <c r="N456" s="26">
        <v>435.66</v>
      </c>
      <c r="O456" s="27">
        <f t="shared" si="7"/>
        <v>4.761904762E-2</v>
      </c>
      <c r="P456" s="23">
        <v>21.783000000000001</v>
      </c>
      <c r="Q456" s="28">
        <v>6.9</v>
      </c>
    </row>
    <row r="457" spans="1:17" x14ac:dyDescent="0.35">
      <c r="A457" s="21" t="s">
        <v>1998</v>
      </c>
      <c r="B457" s="22" t="s">
        <v>1459</v>
      </c>
      <c r="C457" s="22" t="s">
        <v>1460</v>
      </c>
      <c r="D457" s="22" t="s">
        <v>1461</v>
      </c>
      <c r="E457" s="22" t="s">
        <v>27</v>
      </c>
      <c r="F457" s="22" t="s">
        <v>1486</v>
      </c>
      <c r="G457" s="22">
        <v>54.67</v>
      </c>
      <c r="H457" s="22">
        <v>3</v>
      </c>
      <c r="I457" s="22">
        <v>8.2004999999999999</v>
      </c>
      <c r="J457" s="23">
        <v>172.2105</v>
      </c>
      <c r="K457" s="24" t="s">
        <v>1679</v>
      </c>
      <c r="L457" s="25">
        <v>0.75</v>
      </c>
      <c r="M457" s="22" t="s">
        <v>1477</v>
      </c>
      <c r="N457" s="26">
        <v>164.01</v>
      </c>
      <c r="O457" s="27">
        <f t="shared" si="7"/>
        <v>4.761904762E-2</v>
      </c>
      <c r="P457" s="23">
        <v>8.2004999999999999</v>
      </c>
      <c r="Q457" s="28">
        <v>8.6</v>
      </c>
    </row>
    <row r="458" spans="1:17" x14ac:dyDescent="0.35">
      <c r="A458" s="21" t="s">
        <v>1999</v>
      </c>
      <c r="B458" s="22" t="s">
        <v>1466</v>
      </c>
      <c r="C458" s="22" t="s">
        <v>1467</v>
      </c>
      <c r="D458" s="22" t="s">
        <v>1461</v>
      </c>
      <c r="E458" s="22" t="s">
        <v>19</v>
      </c>
      <c r="F458" s="22" t="s">
        <v>1482</v>
      </c>
      <c r="G458" s="22">
        <v>40.299999999999997</v>
      </c>
      <c r="H458" s="22">
        <v>2</v>
      </c>
      <c r="I458" s="22">
        <v>4.03</v>
      </c>
      <c r="J458" s="23">
        <v>84.63</v>
      </c>
      <c r="K458" s="24">
        <v>43772</v>
      </c>
      <c r="L458" s="25">
        <v>0.64583333333333337</v>
      </c>
      <c r="M458" s="22" t="s">
        <v>1469</v>
      </c>
      <c r="N458" s="26">
        <v>80.599999999999994</v>
      </c>
      <c r="O458" s="27">
        <f t="shared" si="7"/>
        <v>4.761904762E-2</v>
      </c>
      <c r="P458" s="23">
        <v>4.03</v>
      </c>
      <c r="Q458" s="28">
        <v>4.4000000000000004</v>
      </c>
    </row>
    <row r="459" spans="1:17" x14ac:dyDescent="0.35">
      <c r="A459" s="21" t="s">
        <v>2000</v>
      </c>
      <c r="B459" s="22" t="s">
        <v>1475</v>
      </c>
      <c r="C459" s="22" t="s">
        <v>1476</v>
      </c>
      <c r="D459" s="22" t="s">
        <v>1479</v>
      </c>
      <c r="E459" s="22" t="s">
        <v>27</v>
      </c>
      <c r="F459" s="22" t="s">
        <v>1462</v>
      </c>
      <c r="G459" s="22">
        <v>86.04</v>
      </c>
      <c r="H459" s="22">
        <v>5</v>
      </c>
      <c r="I459" s="22">
        <v>21.51</v>
      </c>
      <c r="J459" s="23">
        <v>451.71</v>
      </c>
      <c r="K459" s="24" t="s">
        <v>1506</v>
      </c>
      <c r="L459" s="25">
        <v>0.47499999999999998</v>
      </c>
      <c r="M459" s="22" t="s">
        <v>1469</v>
      </c>
      <c r="N459" s="26">
        <v>430.2</v>
      </c>
      <c r="O459" s="27">
        <f t="shared" si="7"/>
        <v>4.761904762E-2</v>
      </c>
      <c r="P459" s="23">
        <v>21.51</v>
      </c>
      <c r="Q459" s="28">
        <v>4.8</v>
      </c>
    </row>
    <row r="460" spans="1:17" x14ac:dyDescent="0.35">
      <c r="A460" s="21" t="s">
        <v>2001</v>
      </c>
      <c r="B460" s="22" t="s">
        <v>1466</v>
      </c>
      <c r="C460" s="22" t="s">
        <v>1467</v>
      </c>
      <c r="D460" s="22" t="s">
        <v>1461</v>
      </c>
      <c r="E460" s="22" t="s">
        <v>27</v>
      </c>
      <c r="F460" s="22" t="s">
        <v>1473</v>
      </c>
      <c r="G460" s="22">
        <v>87.98</v>
      </c>
      <c r="H460" s="22">
        <v>3</v>
      </c>
      <c r="I460" s="22">
        <v>13.196999999999999</v>
      </c>
      <c r="J460" s="23">
        <v>277.137</v>
      </c>
      <c r="K460" s="24">
        <v>43588</v>
      </c>
      <c r="L460" s="25">
        <v>0.44444444444444442</v>
      </c>
      <c r="M460" s="22" t="s">
        <v>1469</v>
      </c>
      <c r="N460" s="26">
        <v>263.94</v>
      </c>
      <c r="O460" s="27">
        <f t="shared" si="7"/>
        <v>4.761904762E-2</v>
      </c>
      <c r="P460" s="23">
        <v>13.196999999999999</v>
      </c>
      <c r="Q460" s="28">
        <v>5.0999999999999996</v>
      </c>
    </row>
    <row r="461" spans="1:17" x14ac:dyDescent="0.35">
      <c r="A461" s="21" t="s">
        <v>2002</v>
      </c>
      <c r="B461" s="22" t="s">
        <v>1466</v>
      </c>
      <c r="C461" s="22" t="s">
        <v>1467</v>
      </c>
      <c r="D461" s="22" t="s">
        <v>1461</v>
      </c>
      <c r="E461" s="22" t="s">
        <v>27</v>
      </c>
      <c r="F461" s="22" t="s">
        <v>1482</v>
      </c>
      <c r="G461" s="22">
        <v>33.200000000000003</v>
      </c>
      <c r="H461" s="22">
        <v>2</v>
      </c>
      <c r="I461" s="22">
        <v>3.32</v>
      </c>
      <c r="J461" s="23">
        <v>69.72</v>
      </c>
      <c r="K461" s="24" t="s">
        <v>1541</v>
      </c>
      <c r="L461" s="25">
        <v>0.51388888888888884</v>
      </c>
      <c r="M461" s="22" t="s">
        <v>1477</v>
      </c>
      <c r="N461" s="26">
        <v>66.400000000000006</v>
      </c>
      <c r="O461" s="27">
        <f t="shared" si="7"/>
        <v>4.761904762E-2</v>
      </c>
      <c r="P461" s="23">
        <v>3.32</v>
      </c>
      <c r="Q461" s="28">
        <v>4.4000000000000004</v>
      </c>
    </row>
    <row r="462" spans="1:17" x14ac:dyDescent="0.35">
      <c r="A462" s="21" t="s">
        <v>2003</v>
      </c>
      <c r="B462" s="22" t="s">
        <v>1459</v>
      </c>
      <c r="C462" s="22" t="s">
        <v>1460</v>
      </c>
      <c r="D462" s="22" t="s">
        <v>1461</v>
      </c>
      <c r="E462" s="22" t="s">
        <v>27</v>
      </c>
      <c r="F462" s="22" t="s">
        <v>1462</v>
      </c>
      <c r="G462" s="22">
        <v>34.56</v>
      </c>
      <c r="H462" s="22">
        <v>5</v>
      </c>
      <c r="I462" s="22">
        <v>8.64</v>
      </c>
      <c r="J462" s="23">
        <v>181.44</v>
      </c>
      <c r="K462" s="24" t="s">
        <v>1546</v>
      </c>
      <c r="L462" s="25">
        <v>0.46875</v>
      </c>
      <c r="M462" s="22" t="s">
        <v>1469</v>
      </c>
      <c r="N462" s="26">
        <v>172.8</v>
      </c>
      <c r="O462" s="27">
        <f t="shared" si="7"/>
        <v>4.761904762E-2</v>
      </c>
      <c r="P462" s="23">
        <v>8.64</v>
      </c>
      <c r="Q462" s="28">
        <v>9.9</v>
      </c>
    </row>
    <row r="463" spans="1:17" x14ac:dyDescent="0.35">
      <c r="A463" s="21" t="s">
        <v>2004</v>
      </c>
      <c r="B463" s="22" t="s">
        <v>1459</v>
      </c>
      <c r="C463" s="22" t="s">
        <v>1460</v>
      </c>
      <c r="D463" s="22" t="s">
        <v>1479</v>
      </c>
      <c r="E463" s="22" t="s">
        <v>27</v>
      </c>
      <c r="F463" s="22" t="s">
        <v>1501</v>
      </c>
      <c r="G463" s="22">
        <v>88.63</v>
      </c>
      <c r="H463" s="22">
        <v>3</v>
      </c>
      <c r="I463" s="22">
        <v>13.294499999999999</v>
      </c>
      <c r="J463" s="23">
        <v>279.18450000000001</v>
      </c>
      <c r="K463" s="24">
        <v>43499</v>
      </c>
      <c r="L463" s="25">
        <v>0.73333333333333328</v>
      </c>
      <c r="M463" s="22" t="s">
        <v>1469</v>
      </c>
      <c r="N463" s="26">
        <v>265.89</v>
      </c>
      <c r="O463" s="27">
        <f t="shared" si="7"/>
        <v>4.761904762E-2</v>
      </c>
      <c r="P463" s="23">
        <v>13.294499999999999</v>
      </c>
      <c r="Q463" s="28">
        <v>6</v>
      </c>
    </row>
    <row r="464" spans="1:17" x14ac:dyDescent="0.35">
      <c r="A464" s="21" t="s">
        <v>2005</v>
      </c>
      <c r="B464" s="22" t="s">
        <v>1459</v>
      </c>
      <c r="C464" s="22" t="s">
        <v>1460</v>
      </c>
      <c r="D464" s="22" t="s">
        <v>1479</v>
      </c>
      <c r="E464" s="22" t="s">
        <v>19</v>
      </c>
      <c r="F464" s="22" t="s">
        <v>1482</v>
      </c>
      <c r="G464" s="22">
        <v>52.59</v>
      </c>
      <c r="H464" s="22">
        <v>8</v>
      </c>
      <c r="I464" s="22">
        <v>21.036000000000001</v>
      </c>
      <c r="J464" s="23">
        <v>441.75599999999997</v>
      </c>
      <c r="K464" s="24" t="s">
        <v>1513</v>
      </c>
      <c r="L464" s="25">
        <v>0.80555555555555558</v>
      </c>
      <c r="M464" s="22" t="s">
        <v>1477</v>
      </c>
      <c r="N464" s="26">
        <v>420.72</v>
      </c>
      <c r="O464" s="27">
        <f t="shared" si="7"/>
        <v>4.761904762E-2</v>
      </c>
      <c r="P464" s="23">
        <v>21.036000000000001</v>
      </c>
      <c r="Q464" s="28">
        <v>8.5</v>
      </c>
    </row>
    <row r="465" spans="1:17" x14ac:dyDescent="0.35">
      <c r="A465" s="21" t="s">
        <v>2006</v>
      </c>
      <c r="B465" s="22" t="s">
        <v>1466</v>
      </c>
      <c r="C465" s="22" t="s">
        <v>1467</v>
      </c>
      <c r="D465" s="22" t="s">
        <v>1461</v>
      </c>
      <c r="E465" s="22" t="s">
        <v>27</v>
      </c>
      <c r="F465" s="22" t="s">
        <v>1468</v>
      </c>
      <c r="G465" s="22">
        <v>33.520000000000003</v>
      </c>
      <c r="H465" s="22">
        <v>1</v>
      </c>
      <c r="I465" s="22">
        <v>1.6759999999999999</v>
      </c>
      <c r="J465" s="23">
        <v>35.195999999999998</v>
      </c>
      <c r="K465" s="24">
        <v>43679</v>
      </c>
      <c r="L465" s="25">
        <v>0.64652777777777781</v>
      </c>
      <c r="M465" s="22" t="s">
        <v>1464</v>
      </c>
      <c r="N465" s="26">
        <v>33.520000000000003</v>
      </c>
      <c r="O465" s="27">
        <f t="shared" si="7"/>
        <v>4.761904762E-2</v>
      </c>
      <c r="P465" s="23">
        <v>1.6759999999999999</v>
      </c>
      <c r="Q465" s="28">
        <v>6.7</v>
      </c>
    </row>
    <row r="466" spans="1:17" x14ac:dyDescent="0.35">
      <c r="A466" s="21" t="s">
        <v>2007</v>
      </c>
      <c r="B466" s="22" t="s">
        <v>1459</v>
      </c>
      <c r="C466" s="22" t="s">
        <v>1460</v>
      </c>
      <c r="D466" s="22" t="s">
        <v>1461</v>
      </c>
      <c r="E466" s="22" t="s">
        <v>19</v>
      </c>
      <c r="F466" s="22" t="s">
        <v>1468</v>
      </c>
      <c r="G466" s="22">
        <v>87.67</v>
      </c>
      <c r="H466" s="22">
        <v>2</v>
      </c>
      <c r="I466" s="22">
        <v>8.7669999999999995</v>
      </c>
      <c r="J466" s="23">
        <v>184.107</v>
      </c>
      <c r="K466" s="24">
        <v>43741</v>
      </c>
      <c r="L466" s="25">
        <v>0.51180555555555551</v>
      </c>
      <c r="M466" s="22" t="s">
        <v>1477</v>
      </c>
      <c r="N466" s="26">
        <v>175.34</v>
      </c>
      <c r="O466" s="27">
        <f t="shared" si="7"/>
        <v>4.761904762E-2</v>
      </c>
      <c r="P466" s="23">
        <v>8.7669999999999995</v>
      </c>
      <c r="Q466" s="28">
        <v>7.7</v>
      </c>
    </row>
    <row r="467" spans="1:17" x14ac:dyDescent="0.35">
      <c r="A467" s="21" t="s">
        <v>2008</v>
      </c>
      <c r="B467" s="22" t="s">
        <v>1466</v>
      </c>
      <c r="C467" s="22" t="s">
        <v>1467</v>
      </c>
      <c r="D467" s="22" t="s">
        <v>1461</v>
      </c>
      <c r="E467" s="22" t="s">
        <v>19</v>
      </c>
      <c r="F467" s="22" t="s">
        <v>1486</v>
      </c>
      <c r="G467" s="22">
        <v>88.36</v>
      </c>
      <c r="H467" s="22">
        <v>5</v>
      </c>
      <c r="I467" s="22">
        <v>22.09</v>
      </c>
      <c r="J467" s="23">
        <v>463.89</v>
      </c>
      <c r="K467" s="24" t="s">
        <v>1584</v>
      </c>
      <c r="L467" s="25">
        <v>0.82499999999999996</v>
      </c>
      <c r="M467" s="22" t="s">
        <v>1464</v>
      </c>
      <c r="N467" s="26">
        <v>441.8</v>
      </c>
      <c r="O467" s="27">
        <f t="shared" si="7"/>
        <v>4.761904762E-2</v>
      </c>
      <c r="P467" s="23">
        <v>22.09</v>
      </c>
      <c r="Q467" s="28">
        <v>9.6</v>
      </c>
    </row>
    <row r="468" spans="1:17" x14ac:dyDescent="0.35">
      <c r="A468" s="21" t="s">
        <v>2009</v>
      </c>
      <c r="B468" s="22" t="s">
        <v>1459</v>
      </c>
      <c r="C468" s="22" t="s">
        <v>1460</v>
      </c>
      <c r="D468" s="22" t="s">
        <v>1461</v>
      </c>
      <c r="E468" s="22" t="s">
        <v>27</v>
      </c>
      <c r="F468" s="22" t="s">
        <v>1473</v>
      </c>
      <c r="G468" s="22">
        <v>24.89</v>
      </c>
      <c r="H468" s="22">
        <v>9</v>
      </c>
      <c r="I468" s="22">
        <v>11.2005</v>
      </c>
      <c r="J468" s="23">
        <v>235.2105</v>
      </c>
      <c r="K468" s="24" t="s">
        <v>1541</v>
      </c>
      <c r="L468" s="25">
        <v>0.65</v>
      </c>
      <c r="M468" s="22" t="s">
        <v>1464</v>
      </c>
      <c r="N468" s="26">
        <v>224.01</v>
      </c>
      <c r="O468" s="27">
        <f t="shared" si="7"/>
        <v>4.761904762E-2</v>
      </c>
      <c r="P468" s="23">
        <v>11.2005</v>
      </c>
      <c r="Q468" s="28">
        <v>7.4</v>
      </c>
    </row>
    <row r="469" spans="1:17" x14ac:dyDescent="0.35">
      <c r="A469" s="21" t="s">
        <v>2010</v>
      </c>
      <c r="B469" s="22" t="s">
        <v>1466</v>
      </c>
      <c r="C469" s="22" t="s">
        <v>1467</v>
      </c>
      <c r="D469" s="22" t="s">
        <v>1461</v>
      </c>
      <c r="E469" s="22" t="s">
        <v>27</v>
      </c>
      <c r="F469" s="22" t="s">
        <v>1468</v>
      </c>
      <c r="G469" s="22">
        <v>94.13</v>
      </c>
      <c r="H469" s="22">
        <v>5</v>
      </c>
      <c r="I469" s="22">
        <v>23.532499999999999</v>
      </c>
      <c r="J469" s="23">
        <v>494.1825</v>
      </c>
      <c r="K469" s="24" t="s">
        <v>1506</v>
      </c>
      <c r="L469" s="25">
        <v>0.81874999999999998</v>
      </c>
      <c r="M469" s="22" t="s">
        <v>1477</v>
      </c>
      <c r="N469" s="26">
        <v>470.65</v>
      </c>
      <c r="O469" s="27">
        <f t="shared" si="7"/>
        <v>4.761904762E-2</v>
      </c>
      <c r="P469" s="23">
        <v>23.532499999999999</v>
      </c>
      <c r="Q469" s="28">
        <v>4.8</v>
      </c>
    </row>
    <row r="470" spans="1:17" x14ac:dyDescent="0.35">
      <c r="A470" s="21" t="s">
        <v>2011</v>
      </c>
      <c r="B470" s="22" t="s">
        <v>1466</v>
      </c>
      <c r="C470" s="22" t="s">
        <v>1467</v>
      </c>
      <c r="D470" s="22" t="s">
        <v>1479</v>
      </c>
      <c r="E470" s="22" t="s">
        <v>27</v>
      </c>
      <c r="F470" s="22" t="s">
        <v>1501</v>
      </c>
      <c r="G470" s="22">
        <v>78.069999999999993</v>
      </c>
      <c r="H470" s="22">
        <v>9</v>
      </c>
      <c r="I470" s="22">
        <v>35.131500000000003</v>
      </c>
      <c r="J470" s="23">
        <v>737.76149999999996</v>
      </c>
      <c r="K470" s="24" t="s">
        <v>1803</v>
      </c>
      <c r="L470" s="25">
        <v>0.52986111111111112</v>
      </c>
      <c r="M470" s="22" t="s">
        <v>1464</v>
      </c>
      <c r="N470" s="26">
        <v>702.63</v>
      </c>
      <c r="O470" s="27">
        <f t="shared" si="7"/>
        <v>4.761904762E-2</v>
      </c>
      <c r="P470" s="23">
        <v>35.131500000000003</v>
      </c>
      <c r="Q470" s="28">
        <v>4.5</v>
      </c>
    </row>
    <row r="471" spans="1:17" x14ac:dyDescent="0.35">
      <c r="A471" s="21" t="s">
        <v>2012</v>
      </c>
      <c r="B471" s="22" t="s">
        <v>1466</v>
      </c>
      <c r="C471" s="22" t="s">
        <v>1467</v>
      </c>
      <c r="D471" s="22" t="s">
        <v>1461</v>
      </c>
      <c r="E471" s="22" t="s">
        <v>27</v>
      </c>
      <c r="F471" s="22" t="s">
        <v>1501</v>
      </c>
      <c r="G471" s="22">
        <v>83.78</v>
      </c>
      <c r="H471" s="22">
        <v>8</v>
      </c>
      <c r="I471" s="22">
        <v>33.512</v>
      </c>
      <c r="J471" s="23">
        <v>703.75199999999995</v>
      </c>
      <c r="K471" s="24">
        <v>43739</v>
      </c>
      <c r="L471" s="25">
        <v>0.61736111111111114</v>
      </c>
      <c r="M471" s="22" t="s">
        <v>1464</v>
      </c>
      <c r="N471" s="26">
        <v>670.24</v>
      </c>
      <c r="O471" s="27">
        <f t="shared" si="7"/>
        <v>4.761904762E-2</v>
      </c>
      <c r="P471" s="23">
        <v>33.512</v>
      </c>
      <c r="Q471" s="28">
        <v>5.0999999999999996</v>
      </c>
    </row>
    <row r="472" spans="1:17" x14ac:dyDescent="0.35">
      <c r="A472" s="21" t="s">
        <v>2013</v>
      </c>
      <c r="B472" s="22" t="s">
        <v>1459</v>
      </c>
      <c r="C472" s="22" t="s">
        <v>1460</v>
      </c>
      <c r="D472" s="22" t="s">
        <v>1461</v>
      </c>
      <c r="E472" s="22" t="s">
        <v>27</v>
      </c>
      <c r="F472" s="22" t="s">
        <v>1473</v>
      </c>
      <c r="G472" s="22">
        <v>96.58</v>
      </c>
      <c r="H472" s="22">
        <v>2</v>
      </c>
      <c r="I472" s="22">
        <v>9.6579999999999995</v>
      </c>
      <c r="J472" s="23">
        <v>202.81800000000001</v>
      </c>
      <c r="K472" s="24" t="s">
        <v>1541</v>
      </c>
      <c r="L472" s="25">
        <v>0.42499999999999999</v>
      </c>
      <c r="M472" s="22" t="s">
        <v>1477</v>
      </c>
      <c r="N472" s="26">
        <v>193.16</v>
      </c>
      <c r="O472" s="27">
        <f t="shared" si="7"/>
        <v>4.761904762E-2</v>
      </c>
      <c r="P472" s="23">
        <v>9.6579999999999995</v>
      </c>
      <c r="Q472" s="28">
        <v>5.0999999999999996</v>
      </c>
    </row>
    <row r="473" spans="1:17" x14ac:dyDescent="0.35">
      <c r="A473" s="21" t="s">
        <v>2014</v>
      </c>
      <c r="B473" s="22" t="s">
        <v>1475</v>
      </c>
      <c r="C473" s="22" t="s">
        <v>1476</v>
      </c>
      <c r="D473" s="22" t="s">
        <v>1479</v>
      </c>
      <c r="E473" s="22" t="s">
        <v>19</v>
      </c>
      <c r="F473" s="22" t="s">
        <v>1486</v>
      </c>
      <c r="G473" s="22">
        <v>99.42</v>
      </c>
      <c r="H473" s="22">
        <v>4</v>
      </c>
      <c r="I473" s="22">
        <v>19.884</v>
      </c>
      <c r="J473" s="23">
        <v>417.56400000000002</v>
      </c>
      <c r="K473" s="24">
        <v>43618</v>
      </c>
      <c r="L473" s="25">
        <v>0.44583333333333336</v>
      </c>
      <c r="M473" s="22" t="s">
        <v>1469</v>
      </c>
      <c r="N473" s="26">
        <v>397.68</v>
      </c>
      <c r="O473" s="27">
        <f t="shared" si="7"/>
        <v>4.761904762E-2</v>
      </c>
      <c r="P473" s="23">
        <v>19.884</v>
      </c>
      <c r="Q473" s="28">
        <v>7.5</v>
      </c>
    </row>
    <row r="474" spans="1:17" x14ac:dyDescent="0.35">
      <c r="A474" s="21" t="s">
        <v>2015</v>
      </c>
      <c r="B474" s="22" t="s">
        <v>1475</v>
      </c>
      <c r="C474" s="22" t="s">
        <v>1476</v>
      </c>
      <c r="D474" s="22" t="s">
        <v>1479</v>
      </c>
      <c r="E474" s="22" t="s">
        <v>19</v>
      </c>
      <c r="F474" s="22" t="s">
        <v>1501</v>
      </c>
      <c r="G474" s="22">
        <v>68.12</v>
      </c>
      <c r="H474" s="22">
        <v>1</v>
      </c>
      <c r="I474" s="22">
        <v>3.4060000000000001</v>
      </c>
      <c r="J474" s="23">
        <v>71.525999999999996</v>
      </c>
      <c r="K474" s="24">
        <v>43647</v>
      </c>
      <c r="L474" s="25">
        <v>0.51944444444444449</v>
      </c>
      <c r="M474" s="22" t="s">
        <v>1469</v>
      </c>
      <c r="N474" s="26">
        <v>68.12</v>
      </c>
      <c r="O474" s="27">
        <f t="shared" si="7"/>
        <v>4.761904762E-2</v>
      </c>
      <c r="P474" s="23">
        <v>3.4060000000000001</v>
      </c>
      <c r="Q474" s="28">
        <v>6.8</v>
      </c>
    </row>
    <row r="475" spans="1:17" x14ac:dyDescent="0.35">
      <c r="A475" s="21" t="s">
        <v>2016</v>
      </c>
      <c r="B475" s="22" t="s">
        <v>1459</v>
      </c>
      <c r="C475" s="22" t="s">
        <v>1460</v>
      </c>
      <c r="D475" s="22" t="s">
        <v>1479</v>
      </c>
      <c r="E475" s="22" t="s">
        <v>27</v>
      </c>
      <c r="F475" s="22" t="s">
        <v>1501</v>
      </c>
      <c r="G475" s="22">
        <v>62.62</v>
      </c>
      <c r="H475" s="22">
        <v>5</v>
      </c>
      <c r="I475" s="22">
        <v>15.654999999999999</v>
      </c>
      <c r="J475" s="23">
        <v>328.755</v>
      </c>
      <c r="K475" s="24">
        <v>43741</v>
      </c>
      <c r="L475" s="25">
        <v>0.80208333333333337</v>
      </c>
      <c r="M475" s="22" t="s">
        <v>1469</v>
      </c>
      <c r="N475" s="26">
        <v>313.10000000000002</v>
      </c>
      <c r="O475" s="27">
        <f t="shared" si="7"/>
        <v>4.761904762E-2</v>
      </c>
      <c r="P475" s="23">
        <v>15.654999999999999</v>
      </c>
      <c r="Q475" s="28">
        <v>7</v>
      </c>
    </row>
    <row r="476" spans="1:17" x14ac:dyDescent="0.35">
      <c r="A476" s="21" t="s">
        <v>2017</v>
      </c>
      <c r="B476" s="22" t="s">
        <v>1459</v>
      </c>
      <c r="C476" s="22" t="s">
        <v>1460</v>
      </c>
      <c r="D476" s="22" t="s">
        <v>1461</v>
      </c>
      <c r="E476" s="22" t="s">
        <v>19</v>
      </c>
      <c r="F476" s="22" t="s">
        <v>1462</v>
      </c>
      <c r="G476" s="22">
        <v>60.88</v>
      </c>
      <c r="H476" s="22">
        <v>9</v>
      </c>
      <c r="I476" s="22">
        <v>27.396000000000001</v>
      </c>
      <c r="J476" s="23">
        <v>575.31600000000003</v>
      </c>
      <c r="K476" s="24" t="s">
        <v>1589</v>
      </c>
      <c r="L476" s="25">
        <v>0.72013888888888888</v>
      </c>
      <c r="M476" s="22" t="s">
        <v>1469</v>
      </c>
      <c r="N476" s="26">
        <v>547.91999999999996</v>
      </c>
      <c r="O476" s="27">
        <f t="shared" si="7"/>
        <v>4.761904762E-2</v>
      </c>
      <c r="P476" s="23">
        <v>27.396000000000001</v>
      </c>
      <c r="Q476" s="28">
        <v>4.7</v>
      </c>
    </row>
    <row r="477" spans="1:17" x14ac:dyDescent="0.35">
      <c r="A477" s="21" t="s">
        <v>2018</v>
      </c>
      <c r="B477" s="22" t="s">
        <v>1475</v>
      </c>
      <c r="C477" s="22" t="s">
        <v>1476</v>
      </c>
      <c r="D477" s="22" t="s">
        <v>1461</v>
      </c>
      <c r="E477" s="22" t="s">
        <v>19</v>
      </c>
      <c r="F477" s="22" t="s">
        <v>1473</v>
      </c>
      <c r="G477" s="22">
        <v>54.92</v>
      </c>
      <c r="H477" s="22">
        <v>8</v>
      </c>
      <c r="I477" s="22">
        <v>21.968</v>
      </c>
      <c r="J477" s="23">
        <v>461.32799999999997</v>
      </c>
      <c r="K477" s="24" t="s">
        <v>1711</v>
      </c>
      <c r="L477" s="25">
        <v>0.55833333333333335</v>
      </c>
      <c r="M477" s="22" t="s">
        <v>1469</v>
      </c>
      <c r="N477" s="26">
        <v>439.36</v>
      </c>
      <c r="O477" s="27">
        <f t="shared" si="7"/>
        <v>4.761904762E-2</v>
      </c>
      <c r="P477" s="23">
        <v>21.968</v>
      </c>
      <c r="Q477" s="28">
        <v>7.6</v>
      </c>
    </row>
    <row r="478" spans="1:17" x14ac:dyDescent="0.35">
      <c r="A478" s="21" t="s">
        <v>2019</v>
      </c>
      <c r="B478" s="22" t="s">
        <v>1466</v>
      </c>
      <c r="C478" s="22" t="s">
        <v>1467</v>
      </c>
      <c r="D478" s="22" t="s">
        <v>1479</v>
      </c>
      <c r="E478" s="22" t="s">
        <v>27</v>
      </c>
      <c r="F478" s="22" t="s">
        <v>1482</v>
      </c>
      <c r="G478" s="22">
        <v>30.12</v>
      </c>
      <c r="H478" s="22">
        <v>8</v>
      </c>
      <c r="I478" s="22">
        <v>12.048</v>
      </c>
      <c r="J478" s="23">
        <v>253.00800000000001</v>
      </c>
      <c r="K478" s="24">
        <v>43527</v>
      </c>
      <c r="L478" s="25">
        <v>0.54236111111111107</v>
      </c>
      <c r="M478" s="22" t="s">
        <v>1464</v>
      </c>
      <c r="N478" s="26">
        <v>240.96</v>
      </c>
      <c r="O478" s="27">
        <f t="shared" si="7"/>
        <v>4.761904762E-2</v>
      </c>
      <c r="P478" s="23">
        <v>12.048</v>
      </c>
      <c r="Q478" s="28">
        <v>7.7</v>
      </c>
    </row>
    <row r="479" spans="1:17" x14ac:dyDescent="0.35">
      <c r="A479" s="21" t="s">
        <v>2020</v>
      </c>
      <c r="B479" s="22" t="s">
        <v>1466</v>
      </c>
      <c r="C479" s="22" t="s">
        <v>1467</v>
      </c>
      <c r="D479" s="22" t="s">
        <v>1479</v>
      </c>
      <c r="E479" s="22" t="s">
        <v>19</v>
      </c>
      <c r="F479" s="22" t="s">
        <v>1482</v>
      </c>
      <c r="G479" s="22">
        <v>86.72</v>
      </c>
      <c r="H479" s="22">
        <v>1</v>
      </c>
      <c r="I479" s="22">
        <v>4.3360000000000003</v>
      </c>
      <c r="J479" s="23">
        <v>91.055999999999997</v>
      </c>
      <c r="K479" s="24" t="s">
        <v>1499</v>
      </c>
      <c r="L479" s="25">
        <v>0.78125</v>
      </c>
      <c r="M479" s="22" t="s">
        <v>1469</v>
      </c>
      <c r="N479" s="26">
        <v>86.72</v>
      </c>
      <c r="O479" s="27">
        <f t="shared" si="7"/>
        <v>4.761904762E-2</v>
      </c>
      <c r="P479" s="23">
        <v>4.3360000000000003</v>
      </c>
      <c r="Q479" s="28">
        <v>7.9</v>
      </c>
    </row>
    <row r="480" spans="1:17" x14ac:dyDescent="0.35">
      <c r="A480" s="21" t="s">
        <v>2021</v>
      </c>
      <c r="B480" s="22" t="s">
        <v>1475</v>
      </c>
      <c r="C480" s="22" t="s">
        <v>1476</v>
      </c>
      <c r="D480" s="22" t="s">
        <v>1479</v>
      </c>
      <c r="E480" s="22" t="s">
        <v>27</v>
      </c>
      <c r="F480" s="22" t="s">
        <v>1482</v>
      </c>
      <c r="G480" s="22">
        <v>56.11</v>
      </c>
      <c r="H480" s="22">
        <v>2</v>
      </c>
      <c r="I480" s="22">
        <v>5.6109999999999998</v>
      </c>
      <c r="J480" s="23">
        <v>117.831</v>
      </c>
      <c r="K480" s="24">
        <v>43498</v>
      </c>
      <c r="L480" s="25">
        <v>0.42430555555555555</v>
      </c>
      <c r="M480" s="22" t="s">
        <v>1464</v>
      </c>
      <c r="N480" s="26">
        <v>112.22</v>
      </c>
      <c r="O480" s="27">
        <f t="shared" si="7"/>
        <v>4.761904762E-2</v>
      </c>
      <c r="P480" s="23">
        <v>5.6109999999999998</v>
      </c>
      <c r="Q480" s="28">
        <v>6.3</v>
      </c>
    </row>
    <row r="481" spans="1:17" x14ac:dyDescent="0.35">
      <c r="A481" s="21" t="s">
        <v>2022</v>
      </c>
      <c r="B481" s="22" t="s">
        <v>1466</v>
      </c>
      <c r="C481" s="22" t="s">
        <v>1467</v>
      </c>
      <c r="D481" s="22" t="s">
        <v>1479</v>
      </c>
      <c r="E481" s="22" t="s">
        <v>19</v>
      </c>
      <c r="F481" s="22" t="s">
        <v>1501</v>
      </c>
      <c r="G481" s="22">
        <v>69.12</v>
      </c>
      <c r="H481" s="22">
        <v>6</v>
      </c>
      <c r="I481" s="22">
        <v>20.736000000000001</v>
      </c>
      <c r="J481" s="23">
        <v>435.45600000000002</v>
      </c>
      <c r="K481" s="24">
        <v>43679</v>
      </c>
      <c r="L481" s="25">
        <v>0.54374999999999996</v>
      </c>
      <c r="M481" s="22" t="s">
        <v>1464</v>
      </c>
      <c r="N481" s="26">
        <v>414.72</v>
      </c>
      <c r="O481" s="27">
        <f t="shared" si="7"/>
        <v>4.761904762E-2</v>
      </c>
      <c r="P481" s="23">
        <v>20.736000000000001</v>
      </c>
      <c r="Q481" s="28">
        <v>5.6</v>
      </c>
    </row>
    <row r="482" spans="1:17" x14ac:dyDescent="0.35">
      <c r="A482" s="21" t="s">
        <v>2023</v>
      </c>
      <c r="B482" s="22" t="s">
        <v>1475</v>
      </c>
      <c r="C482" s="22" t="s">
        <v>1476</v>
      </c>
      <c r="D482" s="22" t="s">
        <v>1479</v>
      </c>
      <c r="E482" s="22" t="s">
        <v>19</v>
      </c>
      <c r="F482" s="22" t="s">
        <v>1486</v>
      </c>
      <c r="G482" s="22">
        <v>98.7</v>
      </c>
      <c r="H482" s="22">
        <v>8</v>
      </c>
      <c r="I482" s="22">
        <v>39.479999999999997</v>
      </c>
      <c r="J482" s="23">
        <v>829.08</v>
      </c>
      <c r="K482" s="24">
        <v>43558</v>
      </c>
      <c r="L482" s="25">
        <v>0.86041666666666672</v>
      </c>
      <c r="M482" s="22" t="s">
        <v>1464</v>
      </c>
      <c r="N482" s="26">
        <v>789.6</v>
      </c>
      <c r="O482" s="27">
        <f t="shared" si="7"/>
        <v>4.761904762E-2</v>
      </c>
      <c r="P482" s="23">
        <v>39.479999999999997</v>
      </c>
      <c r="Q482" s="28">
        <v>7.6</v>
      </c>
    </row>
    <row r="483" spans="1:17" x14ac:dyDescent="0.35">
      <c r="A483" s="21" t="s">
        <v>2024</v>
      </c>
      <c r="B483" s="22" t="s">
        <v>1475</v>
      </c>
      <c r="C483" s="22" t="s">
        <v>1476</v>
      </c>
      <c r="D483" s="22" t="s">
        <v>1479</v>
      </c>
      <c r="E483" s="22" t="s">
        <v>27</v>
      </c>
      <c r="F483" s="22" t="s">
        <v>1473</v>
      </c>
      <c r="G483" s="22">
        <v>15.37</v>
      </c>
      <c r="H483" s="22">
        <v>2</v>
      </c>
      <c r="I483" s="22">
        <v>1.5369999999999999</v>
      </c>
      <c r="J483" s="23">
        <v>32.277000000000001</v>
      </c>
      <c r="K483" s="24" t="s">
        <v>1702</v>
      </c>
      <c r="L483" s="25">
        <v>0.82430555555555551</v>
      </c>
      <c r="M483" s="22" t="s">
        <v>1464</v>
      </c>
      <c r="N483" s="26">
        <v>30.74</v>
      </c>
      <c r="O483" s="27">
        <f t="shared" si="7"/>
        <v>4.761904762E-2</v>
      </c>
      <c r="P483" s="23">
        <v>1.5369999999999999</v>
      </c>
      <c r="Q483" s="28">
        <v>7.2</v>
      </c>
    </row>
    <row r="484" spans="1:17" x14ac:dyDescent="0.35">
      <c r="A484" s="21" t="s">
        <v>2025</v>
      </c>
      <c r="B484" s="22" t="s">
        <v>1466</v>
      </c>
      <c r="C484" s="22" t="s">
        <v>1467</v>
      </c>
      <c r="D484" s="22" t="s">
        <v>1479</v>
      </c>
      <c r="E484" s="22" t="s">
        <v>19</v>
      </c>
      <c r="F484" s="22" t="s">
        <v>1462</v>
      </c>
      <c r="G484" s="22">
        <v>93.96</v>
      </c>
      <c r="H484" s="22">
        <v>4</v>
      </c>
      <c r="I484" s="22">
        <v>18.792000000000002</v>
      </c>
      <c r="J484" s="23">
        <v>394.63200000000001</v>
      </c>
      <c r="K484" s="24">
        <v>43711</v>
      </c>
      <c r="L484" s="25">
        <v>0.75</v>
      </c>
      <c r="M484" s="22" t="s">
        <v>1464</v>
      </c>
      <c r="N484" s="26">
        <v>375.84</v>
      </c>
      <c r="O484" s="27">
        <f t="shared" si="7"/>
        <v>4.761904762E-2</v>
      </c>
      <c r="P484" s="23">
        <v>18.792000000000002</v>
      </c>
      <c r="Q484" s="28">
        <v>9.5</v>
      </c>
    </row>
    <row r="485" spans="1:17" x14ac:dyDescent="0.35">
      <c r="A485" s="21" t="s">
        <v>2026</v>
      </c>
      <c r="B485" s="22" t="s">
        <v>1466</v>
      </c>
      <c r="C485" s="22" t="s">
        <v>1467</v>
      </c>
      <c r="D485" s="22" t="s">
        <v>1479</v>
      </c>
      <c r="E485" s="22" t="s">
        <v>27</v>
      </c>
      <c r="F485" s="22" t="s">
        <v>1473</v>
      </c>
      <c r="G485" s="22">
        <v>56.69</v>
      </c>
      <c r="H485" s="22">
        <v>9</v>
      </c>
      <c r="I485" s="22">
        <v>25.5105</v>
      </c>
      <c r="J485" s="23">
        <v>535.72050000000002</v>
      </c>
      <c r="K485" s="24" t="s">
        <v>1599</v>
      </c>
      <c r="L485" s="25">
        <v>0.72499999999999998</v>
      </c>
      <c r="M485" s="22" t="s">
        <v>1477</v>
      </c>
      <c r="N485" s="26">
        <v>510.21</v>
      </c>
      <c r="O485" s="27">
        <f t="shared" si="7"/>
        <v>4.761904762E-2</v>
      </c>
      <c r="P485" s="23">
        <v>25.5105</v>
      </c>
      <c r="Q485" s="28">
        <v>8.4</v>
      </c>
    </row>
    <row r="486" spans="1:17" x14ac:dyDescent="0.35">
      <c r="A486" s="21" t="s">
        <v>2027</v>
      </c>
      <c r="B486" s="22" t="s">
        <v>1466</v>
      </c>
      <c r="C486" s="22" t="s">
        <v>1467</v>
      </c>
      <c r="D486" s="22" t="s">
        <v>1479</v>
      </c>
      <c r="E486" s="22" t="s">
        <v>19</v>
      </c>
      <c r="F486" s="22" t="s">
        <v>1486</v>
      </c>
      <c r="G486" s="22">
        <v>20.010000000000002</v>
      </c>
      <c r="H486" s="22">
        <v>9</v>
      </c>
      <c r="I486" s="22">
        <v>9.0045000000000002</v>
      </c>
      <c r="J486" s="23">
        <v>189.09450000000001</v>
      </c>
      <c r="K486" s="24">
        <v>43618</v>
      </c>
      <c r="L486" s="25">
        <v>0.65763888888888888</v>
      </c>
      <c r="M486" s="22" t="s">
        <v>1469</v>
      </c>
      <c r="N486" s="26">
        <v>180.09</v>
      </c>
      <c r="O486" s="27">
        <f t="shared" si="7"/>
        <v>4.761904762E-2</v>
      </c>
      <c r="P486" s="23">
        <v>9.0045000000000002</v>
      </c>
      <c r="Q486" s="28">
        <v>4.0999999999999996</v>
      </c>
    </row>
    <row r="487" spans="1:17" x14ac:dyDescent="0.35">
      <c r="A487" s="21" t="s">
        <v>2028</v>
      </c>
      <c r="B487" s="22" t="s">
        <v>1466</v>
      </c>
      <c r="C487" s="22" t="s">
        <v>1467</v>
      </c>
      <c r="D487" s="22" t="s">
        <v>1479</v>
      </c>
      <c r="E487" s="22" t="s">
        <v>27</v>
      </c>
      <c r="F487" s="22" t="s">
        <v>1462</v>
      </c>
      <c r="G487" s="22">
        <v>18.93</v>
      </c>
      <c r="H487" s="22">
        <v>6</v>
      </c>
      <c r="I487" s="22">
        <v>5.6790000000000003</v>
      </c>
      <c r="J487" s="23">
        <v>119.259</v>
      </c>
      <c r="K487" s="24">
        <v>43740</v>
      </c>
      <c r="L487" s="25">
        <v>0.53125</v>
      </c>
      <c r="M487" s="22" t="s">
        <v>1477</v>
      </c>
      <c r="N487" s="26">
        <v>113.58</v>
      </c>
      <c r="O487" s="27">
        <f t="shared" si="7"/>
        <v>4.761904762E-2</v>
      </c>
      <c r="P487" s="23">
        <v>5.6790000000000003</v>
      </c>
      <c r="Q487" s="28">
        <v>8.1</v>
      </c>
    </row>
    <row r="488" spans="1:17" x14ac:dyDescent="0.35">
      <c r="A488" s="21" t="s">
        <v>2029</v>
      </c>
      <c r="B488" s="22" t="s">
        <v>1475</v>
      </c>
      <c r="C488" s="22" t="s">
        <v>1476</v>
      </c>
      <c r="D488" s="22" t="s">
        <v>1479</v>
      </c>
      <c r="E488" s="22" t="s">
        <v>19</v>
      </c>
      <c r="F488" s="22" t="s">
        <v>1468</v>
      </c>
      <c r="G488" s="22">
        <v>82.63</v>
      </c>
      <c r="H488" s="22">
        <v>10</v>
      </c>
      <c r="I488" s="22">
        <v>41.314999999999998</v>
      </c>
      <c r="J488" s="23">
        <v>867.61500000000001</v>
      </c>
      <c r="K488" s="24" t="s">
        <v>1596</v>
      </c>
      <c r="L488" s="25">
        <v>0.71388888888888891</v>
      </c>
      <c r="M488" s="22" t="s">
        <v>1469</v>
      </c>
      <c r="N488" s="26">
        <v>826.3</v>
      </c>
      <c r="O488" s="27">
        <f t="shared" si="7"/>
        <v>4.761904762E-2</v>
      </c>
      <c r="P488" s="23">
        <v>41.314999999999998</v>
      </c>
      <c r="Q488" s="28">
        <v>7.9</v>
      </c>
    </row>
    <row r="489" spans="1:17" x14ac:dyDescent="0.35">
      <c r="A489" s="21" t="s">
        <v>2030</v>
      </c>
      <c r="B489" s="22" t="s">
        <v>1475</v>
      </c>
      <c r="C489" s="22" t="s">
        <v>1476</v>
      </c>
      <c r="D489" s="22" t="s">
        <v>1479</v>
      </c>
      <c r="E489" s="22" t="s">
        <v>27</v>
      </c>
      <c r="F489" s="22" t="s">
        <v>1486</v>
      </c>
      <c r="G489" s="22">
        <v>91.4</v>
      </c>
      <c r="H489" s="22">
        <v>7</v>
      </c>
      <c r="I489" s="22">
        <v>31.99</v>
      </c>
      <c r="J489" s="23">
        <v>671.79</v>
      </c>
      <c r="K489" s="24">
        <v>43526</v>
      </c>
      <c r="L489" s="25">
        <v>0.42986111111111114</v>
      </c>
      <c r="M489" s="22" t="s">
        <v>1464</v>
      </c>
      <c r="N489" s="26">
        <v>639.79999999999995</v>
      </c>
      <c r="O489" s="27">
        <f t="shared" si="7"/>
        <v>4.761904762E-2</v>
      </c>
      <c r="P489" s="23">
        <v>31.99</v>
      </c>
      <c r="Q489" s="28">
        <v>9.5</v>
      </c>
    </row>
    <row r="490" spans="1:17" x14ac:dyDescent="0.35">
      <c r="A490" s="21" t="s">
        <v>2031</v>
      </c>
      <c r="B490" s="22" t="s">
        <v>1459</v>
      </c>
      <c r="C490" s="22" t="s">
        <v>1460</v>
      </c>
      <c r="D490" s="22" t="s">
        <v>1479</v>
      </c>
      <c r="E490" s="22" t="s">
        <v>19</v>
      </c>
      <c r="F490" s="22" t="s">
        <v>1486</v>
      </c>
      <c r="G490" s="22">
        <v>44.59</v>
      </c>
      <c r="H490" s="22">
        <v>5</v>
      </c>
      <c r="I490" s="22">
        <v>11.147500000000001</v>
      </c>
      <c r="J490" s="23">
        <v>234.0975</v>
      </c>
      <c r="K490" s="24">
        <v>43740</v>
      </c>
      <c r="L490" s="25">
        <v>0.63194444444444442</v>
      </c>
      <c r="M490" s="22" t="s">
        <v>1464</v>
      </c>
      <c r="N490" s="26">
        <v>222.95</v>
      </c>
      <c r="O490" s="27">
        <f t="shared" si="7"/>
        <v>4.761904762E-2</v>
      </c>
      <c r="P490" s="23">
        <v>11.147500000000001</v>
      </c>
      <c r="Q490" s="28">
        <v>8.5</v>
      </c>
    </row>
    <row r="491" spans="1:17" x14ac:dyDescent="0.35">
      <c r="A491" s="21" t="s">
        <v>2032</v>
      </c>
      <c r="B491" s="22" t="s">
        <v>1466</v>
      </c>
      <c r="C491" s="22" t="s">
        <v>1467</v>
      </c>
      <c r="D491" s="22" t="s">
        <v>1479</v>
      </c>
      <c r="E491" s="22" t="s">
        <v>19</v>
      </c>
      <c r="F491" s="22" t="s">
        <v>1468</v>
      </c>
      <c r="G491" s="22">
        <v>17.87</v>
      </c>
      <c r="H491" s="22">
        <v>4</v>
      </c>
      <c r="I491" s="22">
        <v>3.5739999999999998</v>
      </c>
      <c r="J491" s="23">
        <v>75.054000000000002</v>
      </c>
      <c r="K491" s="24" t="s">
        <v>1513</v>
      </c>
      <c r="L491" s="25">
        <v>0.61250000000000004</v>
      </c>
      <c r="M491" s="22" t="s">
        <v>1469</v>
      </c>
      <c r="N491" s="26">
        <v>71.48</v>
      </c>
      <c r="O491" s="27">
        <f t="shared" si="7"/>
        <v>4.761904762E-2</v>
      </c>
      <c r="P491" s="23">
        <v>3.5739999999999998</v>
      </c>
      <c r="Q491" s="28">
        <v>6.5</v>
      </c>
    </row>
    <row r="492" spans="1:17" x14ac:dyDescent="0.35">
      <c r="A492" s="21" t="s">
        <v>2033</v>
      </c>
      <c r="B492" s="22" t="s">
        <v>1475</v>
      </c>
      <c r="C492" s="22" t="s">
        <v>1476</v>
      </c>
      <c r="D492" s="22" t="s">
        <v>1479</v>
      </c>
      <c r="E492" s="22" t="s">
        <v>27</v>
      </c>
      <c r="F492" s="22" t="s">
        <v>1468</v>
      </c>
      <c r="G492" s="22">
        <v>15.43</v>
      </c>
      <c r="H492" s="22">
        <v>1</v>
      </c>
      <c r="I492" s="22">
        <v>0.77149999999999996</v>
      </c>
      <c r="J492" s="23">
        <v>16.201499999999999</v>
      </c>
      <c r="K492" s="24" t="s">
        <v>1584</v>
      </c>
      <c r="L492" s="25">
        <v>0.65694444444444444</v>
      </c>
      <c r="M492" s="22" t="s">
        <v>1477</v>
      </c>
      <c r="N492" s="26">
        <v>15.43</v>
      </c>
      <c r="O492" s="27">
        <f t="shared" si="7"/>
        <v>4.761904762E-2</v>
      </c>
      <c r="P492" s="23">
        <v>0.77149999999999996</v>
      </c>
      <c r="Q492" s="28">
        <v>6.1</v>
      </c>
    </row>
    <row r="493" spans="1:17" x14ac:dyDescent="0.35">
      <c r="A493" s="21" t="s">
        <v>2034</v>
      </c>
      <c r="B493" s="22" t="s">
        <v>1466</v>
      </c>
      <c r="C493" s="22" t="s">
        <v>1467</v>
      </c>
      <c r="D493" s="22" t="s">
        <v>1461</v>
      </c>
      <c r="E493" s="22" t="s">
        <v>27</v>
      </c>
      <c r="F493" s="22" t="s">
        <v>1482</v>
      </c>
      <c r="G493" s="22">
        <v>16.16</v>
      </c>
      <c r="H493" s="22">
        <v>2</v>
      </c>
      <c r="I493" s="22">
        <v>1.6160000000000001</v>
      </c>
      <c r="J493" s="23">
        <v>33.936</v>
      </c>
      <c r="K493" s="24">
        <v>43649</v>
      </c>
      <c r="L493" s="25">
        <v>0.49236111111111114</v>
      </c>
      <c r="M493" s="22" t="s">
        <v>1469</v>
      </c>
      <c r="N493" s="26">
        <v>32.32</v>
      </c>
      <c r="O493" s="27">
        <f t="shared" si="7"/>
        <v>4.761904762E-2</v>
      </c>
      <c r="P493" s="23">
        <v>1.6160000000000001</v>
      </c>
      <c r="Q493" s="28">
        <v>6.5</v>
      </c>
    </row>
    <row r="494" spans="1:17" x14ac:dyDescent="0.35">
      <c r="A494" s="21" t="s">
        <v>2035</v>
      </c>
      <c r="B494" s="22" t="s">
        <v>1475</v>
      </c>
      <c r="C494" s="22" t="s">
        <v>1476</v>
      </c>
      <c r="D494" s="22" t="s">
        <v>1461</v>
      </c>
      <c r="E494" s="22" t="s">
        <v>19</v>
      </c>
      <c r="F494" s="22" t="s">
        <v>1462</v>
      </c>
      <c r="G494" s="22">
        <v>85.98</v>
      </c>
      <c r="H494" s="22">
        <v>8</v>
      </c>
      <c r="I494" s="22">
        <v>34.392000000000003</v>
      </c>
      <c r="J494" s="23">
        <v>722.23199999999997</v>
      </c>
      <c r="K494" s="24" t="s">
        <v>1683</v>
      </c>
      <c r="L494" s="25">
        <v>0.79236111111111107</v>
      </c>
      <c r="M494" s="22" t="s">
        <v>1464</v>
      </c>
      <c r="N494" s="26">
        <v>687.84</v>
      </c>
      <c r="O494" s="27">
        <f t="shared" si="7"/>
        <v>4.761904762E-2</v>
      </c>
      <c r="P494" s="23">
        <v>34.392000000000003</v>
      </c>
      <c r="Q494" s="28">
        <v>8.1999999999999993</v>
      </c>
    </row>
    <row r="495" spans="1:17" x14ac:dyDescent="0.35">
      <c r="A495" s="21" t="s">
        <v>2036</v>
      </c>
      <c r="B495" s="22" t="s">
        <v>1459</v>
      </c>
      <c r="C495" s="22" t="s">
        <v>1460</v>
      </c>
      <c r="D495" s="22" t="s">
        <v>1479</v>
      </c>
      <c r="E495" s="22" t="s">
        <v>27</v>
      </c>
      <c r="F495" s="22" t="s">
        <v>1482</v>
      </c>
      <c r="G495" s="22">
        <v>44.34</v>
      </c>
      <c r="H495" s="22">
        <v>2</v>
      </c>
      <c r="I495" s="22">
        <v>4.4340000000000002</v>
      </c>
      <c r="J495" s="23">
        <v>93.114000000000004</v>
      </c>
      <c r="K495" s="24" t="s">
        <v>1531</v>
      </c>
      <c r="L495" s="25">
        <v>0.47638888888888886</v>
      </c>
      <c r="M495" s="22" t="s">
        <v>1464</v>
      </c>
      <c r="N495" s="26">
        <v>88.68</v>
      </c>
      <c r="O495" s="27">
        <f t="shared" si="7"/>
        <v>4.761904762E-2</v>
      </c>
      <c r="P495" s="23">
        <v>4.4340000000000002</v>
      </c>
      <c r="Q495" s="28">
        <v>5.8</v>
      </c>
    </row>
    <row r="496" spans="1:17" x14ac:dyDescent="0.35">
      <c r="A496" s="21" t="s">
        <v>2037</v>
      </c>
      <c r="B496" s="22" t="s">
        <v>1459</v>
      </c>
      <c r="C496" s="22" t="s">
        <v>1460</v>
      </c>
      <c r="D496" s="22" t="s">
        <v>1461</v>
      </c>
      <c r="E496" s="22" t="s">
        <v>27</v>
      </c>
      <c r="F496" s="22" t="s">
        <v>1473</v>
      </c>
      <c r="G496" s="22">
        <v>89.6</v>
      </c>
      <c r="H496" s="22">
        <v>8</v>
      </c>
      <c r="I496" s="22">
        <v>35.840000000000003</v>
      </c>
      <c r="J496" s="23">
        <v>752.64</v>
      </c>
      <c r="K496" s="24">
        <v>43648</v>
      </c>
      <c r="L496" s="25">
        <v>0.4777777777777778</v>
      </c>
      <c r="M496" s="22" t="s">
        <v>1469</v>
      </c>
      <c r="N496" s="26">
        <v>716.8</v>
      </c>
      <c r="O496" s="27">
        <f t="shared" si="7"/>
        <v>4.761904762E-2</v>
      </c>
      <c r="P496" s="23">
        <v>35.840000000000003</v>
      </c>
      <c r="Q496" s="28">
        <v>6.6</v>
      </c>
    </row>
    <row r="497" spans="1:17" x14ac:dyDescent="0.35">
      <c r="A497" s="21" t="s">
        <v>2038</v>
      </c>
      <c r="B497" s="22" t="s">
        <v>1459</v>
      </c>
      <c r="C497" s="22" t="s">
        <v>1460</v>
      </c>
      <c r="D497" s="22" t="s">
        <v>1479</v>
      </c>
      <c r="E497" s="22" t="s">
        <v>19</v>
      </c>
      <c r="F497" s="22" t="s">
        <v>1482</v>
      </c>
      <c r="G497" s="22">
        <v>72.349999999999994</v>
      </c>
      <c r="H497" s="22">
        <v>10</v>
      </c>
      <c r="I497" s="22">
        <v>36.174999999999997</v>
      </c>
      <c r="J497" s="23">
        <v>759.67499999999995</v>
      </c>
      <c r="K497" s="24" t="s">
        <v>1483</v>
      </c>
      <c r="L497" s="25">
        <v>0.66319444444444442</v>
      </c>
      <c r="M497" s="22" t="s">
        <v>1464</v>
      </c>
      <c r="N497" s="26">
        <v>723.5</v>
      </c>
      <c r="O497" s="27">
        <f t="shared" si="7"/>
        <v>4.761904762E-2</v>
      </c>
      <c r="P497" s="23">
        <v>36.174999999999997</v>
      </c>
      <c r="Q497" s="28">
        <v>5.4</v>
      </c>
    </row>
    <row r="498" spans="1:17" x14ac:dyDescent="0.35">
      <c r="A498" s="21" t="s">
        <v>2039</v>
      </c>
      <c r="B498" s="22" t="s">
        <v>1475</v>
      </c>
      <c r="C498" s="22" t="s">
        <v>1476</v>
      </c>
      <c r="D498" s="22" t="s">
        <v>1461</v>
      </c>
      <c r="E498" s="22" t="s">
        <v>27</v>
      </c>
      <c r="F498" s="22" t="s">
        <v>1462</v>
      </c>
      <c r="G498" s="22">
        <v>30.61</v>
      </c>
      <c r="H498" s="22">
        <v>6</v>
      </c>
      <c r="I498" s="22">
        <v>9.1829999999999998</v>
      </c>
      <c r="J498" s="23">
        <v>192.84299999999999</v>
      </c>
      <c r="K498" s="24">
        <v>43802</v>
      </c>
      <c r="L498" s="25">
        <v>0.85833333333333328</v>
      </c>
      <c r="M498" s="22" t="s">
        <v>1464</v>
      </c>
      <c r="N498" s="26">
        <v>183.66</v>
      </c>
      <c r="O498" s="27">
        <f t="shared" si="7"/>
        <v>4.761904762E-2</v>
      </c>
      <c r="P498" s="23">
        <v>9.1829999999999998</v>
      </c>
      <c r="Q498" s="28">
        <v>9.3000000000000007</v>
      </c>
    </row>
    <row r="499" spans="1:17" x14ac:dyDescent="0.35">
      <c r="A499" s="21" t="s">
        <v>2040</v>
      </c>
      <c r="B499" s="22" t="s">
        <v>1475</v>
      </c>
      <c r="C499" s="22" t="s">
        <v>1476</v>
      </c>
      <c r="D499" s="22" t="s">
        <v>1479</v>
      </c>
      <c r="E499" s="22" t="s">
        <v>19</v>
      </c>
      <c r="F499" s="22" t="s">
        <v>1501</v>
      </c>
      <c r="G499" s="22">
        <v>24.74</v>
      </c>
      <c r="H499" s="22">
        <v>3</v>
      </c>
      <c r="I499" s="22">
        <v>3.7109999999999999</v>
      </c>
      <c r="J499" s="23">
        <v>77.930999999999997</v>
      </c>
      <c r="K499" s="24" t="s">
        <v>1544</v>
      </c>
      <c r="L499" s="25">
        <v>0.74097222222222225</v>
      </c>
      <c r="M499" s="22" t="s">
        <v>1477</v>
      </c>
      <c r="N499" s="26">
        <v>74.22</v>
      </c>
      <c r="O499" s="27">
        <f t="shared" si="7"/>
        <v>4.761904762E-2</v>
      </c>
      <c r="P499" s="23">
        <v>3.7109999999999999</v>
      </c>
      <c r="Q499" s="28">
        <v>10</v>
      </c>
    </row>
    <row r="500" spans="1:17" x14ac:dyDescent="0.35">
      <c r="A500" s="21" t="s">
        <v>2041</v>
      </c>
      <c r="B500" s="22" t="s">
        <v>1475</v>
      </c>
      <c r="C500" s="22" t="s">
        <v>1476</v>
      </c>
      <c r="D500" s="22" t="s">
        <v>1461</v>
      </c>
      <c r="E500" s="22" t="s">
        <v>27</v>
      </c>
      <c r="F500" s="22" t="s">
        <v>1482</v>
      </c>
      <c r="G500" s="22">
        <v>55.73</v>
      </c>
      <c r="H500" s="22">
        <v>6</v>
      </c>
      <c r="I500" s="22">
        <v>16.719000000000001</v>
      </c>
      <c r="J500" s="23">
        <v>351.09899999999999</v>
      </c>
      <c r="K500" s="24" t="s">
        <v>1614</v>
      </c>
      <c r="L500" s="25">
        <v>0.4548611111111111</v>
      </c>
      <c r="M500" s="22" t="s">
        <v>1469</v>
      </c>
      <c r="N500" s="26">
        <v>334.38</v>
      </c>
      <c r="O500" s="27">
        <f t="shared" si="7"/>
        <v>4.761904762E-2</v>
      </c>
      <c r="P500" s="23">
        <v>16.719000000000001</v>
      </c>
      <c r="Q500" s="28">
        <v>7</v>
      </c>
    </row>
    <row r="501" spans="1:17" x14ac:dyDescent="0.35">
      <c r="A501" s="21" t="s">
        <v>2042</v>
      </c>
      <c r="B501" s="22" t="s">
        <v>1466</v>
      </c>
      <c r="C501" s="22" t="s">
        <v>1467</v>
      </c>
      <c r="D501" s="22" t="s">
        <v>1479</v>
      </c>
      <c r="E501" s="22" t="s">
        <v>19</v>
      </c>
      <c r="F501" s="22" t="s">
        <v>1501</v>
      </c>
      <c r="G501" s="22">
        <v>55.07</v>
      </c>
      <c r="H501" s="22">
        <v>9</v>
      </c>
      <c r="I501" s="22">
        <v>24.781500000000001</v>
      </c>
      <c r="J501" s="23">
        <v>520.41150000000005</v>
      </c>
      <c r="K501" s="24">
        <v>43526</v>
      </c>
      <c r="L501" s="25">
        <v>0.56944444444444442</v>
      </c>
      <c r="M501" s="22" t="s">
        <v>1469</v>
      </c>
      <c r="N501" s="26">
        <v>495.63</v>
      </c>
      <c r="O501" s="27">
        <f t="shared" si="7"/>
        <v>4.761904762E-2</v>
      </c>
      <c r="P501" s="23">
        <v>24.781500000000001</v>
      </c>
      <c r="Q501" s="28">
        <v>10</v>
      </c>
    </row>
    <row r="502" spans="1:17" x14ac:dyDescent="0.35">
      <c r="A502" s="21" t="s">
        <v>2043</v>
      </c>
      <c r="B502" s="22" t="s">
        <v>1459</v>
      </c>
      <c r="C502" s="22" t="s">
        <v>1460</v>
      </c>
      <c r="D502" s="22" t="s">
        <v>1479</v>
      </c>
      <c r="E502" s="22" t="s">
        <v>27</v>
      </c>
      <c r="F502" s="22" t="s">
        <v>1501</v>
      </c>
      <c r="G502" s="22">
        <v>15.81</v>
      </c>
      <c r="H502" s="22">
        <v>10</v>
      </c>
      <c r="I502" s="22">
        <v>7.9050000000000002</v>
      </c>
      <c r="J502" s="23">
        <v>166.005</v>
      </c>
      <c r="K502" s="24">
        <v>43619</v>
      </c>
      <c r="L502" s="25">
        <v>0.51875000000000004</v>
      </c>
      <c r="M502" s="22" t="s">
        <v>1477</v>
      </c>
      <c r="N502" s="26">
        <v>158.1</v>
      </c>
      <c r="O502" s="27">
        <f t="shared" si="7"/>
        <v>4.761904762E-2</v>
      </c>
      <c r="P502" s="23">
        <v>7.9050000000000002</v>
      </c>
      <c r="Q502" s="28">
        <v>8.6</v>
      </c>
    </row>
    <row r="503" spans="1:17" x14ac:dyDescent="0.35">
      <c r="A503" s="21" t="s">
        <v>2044</v>
      </c>
      <c r="B503" s="22" t="s">
        <v>1466</v>
      </c>
      <c r="C503" s="22" t="s">
        <v>1467</v>
      </c>
      <c r="D503" s="22" t="s">
        <v>1479</v>
      </c>
      <c r="E503" s="22" t="s">
        <v>27</v>
      </c>
      <c r="F503" s="22" t="s">
        <v>1473</v>
      </c>
      <c r="G503" s="22">
        <v>75.739999999999995</v>
      </c>
      <c r="H503" s="22">
        <v>4</v>
      </c>
      <c r="I503" s="22">
        <v>15.148</v>
      </c>
      <c r="J503" s="23">
        <v>318.108</v>
      </c>
      <c r="K503" s="24" t="s">
        <v>1800</v>
      </c>
      <c r="L503" s="25">
        <v>0.60763888888888884</v>
      </c>
      <c r="M503" s="22" t="s">
        <v>1464</v>
      </c>
      <c r="N503" s="26">
        <v>302.95999999999998</v>
      </c>
      <c r="O503" s="27">
        <f t="shared" si="7"/>
        <v>4.761904762E-2</v>
      </c>
      <c r="P503" s="23">
        <v>15.148</v>
      </c>
      <c r="Q503" s="28">
        <v>7.6</v>
      </c>
    </row>
    <row r="504" spans="1:17" x14ac:dyDescent="0.35">
      <c r="A504" s="21" t="s">
        <v>2045</v>
      </c>
      <c r="B504" s="22" t="s">
        <v>1459</v>
      </c>
      <c r="C504" s="22" t="s">
        <v>1460</v>
      </c>
      <c r="D504" s="22" t="s">
        <v>1479</v>
      </c>
      <c r="E504" s="22" t="s">
        <v>27</v>
      </c>
      <c r="F504" s="22" t="s">
        <v>1473</v>
      </c>
      <c r="G504" s="22">
        <v>15.87</v>
      </c>
      <c r="H504" s="22">
        <v>10</v>
      </c>
      <c r="I504" s="22">
        <v>7.9349999999999996</v>
      </c>
      <c r="J504" s="23">
        <v>166.63499999999999</v>
      </c>
      <c r="K504" s="24" t="s">
        <v>1658</v>
      </c>
      <c r="L504" s="25">
        <v>0.69444444444444442</v>
      </c>
      <c r="M504" s="22" t="s">
        <v>1464</v>
      </c>
      <c r="N504" s="26">
        <v>158.69999999999999</v>
      </c>
      <c r="O504" s="27">
        <f t="shared" si="7"/>
        <v>4.761904762E-2</v>
      </c>
      <c r="P504" s="23">
        <v>7.9349999999999996</v>
      </c>
      <c r="Q504" s="28">
        <v>5.8</v>
      </c>
    </row>
    <row r="505" spans="1:17" x14ac:dyDescent="0.35">
      <c r="A505" s="21" t="s">
        <v>2046</v>
      </c>
      <c r="B505" s="22" t="s">
        <v>1475</v>
      </c>
      <c r="C505" s="22" t="s">
        <v>1476</v>
      </c>
      <c r="D505" s="22" t="s">
        <v>1461</v>
      </c>
      <c r="E505" s="22" t="s">
        <v>19</v>
      </c>
      <c r="F505" s="22" t="s">
        <v>1473</v>
      </c>
      <c r="G505" s="22">
        <v>33.47</v>
      </c>
      <c r="H505" s="22">
        <v>2</v>
      </c>
      <c r="I505" s="22">
        <v>3.347</v>
      </c>
      <c r="J505" s="23">
        <v>70.287000000000006</v>
      </c>
      <c r="K505" s="24">
        <v>43740</v>
      </c>
      <c r="L505" s="25">
        <v>0.65486111111111112</v>
      </c>
      <c r="M505" s="22" t="s">
        <v>1469</v>
      </c>
      <c r="N505" s="26">
        <v>66.94</v>
      </c>
      <c r="O505" s="27">
        <f t="shared" si="7"/>
        <v>4.761904762E-2</v>
      </c>
      <c r="P505" s="23">
        <v>3.347</v>
      </c>
      <c r="Q505" s="28">
        <v>6.7</v>
      </c>
    </row>
    <row r="506" spans="1:17" x14ac:dyDescent="0.35">
      <c r="A506" s="21" t="s">
        <v>2047</v>
      </c>
      <c r="B506" s="22" t="s">
        <v>1466</v>
      </c>
      <c r="C506" s="22" t="s">
        <v>1467</v>
      </c>
      <c r="D506" s="22" t="s">
        <v>1479</v>
      </c>
      <c r="E506" s="22" t="s">
        <v>19</v>
      </c>
      <c r="F506" s="22" t="s">
        <v>1468</v>
      </c>
      <c r="G506" s="22">
        <v>97.61</v>
      </c>
      <c r="H506" s="22">
        <v>6</v>
      </c>
      <c r="I506" s="22">
        <v>29.283000000000001</v>
      </c>
      <c r="J506" s="23">
        <v>614.94299999999998</v>
      </c>
      <c r="K506" s="24">
        <v>43647</v>
      </c>
      <c r="L506" s="25">
        <v>0.62569444444444444</v>
      </c>
      <c r="M506" s="22" t="s">
        <v>1469</v>
      </c>
      <c r="N506" s="26">
        <v>585.66</v>
      </c>
      <c r="O506" s="27">
        <f t="shared" si="7"/>
        <v>4.761904762E-2</v>
      </c>
      <c r="P506" s="23">
        <v>29.283000000000001</v>
      </c>
      <c r="Q506" s="28">
        <v>9.9</v>
      </c>
    </row>
    <row r="507" spans="1:17" x14ac:dyDescent="0.35">
      <c r="A507" s="21" t="s">
        <v>2048</v>
      </c>
      <c r="B507" s="22" t="s">
        <v>1459</v>
      </c>
      <c r="C507" s="22" t="s">
        <v>1460</v>
      </c>
      <c r="D507" s="22" t="s">
        <v>1461</v>
      </c>
      <c r="E507" s="22" t="s">
        <v>27</v>
      </c>
      <c r="F507" s="22" t="s">
        <v>1501</v>
      </c>
      <c r="G507" s="22">
        <v>78.77</v>
      </c>
      <c r="H507" s="22">
        <v>10</v>
      </c>
      <c r="I507" s="22">
        <v>39.384999999999998</v>
      </c>
      <c r="J507" s="23">
        <v>827.08500000000004</v>
      </c>
      <c r="K507" s="24" t="s">
        <v>1566</v>
      </c>
      <c r="L507" s="25">
        <v>0.41944444444444445</v>
      </c>
      <c r="M507" s="22" t="s">
        <v>1464</v>
      </c>
      <c r="N507" s="26">
        <v>787.7</v>
      </c>
      <c r="O507" s="27">
        <f t="shared" si="7"/>
        <v>4.761904762E-2</v>
      </c>
      <c r="P507" s="23">
        <v>39.384999999999998</v>
      </c>
      <c r="Q507" s="28">
        <v>6.4</v>
      </c>
    </row>
    <row r="508" spans="1:17" x14ac:dyDescent="0.35">
      <c r="A508" s="21" t="s">
        <v>2049</v>
      </c>
      <c r="B508" s="22" t="s">
        <v>1459</v>
      </c>
      <c r="C508" s="22" t="s">
        <v>1460</v>
      </c>
      <c r="D508" s="22" t="s">
        <v>1479</v>
      </c>
      <c r="E508" s="22" t="s">
        <v>19</v>
      </c>
      <c r="F508" s="22" t="s">
        <v>1473</v>
      </c>
      <c r="G508" s="22">
        <v>18.329999999999998</v>
      </c>
      <c r="H508" s="22">
        <v>1</v>
      </c>
      <c r="I508" s="22">
        <v>0.91649999999999998</v>
      </c>
      <c r="J508" s="23">
        <v>19.246500000000001</v>
      </c>
      <c r="K508" s="24">
        <v>43498</v>
      </c>
      <c r="L508" s="25">
        <v>0.78472222222222221</v>
      </c>
      <c r="M508" s="22" t="s">
        <v>1464</v>
      </c>
      <c r="N508" s="26">
        <v>18.329999999999998</v>
      </c>
      <c r="O508" s="27">
        <f t="shared" si="7"/>
        <v>4.761904762E-2</v>
      </c>
      <c r="P508" s="23">
        <v>0.91649999999999998</v>
      </c>
      <c r="Q508" s="28">
        <v>4.3</v>
      </c>
    </row>
    <row r="509" spans="1:17" x14ac:dyDescent="0.35">
      <c r="A509" s="21" t="s">
        <v>2050</v>
      </c>
      <c r="B509" s="22" t="s">
        <v>1475</v>
      </c>
      <c r="C509" s="22" t="s">
        <v>1476</v>
      </c>
      <c r="D509" s="22" t="s">
        <v>1461</v>
      </c>
      <c r="E509" s="22" t="s">
        <v>27</v>
      </c>
      <c r="F509" s="22" t="s">
        <v>1486</v>
      </c>
      <c r="G509" s="22">
        <v>89.48</v>
      </c>
      <c r="H509" s="22">
        <v>10</v>
      </c>
      <c r="I509" s="22">
        <v>44.74</v>
      </c>
      <c r="J509" s="23">
        <v>939.54</v>
      </c>
      <c r="K509" s="24">
        <v>43617</v>
      </c>
      <c r="L509" s="25">
        <v>0.53194444444444444</v>
      </c>
      <c r="M509" s="22" t="s">
        <v>1477</v>
      </c>
      <c r="N509" s="26">
        <v>894.8</v>
      </c>
      <c r="O509" s="27">
        <f t="shared" si="7"/>
        <v>4.761904762E-2</v>
      </c>
      <c r="P509" s="23">
        <v>44.74</v>
      </c>
      <c r="Q509" s="28">
        <v>9.6</v>
      </c>
    </row>
    <row r="510" spans="1:17" x14ac:dyDescent="0.35">
      <c r="A510" s="21" t="s">
        <v>2051</v>
      </c>
      <c r="B510" s="22" t="s">
        <v>1475</v>
      </c>
      <c r="C510" s="22" t="s">
        <v>1476</v>
      </c>
      <c r="D510" s="22" t="s">
        <v>1461</v>
      </c>
      <c r="E510" s="22" t="s">
        <v>27</v>
      </c>
      <c r="F510" s="22" t="s">
        <v>1468</v>
      </c>
      <c r="G510" s="22">
        <v>62.12</v>
      </c>
      <c r="H510" s="22">
        <v>10</v>
      </c>
      <c r="I510" s="22">
        <v>31.06</v>
      </c>
      <c r="J510" s="23">
        <v>652.26</v>
      </c>
      <c r="K510" s="24">
        <v>43771</v>
      </c>
      <c r="L510" s="25">
        <v>0.67986111111111114</v>
      </c>
      <c r="M510" s="22" t="s">
        <v>1464</v>
      </c>
      <c r="N510" s="26">
        <v>621.20000000000005</v>
      </c>
      <c r="O510" s="27">
        <f t="shared" si="7"/>
        <v>4.761904762E-2</v>
      </c>
      <c r="P510" s="23">
        <v>31.06</v>
      </c>
      <c r="Q510" s="28">
        <v>5.9</v>
      </c>
    </row>
    <row r="511" spans="1:17" x14ac:dyDescent="0.35">
      <c r="A511" s="21" t="s">
        <v>2052</v>
      </c>
      <c r="B511" s="22" t="s">
        <v>1466</v>
      </c>
      <c r="C511" s="22" t="s">
        <v>1467</v>
      </c>
      <c r="D511" s="22" t="s">
        <v>1479</v>
      </c>
      <c r="E511" s="22" t="s">
        <v>19</v>
      </c>
      <c r="F511" s="22" t="s">
        <v>1486</v>
      </c>
      <c r="G511" s="22">
        <v>48.52</v>
      </c>
      <c r="H511" s="22">
        <v>3</v>
      </c>
      <c r="I511" s="22">
        <v>7.2779999999999996</v>
      </c>
      <c r="J511" s="23">
        <v>152.83799999999999</v>
      </c>
      <c r="K511" s="24">
        <v>43588</v>
      </c>
      <c r="L511" s="25">
        <v>0.76180555555555551</v>
      </c>
      <c r="M511" s="22" t="s">
        <v>1469</v>
      </c>
      <c r="N511" s="26">
        <v>145.56</v>
      </c>
      <c r="O511" s="27">
        <f t="shared" si="7"/>
        <v>4.761904762E-2</v>
      </c>
      <c r="P511" s="23">
        <v>7.2779999999999996</v>
      </c>
      <c r="Q511" s="28">
        <v>4</v>
      </c>
    </row>
    <row r="512" spans="1:17" x14ac:dyDescent="0.35">
      <c r="A512" s="21" t="s">
        <v>2053</v>
      </c>
      <c r="B512" s="22" t="s">
        <v>1475</v>
      </c>
      <c r="C512" s="22" t="s">
        <v>1476</v>
      </c>
      <c r="D512" s="22" t="s">
        <v>1461</v>
      </c>
      <c r="E512" s="22" t="s">
        <v>19</v>
      </c>
      <c r="F512" s="22" t="s">
        <v>1462</v>
      </c>
      <c r="G512" s="22">
        <v>75.91</v>
      </c>
      <c r="H512" s="22">
        <v>6</v>
      </c>
      <c r="I512" s="22">
        <v>22.773</v>
      </c>
      <c r="J512" s="23">
        <v>478.233</v>
      </c>
      <c r="K512" s="24">
        <v>43711</v>
      </c>
      <c r="L512" s="25">
        <v>0.76458333333333328</v>
      </c>
      <c r="M512" s="22" t="s">
        <v>1464</v>
      </c>
      <c r="N512" s="26">
        <v>455.46</v>
      </c>
      <c r="O512" s="27">
        <f t="shared" si="7"/>
        <v>4.761904762E-2</v>
      </c>
      <c r="P512" s="23">
        <v>22.773</v>
      </c>
      <c r="Q512" s="28">
        <v>8.6999999999999993</v>
      </c>
    </row>
  </sheetData>
  <mergeCells count="2">
    <mergeCell ref="S2:W3"/>
    <mergeCell ref="Y2:Z3"/>
  </mergeCells>
  <conditionalFormatting sqref="Q1">
    <cfRule type="dataBar" priority="3">
      <dataBar>
        <cfvo type="min"/>
        <cfvo type="max"/>
        <color rgb="FFD6007B"/>
      </dataBar>
      <extLst>
        <ext xmlns:x14="http://schemas.microsoft.com/office/spreadsheetml/2009/9/main" uri="{B025F937-C7B1-47D3-B67F-A62EFF666E3E}">
          <x14:id>{2555B8FE-D402-4BFB-9E56-704457D0342E}</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555B8FE-D402-4BFB-9E56-704457D0342E}">
            <x14:dataBar minLength="0" maxLength="100" border="1" negativeBarBorderColorSameAsPositive="0">
              <x14:cfvo type="autoMin"/>
              <x14:cfvo type="autoMax"/>
              <x14:borderColor rgb="FFD6007B"/>
              <x14:negativeFillColor rgb="FFFF0000"/>
              <x14:negativeBorderColor rgb="FFFF0000"/>
              <x14:axisColor rgb="FF000000"/>
            </x14:dataBar>
          </x14:cfRule>
          <xm:sqref>Q1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EC5BF-41DD-46BE-8943-C9E210C15DA5}">
  <sheetPr codeName="Sheet5"/>
  <dimension ref="B2:H27"/>
  <sheetViews>
    <sheetView workbookViewId="0">
      <selection activeCell="C29" sqref="C29"/>
    </sheetView>
  </sheetViews>
  <sheetFormatPr defaultRowHeight="14.5" x14ac:dyDescent="0.35"/>
  <cols>
    <col min="2" max="2" width="22.36328125" bestFit="1" customWidth="1"/>
    <col min="3" max="3" width="17.6328125" bestFit="1" customWidth="1"/>
    <col min="4" max="4" width="20.36328125" bestFit="1" customWidth="1"/>
    <col min="5" max="5" width="17.7265625" bestFit="1" customWidth="1"/>
    <col min="6" max="6" width="16.08984375" bestFit="1" customWidth="1"/>
    <col min="7" max="7" width="19" bestFit="1" customWidth="1"/>
    <col min="8" max="8" width="18.453125" bestFit="1" customWidth="1"/>
    <col min="11" max="11" width="11.08984375" bestFit="1" customWidth="1"/>
    <col min="12" max="12" width="9.54296875" bestFit="1" customWidth="1"/>
    <col min="13" max="13" width="13.26953125" bestFit="1" customWidth="1"/>
    <col min="14" max="14" width="7" bestFit="1" customWidth="1"/>
    <col min="15" max="15" width="18.90625" bestFit="1" customWidth="1"/>
    <col min="17" max="17" width="9.90625" bestFit="1" customWidth="1"/>
    <col min="18" max="18" width="11.08984375" bestFit="1" customWidth="1"/>
  </cols>
  <sheetData>
    <row r="2" spans="2:8" x14ac:dyDescent="0.35">
      <c r="C2" s="69" t="s">
        <v>2062</v>
      </c>
      <c r="D2" s="69"/>
      <c r="E2" s="69"/>
      <c r="F2" s="69"/>
      <c r="G2" s="69"/>
      <c r="H2" s="69"/>
    </row>
    <row r="3" spans="2:8" ht="16.5" customHeight="1" x14ac:dyDescent="0.35">
      <c r="B3" s="5"/>
      <c r="C3" s="38" t="s">
        <v>1473</v>
      </c>
      <c r="D3" s="38" t="s">
        <v>1462</v>
      </c>
      <c r="E3" s="38" t="s">
        <v>1482</v>
      </c>
      <c r="F3" s="38" t="s">
        <v>1501</v>
      </c>
      <c r="G3" s="38" t="s">
        <v>1486</v>
      </c>
      <c r="H3" s="38" t="s">
        <v>1468</v>
      </c>
    </row>
    <row r="4" spans="2:8" ht="16" customHeight="1" x14ac:dyDescent="0.35">
      <c r="B4" s="38" t="s">
        <v>2054</v>
      </c>
      <c r="C4" s="39">
        <f>AVERAGEIF(SupermarketData!$F$2:$F$512,IFS!C3,SupermarketData!$H$2:$H$512)</f>
        <v>5.6385542168674698</v>
      </c>
      <c r="D4" s="39">
        <f>AVERAGEIF(SupermarketData!F1:F512,IFS!D3,SupermarketData!H1:H512)</f>
        <v>5.8390804597701154</v>
      </c>
      <c r="E4" s="39">
        <f>AVERAGEIF(SupermarketData!F:F,IFS!E3,SupermarketData!H:H)</f>
        <v>5.5064935064935066</v>
      </c>
      <c r="F4" s="39">
        <f>AVERAGEIF(SupermarketData!F:F,IFS!F3,SupermarketData!H:H)</f>
        <v>5.4197530864197532</v>
      </c>
      <c r="G4" s="39">
        <f>AVERAGEIF(SupermarketData!F:F,IFS!G3,SupermarketData!H:H)</f>
        <v>5.2527472527472527</v>
      </c>
      <c r="H4" s="39">
        <f>AVERAGEIF(SupermarketData!F:F,IFS!H3,SupermarketData!H:H)</f>
        <v>4.8260869565217392</v>
      </c>
    </row>
    <row r="5" spans="2:8" ht="16" customHeight="1" x14ac:dyDescent="0.35">
      <c r="B5" s="38" t="s">
        <v>2055</v>
      </c>
      <c r="C5" s="39">
        <f>AVERAGEIF(SupermarketData!$F:$F,IFS!C$3,SupermarketData!$J:$J)</f>
        <v>334.8284277108433</v>
      </c>
      <c r="D5" s="39">
        <f>AVERAGEIF(SupermarketData!$F:$F,IFS!D$3,SupermarketData!$J:$J)</f>
        <v>351.00099999999992</v>
      </c>
      <c r="E5" s="39">
        <f>AVERAGEIF(SupermarketData!$F:$F,IFS!E$3,SupermarketData!$J:$J)</f>
        <v>331.5058636363637</v>
      </c>
      <c r="F5" s="39">
        <f>AVERAGEIF(SupermarketData!$F:$F,IFS!F$3,SupermarketData!$J:$J)</f>
        <v>319.86746296296303</v>
      </c>
      <c r="G5" s="39">
        <f>AVERAGEIF(SupermarketData!$F:$F,IFS!G$3,SupermarketData!$J:$J)</f>
        <v>324.08734615384611</v>
      </c>
      <c r="H5" s="39">
        <f>AVERAGEIF(SupermarketData!$F:$F,IFS!H$3,SupermarketData!$J:$J)</f>
        <v>295.31809239130433</v>
      </c>
    </row>
    <row r="6" spans="2:8" ht="15.5" x14ac:dyDescent="0.35">
      <c r="B6" s="38" t="s">
        <v>2056</v>
      </c>
      <c r="C6" s="39">
        <f>_xlfn.MINIFS(SupermarketData!$J:$J,SupermarketData!$F:$F,IFS!C$3)</f>
        <v>18.637499999999999</v>
      </c>
      <c r="D6" s="39">
        <f>_xlfn.MINIFS(SupermarketData!$J:$J,SupermarketData!$F:$F,IFS!D$3)</f>
        <v>26.7225</v>
      </c>
      <c r="E6" s="39">
        <f>_xlfn.MINIFS(SupermarketData!$J:$J,SupermarketData!$F:$F,IFS!E$3)</f>
        <v>26.733000000000001</v>
      </c>
      <c r="F6" s="39">
        <f>_xlfn.MINIFS(SupermarketData!$J:$J,SupermarketData!$F:$F,IFS!F$3)</f>
        <v>10.6785</v>
      </c>
      <c r="G6" s="39">
        <f>_xlfn.MINIFS(SupermarketData!$J:$J,SupermarketData!$F:$F,IFS!G$3)</f>
        <v>31.227</v>
      </c>
      <c r="H6" s="39">
        <f>_xlfn.MINIFS(SupermarketData!$J:$J,SupermarketData!$F:$F,IFS!H$3)</f>
        <v>12.6945</v>
      </c>
    </row>
    <row r="7" spans="2:8" ht="15.5" x14ac:dyDescent="0.35">
      <c r="B7" s="38" t="s">
        <v>2057</v>
      </c>
      <c r="C7" s="39">
        <f>_xlfn.MAXIFS(SupermarketData!$J:$J,SupermarketData!$F:$F,IFS!C$3)</f>
        <v>888.40499999999997</v>
      </c>
      <c r="D7" s="39">
        <f>_xlfn.MAXIFS(SupermarketData!$J:$J,SupermarketData!$F:$F,IFS!D$3)</f>
        <v>864.57</v>
      </c>
      <c r="E7" s="39">
        <f>_xlfn.MAXIFS(SupermarketData!$J:$J,SupermarketData!$F:$F,IFS!E$3)</f>
        <v>1023.75</v>
      </c>
      <c r="F7" s="39">
        <f>_xlfn.MAXIFS(SupermarketData!$J:$J,SupermarketData!$F:$F,IFS!F$3)</f>
        <v>921.18600000000004</v>
      </c>
      <c r="G7" s="39">
        <f>_xlfn.MAXIFS(SupermarketData!$J:$J,SupermarketData!$F:$F,IFS!G$3)</f>
        <v>1034.46</v>
      </c>
      <c r="H7" s="39">
        <f>_xlfn.MAXIFS(SupermarketData!$J:$J,SupermarketData!$F:$F,IFS!H$3)</f>
        <v>943.29899999999998</v>
      </c>
    </row>
    <row r="11" spans="2:8" x14ac:dyDescent="0.35">
      <c r="C11" s="69" t="s">
        <v>2063</v>
      </c>
      <c r="D11" s="69"/>
      <c r="E11" s="69"/>
    </row>
    <row r="12" spans="2:8" ht="15.5" x14ac:dyDescent="0.35">
      <c r="B12" s="5"/>
      <c r="C12" s="37" t="s">
        <v>2058</v>
      </c>
      <c r="D12" s="37" t="s">
        <v>2059</v>
      </c>
      <c r="E12" s="37" t="s">
        <v>2060</v>
      </c>
    </row>
    <row r="13" spans="2:8" ht="15.5" x14ac:dyDescent="0.35">
      <c r="B13" s="38" t="s">
        <v>1473</v>
      </c>
      <c r="C13" s="39">
        <f>COUNTIF(SupermarketData!$F:$F,IFS!$B13)</f>
        <v>83</v>
      </c>
      <c r="D13" s="39">
        <f>SUMIF(SupermarketData!$F:$F,IFS!$B13,SupermarketData!$H:$H)</f>
        <v>468</v>
      </c>
      <c r="E13" s="40">
        <f>SUMIF(SupermarketData!$F:$F,IFS!$B13,SupermarketData!$J:$J)</f>
        <v>27790.759499999993</v>
      </c>
    </row>
    <row r="14" spans="2:8" ht="15.5" x14ac:dyDescent="0.35">
      <c r="B14" s="38" t="s">
        <v>1462</v>
      </c>
      <c r="C14" s="39">
        <f>COUNTIF(SupermarketData!$F:$F,IFS!$B14)</f>
        <v>87</v>
      </c>
      <c r="D14" s="39">
        <f>SUMIF(SupermarketData!$F:$F,IFS!$B14,SupermarketData!$H:$H)</f>
        <v>508</v>
      </c>
      <c r="E14" s="40">
        <f>SUMIF(SupermarketData!$F:$F,IFS!$B14,SupermarketData!$J:$J)</f>
        <v>30537.086999999992</v>
      </c>
    </row>
    <row r="15" spans="2:8" ht="15.5" x14ac:dyDescent="0.35">
      <c r="B15" s="38" t="s">
        <v>1482</v>
      </c>
      <c r="C15" s="39">
        <f>COUNTIF(SupermarketData!$F:$F,IFS!$B15)</f>
        <v>77</v>
      </c>
      <c r="D15" s="39">
        <f>SUMIF(SupermarketData!$F:$F,IFS!$B15,SupermarketData!$H:$H)</f>
        <v>424</v>
      </c>
      <c r="E15" s="40">
        <f>SUMIF(SupermarketData!$F:$F,IFS!$B15,SupermarketData!$J:$J)</f>
        <v>25525.951500000003</v>
      </c>
    </row>
    <row r="16" spans="2:8" ht="15.5" x14ac:dyDescent="0.35">
      <c r="B16" s="38" t="s">
        <v>1501</v>
      </c>
      <c r="C16" s="39">
        <f>COUNTIF(SupermarketData!$F:$F,IFS!$B16)</f>
        <v>81</v>
      </c>
      <c r="D16" s="39">
        <f>SUMIF(SupermarketData!$F:$F,IFS!$B16,SupermarketData!$H:$H)</f>
        <v>439</v>
      </c>
      <c r="E16" s="40">
        <f>SUMIF(SupermarketData!$F:$F,IFS!$B16,SupermarketData!$J:$J)</f>
        <v>25909.264500000005</v>
      </c>
    </row>
    <row r="17" spans="2:8" ht="15.5" x14ac:dyDescent="0.35">
      <c r="B17" s="38" t="s">
        <v>1486</v>
      </c>
      <c r="C17" s="39">
        <f>COUNTIF(SupermarketData!$F:$F,IFS!$B17)</f>
        <v>91</v>
      </c>
      <c r="D17" s="39">
        <f>SUMIF(SupermarketData!$F:$F,IFS!$B17,SupermarketData!$H:$H)</f>
        <v>478</v>
      </c>
      <c r="E17" s="40">
        <f>SUMIF(SupermarketData!$F:$F,IFS!$B17,SupermarketData!$J:$J)</f>
        <v>29491.948499999999</v>
      </c>
    </row>
    <row r="18" spans="2:8" ht="15.5" x14ac:dyDescent="0.35">
      <c r="B18" s="38" t="s">
        <v>1468</v>
      </c>
      <c r="C18" s="39">
        <f>COUNTIF(SupermarketData!$F:$F,IFS!$B18)</f>
        <v>92</v>
      </c>
      <c r="D18" s="39">
        <f>SUMIF(SupermarketData!$F:$F,IFS!$B18,SupermarketData!$H:$H)</f>
        <v>444</v>
      </c>
      <c r="E18" s="40">
        <f>SUMIF(SupermarketData!$F:$F,IFS!$B18,SupermarketData!$J:$J)</f>
        <v>27169.264499999997</v>
      </c>
    </row>
    <row r="23" spans="2:8" x14ac:dyDescent="0.35">
      <c r="C23" s="69" t="s">
        <v>2061</v>
      </c>
      <c r="D23" s="69"/>
      <c r="E23" s="69"/>
      <c r="F23" s="69"/>
      <c r="G23" s="69"/>
      <c r="H23" s="69"/>
    </row>
    <row r="24" spans="2:8" ht="15.5" x14ac:dyDescent="0.35">
      <c r="C24" s="35" t="s">
        <v>1473</v>
      </c>
      <c r="D24" s="35" t="s">
        <v>1462</v>
      </c>
      <c r="E24" s="35" t="s">
        <v>1482</v>
      </c>
      <c r="F24" s="35" t="s">
        <v>1501</v>
      </c>
      <c r="G24" s="35" t="s">
        <v>1486</v>
      </c>
      <c r="H24" s="35" t="s">
        <v>1468</v>
      </c>
    </row>
    <row r="25" spans="2:8" ht="15.5" x14ac:dyDescent="0.35">
      <c r="B25" s="38" t="s">
        <v>1477</v>
      </c>
      <c r="C25" s="36">
        <f>COUNTIFS(SupermarketData!$F:$F,IFS!C$24,SupermarketData!$M:$M,IFS!$B25)</f>
        <v>28</v>
      </c>
      <c r="D25" s="36">
        <f>COUNTIFS(SupermarketData!$F:$F,IFS!D$24,SupermarketData!$M:$M,IFS!$B25)</f>
        <v>24</v>
      </c>
      <c r="E25" s="36">
        <f>COUNTIFS(SupermarketData!$F:$F,IFS!E$24,SupermarketData!$M:$M,IFS!$B25)</f>
        <v>19</v>
      </c>
      <c r="F25" s="36">
        <f>COUNTIFS(SupermarketData!$F:$F,IFS!F$24,SupermarketData!$M:$M,IFS!$B25)</f>
        <v>26</v>
      </c>
      <c r="G25" s="36">
        <f>COUNTIFS(SupermarketData!$F:$F,IFS!G$24,SupermarketData!$M:$M,IFS!$B25)</f>
        <v>27</v>
      </c>
      <c r="H25" s="36">
        <f>COUNTIFS(SupermarketData!$F:$F,IFS!H$24,SupermarketData!$M:$M,IFS!$B25)</f>
        <v>27</v>
      </c>
    </row>
    <row r="26" spans="2:8" ht="15.5" x14ac:dyDescent="0.35">
      <c r="B26" s="38" t="s">
        <v>1464</v>
      </c>
      <c r="C26" s="36">
        <f>COUNTIFS(SupermarketData!$F:$F,IFS!C$24,SupermarketData!$M:$M,IFS!$B26)</f>
        <v>30</v>
      </c>
      <c r="D26" s="36">
        <f>COUNTIFS(SupermarketData!$F:$F,IFS!D$24,SupermarketData!$M:$M,IFS!$B26)</f>
        <v>30</v>
      </c>
      <c r="E26" s="36">
        <f>COUNTIFS(SupermarketData!$F:$F,IFS!E$24,SupermarketData!$M:$M,IFS!$B26)</f>
        <v>26</v>
      </c>
      <c r="F26" s="36">
        <f>COUNTIFS(SupermarketData!$F:$F,IFS!F$24,SupermarketData!$M:$M,IFS!$B26)</f>
        <v>25</v>
      </c>
      <c r="G26" s="36">
        <f>COUNTIFS(SupermarketData!$F:$F,IFS!G$24,SupermarketData!$M:$M,IFS!$B26)</f>
        <v>33</v>
      </c>
      <c r="H26" s="36">
        <f>COUNTIFS(SupermarketData!$F:$F,IFS!H$24,SupermarketData!$M:$M,IFS!$B26)</f>
        <v>30</v>
      </c>
    </row>
    <row r="27" spans="2:8" ht="15.5" x14ac:dyDescent="0.35">
      <c r="B27" s="38" t="s">
        <v>1469</v>
      </c>
      <c r="C27" s="36">
        <f>COUNTIFS(SupermarketData!$F:$F,IFS!C$24,SupermarketData!$M:$M,IFS!$B27)</f>
        <v>25</v>
      </c>
      <c r="D27" s="36">
        <f>COUNTIFS(SupermarketData!$F:$F,IFS!D$24,SupermarketData!$M:$M,IFS!$B27)</f>
        <v>33</v>
      </c>
      <c r="E27" s="36">
        <f>COUNTIFS(SupermarketData!$F:$F,IFS!E$24,SupermarketData!$M:$M,IFS!$B27)</f>
        <v>32</v>
      </c>
      <c r="F27" s="36">
        <f>COUNTIFS(SupermarketData!$F:$F,IFS!F$24,SupermarketData!$M:$M,IFS!$B27)</f>
        <v>30</v>
      </c>
      <c r="G27" s="36">
        <f>COUNTIFS(SupermarketData!$F:$F,IFS!G$24,SupermarketData!$M:$M,IFS!$B27)</f>
        <v>31</v>
      </c>
      <c r="H27" s="36">
        <f>COUNTIFS(SupermarketData!$F:$F,IFS!H$24,SupermarketData!$M:$M,IFS!$B27)</f>
        <v>35</v>
      </c>
    </row>
  </sheetData>
  <mergeCells count="3">
    <mergeCell ref="C23:H23"/>
    <mergeCell ref="C2:H2"/>
    <mergeCell ref="C11:E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1A643-1290-4626-B98F-09DC1B5180A4}">
  <sheetPr codeName="Sheet6"/>
  <dimension ref="A1:R525"/>
  <sheetViews>
    <sheetView workbookViewId="0">
      <selection activeCell="R8" sqref="R8"/>
    </sheetView>
  </sheetViews>
  <sheetFormatPr defaultRowHeight="14.5" x14ac:dyDescent="0.35"/>
  <cols>
    <col min="1" max="1" width="10" customWidth="1"/>
    <col min="2" max="2" width="13.26953125" customWidth="1"/>
    <col min="3" max="3" width="18.90625" bestFit="1" customWidth="1"/>
    <col min="4" max="4" width="10.90625" customWidth="1"/>
    <col min="5" max="5" width="10.1796875" customWidth="1"/>
    <col min="6" max="6" width="12.453125" customWidth="1"/>
    <col min="8" max="8" width="24.453125" bestFit="1" customWidth="1"/>
    <col min="13" max="13" width="9.54296875" bestFit="1" customWidth="1"/>
    <col min="14" max="14" width="24.54296875" bestFit="1" customWidth="1"/>
    <col min="15" max="15" width="12.1796875" bestFit="1" customWidth="1"/>
    <col min="17" max="17" width="12.1796875" bestFit="1" customWidth="1"/>
  </cols>
  <sheetData>
    <row r="1" spans="1:18" x14ac:dyDescent="0.35">
      <c r="A1" s="55" t="s">
        <v>2066</v>
      </c>
      <c r="B1" s="56" t="s">
        <v>2067</v>
      </c>
      <c r="C1" s="56" t="s">
        <v>2068</v>
      </c>
      <c r="D1" s="56" t="s">
        <v>2069</v>
      </c>
      <c r="E1" s="56" t="s">
        <v>1984</v>
      </c>
      <c r="F1" s="57" t="s">
        <v>2070</v>
      </c>
    </row>
    <row r="2" spans="1:18" x14ac:dyDescent="0.35">
      <c r="A2" s="43" t="s">
        <v>14</v>
      </c>
      <c r="B2" s="11" t="s">
        <v>1458</v>
      </c>
      <c r="C2" s="11" t="s">
        <v>1462</v>
      </c>
      <c r="D2" s="11">
        <v>66.06</v>
      </c>
      <c r="E2" s="11">
        <v>6</v>
      </c>
      <c r="F2" s="44">
        <v>416.178</v>
      </c>
      <c r="H2" s="71" t="s">
        <v>2071</v>
      </c>
      <c r="I2" s="71"/>
      <c r="J2" s="71"/>
      <c r="K2" s="50"/>
      <c r="L2" s="50"/>
    </row>
    <row r="3" spans="1:18" x14ac:dyDescent="0.35">
      <c r="A3" s="43" t="s">
        <v>23</v>
      </c>
      <c r="B3" s="11" t="s">
        <v>1465</v>
      </c>
      <c r="C3" s="11" t="s">
        <v>1468</v>
      </c>
      <c r="D3" s="11">
        <v>57.27</v>
      </c>
      <c r="E3" s="11">
        <v>3</v>
      </c>
      <c r="F3" s="44">
        <v>180.40049999999999</v>
      </c>
      <c r="G3" s="71" t="s">
        <v>2072</v>
      </c>
      <c r="H3" s="71"/>
      <c r="I3" s="71"/>
      <c r="J3" s="71"/>
      <c r="K3" s="71"/>
      <c r="L3" s="71"/>
    </row>
    <row r="4" spans="1:18" x14ac:dyDescent="0.35">
      <c r="A4" s="43" t="s">
        <v>31</v>
      </c>
      <c r="B4" s="11" t="s">
        <v>1470</v>
      </c>
      <c r="C4" s="11" t="s">
        <v>1468</v>
      </c>
      <c r="D4" s="11">
        <v>54.31</v>
      </c>
      <c r="E4" s="11">
        <v>9</v>
      </c>
      <c r="F4" s="44">
        <v>513.22950000000003</v>
      </c>
      <c r="H4" s="51" t="s">
        <v>2073</v>
      </c>
      <c r="I4" s="51">
        <v>5</v>
      </c>
      <c r="J4" s="50"/>
      <c r="K4" s="50"/>
      <c r="L4" s="50"/>
      <c r="M4" s="70" t="s">
        <v>2084</v>
      </c>
      <c r="N4" s="70"/>
    </row>
    <row r="5" spans="1:18" ht="15" thickBot="1" x14ac:dyDescent="0.4">
      <c r="A5" s="43" t="s">
        <v>38</v>
      </c>
      <c r="B5" s="11" t="s">
        <v>1472</v>
      </c>
      <c r="C5" s="11" t="s">
        <v>1473</v>
      </c>
      <c r="D5" s="11">
        <v>58.24</v>
      </c>
      <c r="E5" s="11">
        <v>9</v>
      </c>
      <c r="F5" s="44">
        <v>550.36800000000005</v>
      </c>
      <c r="H5" s="50" t="s">
        <v>2074</v>
      </c>
      <c r="I5" s="52">
        <f>AVERAGE(INDEX(Table1[],,I4))</f>
        <v>5.4031311154598827</v>
      </c>
      <c r="J5" s="50"/>
      <c r="K5" s="50"/>
      <c r="L5" s="50"/>
      <c r="M5" s="58" t="s">
        <v>12</v>
      </c>
      <c r="N5" s="58" t="s">
        <v>2</v>
      </c>
      <c r="O5" s="58" t="s">
        <v>9</v>
      </c>
    </row>
    <row r="6" spans="1:18" x14ac:dyDescent="0.35">
      <c r="A6" s="43" t="s">
        <v>41</v>
      </c>
      <c r="B6" s="11" t="s">
        <v>1474</v>
      </c>
      <c r="C6" s="11" t="s">
        <v>1462</v>
      </c>
      <c r="D6" s="11">
        <v>22.21</v>
      </c>
      <c r="E6" s="11">
        <v>6</v>
      </c>
      <c r="F6" s="44">
        <v>139.923</v>
      </c>
      <c r="M6" s="5" t="s">
        <v>1460</v>
      </c>
      <c r="N6" s="5" t="s">
        <v>16</v>
      </c>
      <c r="O6" s="61">
        <v>141604</v>
      </c>
      <c r="Q6" t="s">
        <v>12</v>
      </c>
      <c r="R6" t="s">
        <v>2090</v>
      </c>
    </row>
    <row r="7" spans="1:18" x14ac:dyDescent="0.35">
      <c r="A7" s="43" t="s">
        <v>45</v>
      </c>
      <c r="B7" s="11" t="s">
        <v>1478</v>
      </c>
      <c r="C7" s="11" t="s">
        <v>1462</v>
      </c>
      <c r="D7" s="11">
        <v>19.32</v>
      </c>
      <c r="E7" s="11">
        <v>7</v>
      </c>
      <c r="F7" s="44">
        <v>142.00200000000001</v>
      </c>
      <c r="M7" s="5" t="s">
        <v>1467</v>
      </c>
      <c r="N7" s="5" t="s">
        <v>25</v>
      </c>
      <c r="O7" s="62">
        <v>99975</v>
      </c>
      <c r="Q7" t="s">
        <v>2</v>
      </c>
      <c r="R7" t="s">
        <v>52</v>
      </c>
    </row>
    <row r="8" spans="1:18" ht="15.5" customHeight="1" x14ac:dyDescent="0.35">
      <c r="A8" s="43" t="s">
        <v>50</v>
      </c>
      <c r="B8" s="11" t="s">
        <v>1481</v>
      </c>
      <c r="C8" s="11" t="s">
        <v>1482</v>
      </c>
      <c r="D8" s="11">
        <v>37.479999999999997</v>
      </c>
      <c r="E8" s="11">
        <v>3</v>
      </c>
      <c r="F8" s="44">
        <v>118.062</v>
      </c>
      <c r="H8" s="70" t="s">
        <v>2075</v>
      </c>
      <c r="I8" s="70"/>
      <c r="J8" s="70"/>
      <c r="K8" s="70"/>
      <c r="M8" s="5" t="s">
        <v>1476</v>
      </c>
      <c r="N8" s="5" t="s">
        <v>33</v>
      </c>
      <c r="O8" s="62">
        <v>163099</v>
      </c>
      <c r="Q8" t="s">
        <v>9</v>
      </c>
      <c r="R8" s="65" cm="1">
        <f t="array" ref="R8">INDEX(O6:O16,MATCH(R6&amp;R7,M6:M16&amp;N6:N16))</f>
        <v>113527</v>
      </c>
    </row>
    <row r="9" spans="1:18" ht="15.5" x14ac:dyDescent="0.35">
      <c r="A9" s="43" t="s">
        <v>53</v>
      </c>
      <c r="B9" s="11" t="s">
        <v>1484</v>
      </c>
      <c r="C9" s="11" t="s">
        <v>1468</v>
      </c>
      <c r="D9" s="11">
        <v>72.040000000000006</v>
      </c>
      <c r="E9" s="11">
        <v>2</v>
      </c>
      <c r="F9" s="44">
        <v>151.28399999999999</v>
      </c>
      <c r="H9" s="72" t="s">
        <v>2076</v>
      </c>
      <c r="I9" s="72"/>
      <c r="J9" s="49"/>
      <c r="M9" s="5" t="s">
        <v>2085</v>
      </c>
      <c r="N9" s="5" t="s">
        <v>40</v>
      </c>
      <c r="O9" s="62">
        <v>84913</v>
      </c>
    </row>
    <row r="10" spans="1:18" ht="15.5" x14ac:dyDescent="0.35">
      <c r="A10" s="43" t="s">
        <v>57</v>
      </c>
      <c r="B10" s="11" t="s">
        <v>1485</v>
      </c>
      <c r="C10" s="11" t="s">
        <v>1486</v>
      </c>
      <c r="D10" s="11">
        <v>98.52</v>
      </c>
      <c r="E10" s="11">
        <v>10</v>
      </c>
      <c r="F10" s="44">
        <v>1034.46</v>
      </c>
      <c r="H10" s="48" t="s">
        <v>2077</v>
      </c>
      <c r="I10" s="48">
        <v>50</v>
      </c>
      <c r="J10" s="49"/>
      <c r="M10" s="5" t="s">
        <v>2086</v>
      </c>
      <c r="N10" s="5" t="s">
        <v>43</v>
      </c>
      <c r="O10" s="62">
        <v>95409</v>
      </c>
    </row>
    <row r="11" spans="1:18" ht="15.5" x14ac:dyDescent="0.35">
      <c r="A11" s="43" t="s">
        <v>61</v>
      </c>
      <c r="B11" s="11" t="s">
        <v>1488</v>
      </c>
      <c r="C11" s="11" t="s">
        <v>1486</v>
      </c>
      <c r="D11" s="11">
        <v>41.66</v>
      </c>
      <c r="E11" s="11">
        <v>6</v>
      </c>
      <c r="F11" s="44">
        <v>262.45800000000003</v>
      </c>
      <c r="H11" s="48" t="s">
        <v>2078</v>
      </c>
      <c r="I11" s="53">
        <v>6</v>
      </c>
      <c r="J11" s="49"/>
      <c r="M11" s="5" t="s">
        <v>2087</v>
      </c>
      <c r="N11" s="5" t="s">
        <v>47</v>
      </c>
      <c r="O11" s="62">
        <v>50994</v>
      </c>
    </row>
    <row r="12" spans="1:18" x14ac:dyDescent="0.35">
      <c r="A12" s="43" t="s">
        <v>63</v>
      </c>
      <c r="B12" s="11" t="s">
        <v>1489</v>
      </c>
      <c r="C12" s="11" t="s">
        <v>1482</v>
      </c>
      <c r="D12" s="11">
        <v>72.42</v>
      </c>
      <c r="E12" s="11">
        <v>3</v>
      </c>
      <c r="F12" s="44">
        <v>228.12299999999999</v>
      </c>
      <c r="H12" s="5" t="s">
        <v>2074</v>
      </c>
      <c r="I12" s="54">
        <f>AVERAGE(INDEX(Table1[],2,I11):INDEX(Table1[],I10,I11))</f>
        <v>316.43271428571427</v>
      </c>
      <c r="M12" s="5" t="s">
        <v>2088</v>
      </c>
      <c r="N12" s="5" t="s">
        <v>52</v>
      </c>
      <c r="O12" s="62">
        <v>119746</v>
      </c>
    </row>
    <row r="13" spans="1:18" ht="15" thickBot="1" x14ac:dyDescent="0.4">
      <c r="A13" s="43" t="s">
        <v>66</v>
      </c>
      <c r="B13" s="11" t="s">
        <v>1491</v>
      </c>
      <c r="C13" s="11" t="s">
        <v>1462</v>
      </c>
      <c r="D13" s="11">
        <v>21.58</v>
      </c>
      <c r="E13" s="11">
        <v>9</v>
      </c>
      <c r="F13" s="44">
        <v>203.93100000000001</v>
      </c>
      <c r="M13" s="5" t="s">
        <v>2089</v>
      </c>
      <c r="N13" s="5" t="s">
        <v>55</v>
      </c>
      <c r="O13" s="62">
        <v>41336</v>
      </c>
    </row>
    <row r="14" spans="1:18" ht="15" thickBot="1" x14ac:dyDescent="0.4">
      <c r="A14" s="43" t="s">
        <v>70</v>
      </c>
      <c r="B14" s="11" t="s">
        <v>1493</v>
      </c>
      <c r="C14" s="11" t="s">
        <v>1486</v>
      </c>
      <c r="D14" s="11">
        <v>89.2</v>
      </c>
      <c r="E14" s="11">
        <v>10</v>
      </c>
      <c r="F14" s="44">
        <v>936.6</v>
      </c>
      <c r="M14" s="59" t="s">
        <v>2090</v>
      </c>
      <c r="N14" s="60" t="s">
        <v>52</v>
      </c>
      <c r="O14" s="64">
        <v>113527</v>
      </c>
    </row>
    <row r="15" spans="1:18" ht="15.5" customHeight="1" x14ac:dyDescent="0.35">
      <c r="A15" s="43" t="s">
        <v>72</v>
      </c>
      <c r="B15" s="11" t="s">
        <v>1494</v>
      </c>
      <c r="C15" s="11" t="s">
        <v>1462</v>
      </c>
      <c r="D15" s="11">
        <v>42.42</v>
      </c>
      <c r="E15" s="11">
        <v>8</v>
      </c>
      <c r="F15" s="44">
        <v>356.32799999999997</v>
      </c>
      <c r="H15" s="70" t="s">
        <v>2079</v>
      </c>
      <c r="I15" s="70"/>
      <c r="J15" s="70"/>
      <c r="M15" s="5" t="s">
        <v>2091</v>
      </c>
      <c r="N15" s="5" t="s">
        <v>43</v>
      </c>
      <c r="O15" s="62">
        <v>77203</v>
      </c>
    </row>
    <row r="16" spans="1:18" ht="16" thickBot="1" x14ac:dyDescent="0.4">
      <c r="A16" s="43" t="s">
        <v>75</v>
      </c>
      <c r="B16" s="11" t="s">
        <v>1495</v>
      </c>
      <c r="C16" s="11" t="s">
        <v>1462</v>
      </c>
      <c r="D16" s="11">
        <v>74.510000000000005</v>
      </c>
      <c r="E16" s="11">
        <v>6</v>
      </c>
      <c r="F16" s="44">
        <v>469.41300000000001</v>
      </c>
      <c r="H16" s="48" t="s">
        <v>2080</v>
      </c>
      <c r="I16" s="48">
        <v>5</v>
      </c>
      <c r="J16" s="49"/>
      <c r="M16" s="5" t="s">
        <v>2092</v>
      </c>
      <c r="N16" s="5" t="s">
        <v>16</v>
      </c>
      <c r="O16" s="63">
        <v>157333</v>
      </c>
    </row>
    <row r="17" spans="1:15" ht="15.5" x14ac:dyDescent="0.35">
      <c r="A17" s="43" t="s">
        <v>77</v>
      </c>
      <c r="B17" s="11" t="s">
        <v>1497</v>
      </c>
      <c r="C17" s="11" t="s">
        <v>1468</v>
      </c>
      <c r="D17" s="11">
        <v>99.25</v>
      </c>
      <c r="E17" s="11">
        <v>2</v>
      </c>
      <c r="F17" s="44">
        <v>208.42500000000001</v>
      </c>
      <c r="H17" s="48" t="s">
        <v>2081</v>
      </c>
      <c r="I17" s="48">
        <v>65</v>
      </c>
      <c r="J17" s="49"/>
      <c r="N17" s="5"/>
      <c r="O17" s="7"/>
    </row>
    <row r="18" spans="1:15" ht="15.5" x14ac:dyDescent="0.35">
      <c r="A18" s="43" t="s">
        <v>81</v>
      </c>
      <c r="B18" s="11" t="s">
        <v>1498</v>
      </c>
      <c r="C18" s="11" t="s">
        <v>1486</v>
      </c>
      <c r="D18" s="11">
        <v>81.209999999999994</v>
      </c>
      <c r="E18" s="11">
        <v>10</v>
      </c>
      <c r="F18" s="44">
        <v>852.70500000000004</v>
      </c>
      <c r="H18" s="48" t="s">
        <v>2082</v>
      </c>
      <c r="I18" s="48">
        <v>5</v>
      </c>
      <c r="J18" s="49"/>
      <c r="N18" s="5"/>
      <c r="O18" s="7"/>
    </row>
    <row r="19" spans="1:15" x14ac:dyDescent="0.35">
      <c r="A19" s="43" t="s">
        <v>83</v>
      </c>
      <c r="B19" s="11" t="s">
        <v>1500</v>
      </c>
      <c r="C19" s="11" t="s">
        <v>1501</v>
      </c>
      <c r="D19" s="11">
        <v>49.33</v>
      </c>
      <c r="E19" s="11">
        <v>10</v>
      </c>
      <c r="F19" s="44">
        <v>517.96500000000003</v>
      </c>
      <c r="H19" s="48" t="s">
        <v>2083</v>
      </c>
      <c r="I19" s="54">
        <f>SUM(INDEX(Table1[],I16,I18):INDEX(Table1[],I17,I18))</f>
        <v>307</v>
      </c>
      <c r="N19" s="5"/>
      <c r="O19" s="7"/>
    </row>
    <row r="20" spans="1:15" x14ac:dyDescent="0.35">
      <c r="A20" s="43" t="s">
        <v>86</v>
      </c>
      <c r="B20" s="11" t="s">
        <v>1502</v>
      </c>
      <c r="C20" s="11" t="s">
        <v>1468</v>
      </c>
      <c r="D20" s="11">
        <v>65.739999999999995</v>
      </c>
      <c r="E20" s="11">
        <v>9</v>
      </c>
      <c r="F20" s="44">
        <v>621.24300000000005</v>
      </c>
      <c r="N20" s="5"/>
      <c r="O20" s="7"/>
    </row>
    <row r="21" spans="1:15" x14ac:dyDescent="0.35">
      <c r="A21" s="43" t="s">
        <v>89</v>
      </c>
      <c r="B21" s="11" t="s">
        <v>1503</v>
      </c>
      <c r="C21" s="11" t="s">
        <v>1468</v>
      </c>
      <c r="D21" s="11">
        <v>79.86</v>
      </c>
      <c r="E21" s="11">
        <v>7</v>
      </c>
      <c r="F21" s="44">
        <v>586.971</v>
      </c>
      <c r="N21" s="5"/>
      <c r="O21" s="7"/>
    </row>
    <row r="22" spans="1:15" x14ac:dyDescent="0.35">
      <c r="A22" s="43" t="s">
        <v>91</v>
      </c>
      <c r="B22" s="11" t="s">
        <v>1504</v>
      </c>
      <c r="C22" s="11" t="s">
        <v>1501</v>
      </c>
      <c r="D22" s="11">
        <v>73.98</v>
      </c>
      <c r="E22" s="11">
        <v>7</v>
      </c>
      <c r="F22" s="44">
        <v>543.75300000000004</v>
      </c>
      <c r="N22" s="5"/>
      <c r="O22" s="7"/>
    </row>
    <row r="23" spans="1:15" x14ac:dyDescent="0.35">
      <c r="A23" s="43" t="s">
        <v>95</v>
      </c>
      <c r="B23" s="11" t="s">
        <v>1505</v>
      </c>
      <c r="C23" s="11" t="s">
        <v>1482</v>
      </c>
      <c r="D23" s="11">
        <v>82.04</v>
      </c>
      <c r="E23" s="11">
        <v>5</v>
      </c>
      <c r="F23" s="44">
        <v>430.71</v>
      </c>
      <c r="N23" s="5"/>
      <c r="O23" s="7"/>
    </row>
    <row r="24" spans="1:15" x14ac:dyDescent="0.35">
      <c r="A24" s="43" t="s">
        <v>97</v>
      </c>
      <c r="B24" s="11" t="s">
        <v>1507</v>
      </c>
      <c r="C24" s="11" t="s">
        <v>1501</v>
      </c>
      <c r="D24" s="11">
        <v>26.67</v>
      </c>
      <c r="E24" s="11">
        <v>10</v>
      </c>
      <c r="F24" s="44">
        <v>280.03500000000003</v>
      </c>
      <c r="N24" s="5"/>
      <c r="O24" s="7"/>
    </row>
    <row r="25" spans="1:15" x14ac:dyDescent="0.35">
      <c r="A25" s="43" t="s">
        <v>100</v>
      </c>
      <c r="B25" s="11" t="s">
        <v>1509</v>
      </c>
      <c r="C25" s="11" t="s">
        <v>1486</v>
      </c>
      <c r="D25" s="11">
        <v>10.130000000000001</v>
      </c>
      <c r="E25" s="11">
        <v>7</v>
      </c>
      <c r="F25" s="44">
        <v>74.455500000000001</v>
      </c>
      <c r="N25" s="5"/>
      <c r="O25" s="7"/>
    </row>
    <row r="26" spans="1:15" x14ac:dyDescent="0.35">
      <c r="A26" s="43" t="s">
        <v>102</v>
      </c>
      <c r="B26" s="11" t="s">
        <v>1510</v>
      </c>
      <c r="C26" s="11" t="s">
        <v>1486</v>
      </c>
      <c r="D26" s="11">
        <v>72.39</v>
      </c>
      <c r="E26" s="11">
        <v>2</v>
      </c>
      <c r="F26" s="44">
        <v>152.01900000000001</v>
      </c>
      <c r="N26" s="5"/>
      <c r="O26" s="7"/>
    </row>
    <row r="27" spans="1:15" x14ac:dyDescent="0.35">
      <c r="A27" s="43" t="s">
        <v>104</v>
      </c>
      <c r="B27" s="11" t="s">
        <v>1512</v>
      </c>
      <c r="C27" s="11" t="s">
        <v>1501</v>
      </c>
      <c r="D27" s="11">
        <v>85.91</v>
      </c>
      <c r="E27" s="11">
        <v>5</v>
      </c>
      <c r="F27" s="44">
        <v>451.02749999999997</v>
      </c>
      <c r="N27" s="5"/>
      <c r="O27" s="7"/>
    </row>
    <row r="28" spans="1:15" x14ac:dyDescent="0.35">
      <c r="A28" s="43" t="s">
        <v>106</v>
      </c>
      <c r="B28" s="11" t="s">
        <v>1514</v>
      </c>
      <c r="C28" s="11" t="s">
        <v>1468</v>
      </c>
      <c r="D28" s="11">
        <v>81.31</v>
      </c>
      <c r="E28" s="11">
        <v>7</v>
      </c>
      <c r="F28" s="44">
        <v>597.62850000000003</v>
      </c>
      <c r="N28" s="5"/>
      <c r="O28" s="7"/>
    </row>
    <row r="29" spans="1:15" x14ac:dyDescent="0.35">
      <c r="A29" s="43" t="s">
        <v>109</v>
      </c>
      <c r="B29" s="11" t="s">
        <v>1515</v>
      </c>
      <c r="C29" s="11" t="s">
        <v>1486</v>
      </c>
      <c r="D29" s="11">
        <v>60.3</v>
      </c>
      <c r="E29" s="11">
        <v>4</v>
      </c>
      <c r="F29" s="44">
        <v>253.26</v>
      </c>
      <c r="N29" s="5"/>
      <c r="O29" s="7"/>
    </row>
    <row r="30" spans="1:15" x14ac:dyDescent="0.35">
      <c r="A30" s="43" t="s">
        <v>111</v>
      </c>
      <c r="B30" s="11" t="s">
        <v>1517</v>
      </c>
      <c r="C30" s="11" t="s">
        <v>1486</v>
      </c>
      <c r="D30" s="11">
        <v>31.77</v>
      </c>
      <c r="E30" s="11">
        <v>4</v>
      </c>
      <c r="F30" s="44">
        <v>133.434</v>
      </c>
      <c r="N30" s="5"/>
      <c r="O30" s="7"/>
    </row>
    <row r="31" spans="1:15" x14ac:dyDescent="0.35">
      <c r="A31" s="43" t="s">
        <v>115</v>
      </c>
      <c r="B31" s="11" t="s">
        <v>1519</v>
      </c>
      <c r="C31" s="11" t="s">
        <v>1473</v>
      </c>
      <c r="D31" s="11">
        <v>64.27</v>
      </c>
      <c r="E31" s="11">
        <v>4</v>
      </c>
      <c r="F31" s="44">
        <v>269.93400000000003</v>
      </c>
    </row>
    <row r="32" spans="1:15" x14ac:dyDescent="0.35">
      <c r="A32" s="43" t="s">
        <v>117</v>
      </c>
      <c r="B32" s="11" t="s">
        <v>1521</v>
      </c>
      <c r="C32" s="11" t="s">
        <v>1473</v>
      </c>
      <c r="D32" s="11">
        <v>69.510000000000005</v>
      </c>
      <c r="E32" s="11">
        <v>2</v>
      </c>
      <c r="F32" s="44">
        <v>145.971</v>
      </c>
    </row>
    <row r="33" spans="1:6" x14ac:dyDescent="0.35">
      <c r="A33" s="43" t="s">
        <v>120</v>
      </c>
      <c r="B33" s="11" t="s">
        <v>1522</v>
      </c>
      <c r="C33" s="11" t="s">
        <v>1486</v>
      </c>
      <c r="D33" s="11">
        <v>27.22</v>
      </c>
      <c r="E33" s="11">
        <v>3</v>
      </c>
      <c r="F33" s="44">
        <v>85.742999999999995</v>
      </c>
    </row>
    <row r="34" spans="1:6" x14ac:dyDescent="0.35">
      <c r="A34" s="43" t="s">
        <v>122</v>
      </c>
      <c r="B34" s="11" t="s">
        <v>1523</v>
      </c>
      <c r="C34" s="11" t="s">
        <v>1473</v>
      </c>
      <c r="D34" s="11">
        <v>77.680000000000007</v>
      </c>
      <c r="E34" s="11">
        <v>4</v>
      </c>
      <c r="F34" s="44">
        <v>326.25599999999997</v>
      </c>
    </row>
    <row r="35" spans="1:6" x14ac:dyDescent="0.35">
      <c r="A35" s="43" t="s">
        <v>125</v>
      </c>
      <c r="B35" s="11" t="s">
        <v>1524</v>
      </c>
      <c r="C35" s="11" t="s">
        <v>1468</v>
      </c>
      <c r="D35" s="11">
        <v>92.98</v>
      </c>
      <c r="E35" s="11">
        <v>2</v>
      </c>
      <c r="F35" s="44">
        <v>195.25800000000001</v>
      </c>
    </row>
    <row r="36" spans="1:6" x14ac:dyDescent="0.35">
      <c r="A36" s="43" t="s">
        <v>127</v>
      </c>
      <c r="B36" s="11" t="s">
        <v>1526</v>
      </c>
      <c r="C36" s="11" t="s">
        <v>1468</v>
      </c>
      <c r="D36" s="11">
        <v>18.079999999999998</v>
      </c>
      <c r="E36" s="11">
        <v>4</v>
      </c>
      <c r="F36" s="44">
        <v>75.936000000000007</v>
      </c>
    </row>
    <row r="37" spans="1:6" x14ac:dyDescent="0.35">
      <c r="A37" s="43" t="s">
        <v>129</v>
      </c>
      <c r="B37" s="11" t="s">
        <v>1527</v>
      </c>
      <c r="C37" s="11" t="s">
        <v>1501</v>
      </c>
      <c r="D37" s="11">
        <v>63.06</v>
      </c>
      <c r="E37" s="11">
        <v>3</v>
      </c>
      <c r="F37" s="44">
        <v>198.63900000000001</v>
      </c>
    </row>
    <row r="38" spans="1:6" x14ac:dyDescent="0.35">
      <c r="A38" s="43" t="s">
        <v>132</v>
      </c>
      <c r="B38" s="11" t="s">
        <v>1529</v>
      </c>
      <c r="C38" s="11" t="s">
        <v>1473</v>
      </c>
      <c r="D38" s="11">
        <v>51.71</v>
      </c>
      <c r="E38" s="11">
        <v>4</v>
      </c>
      <c r="F38" s="44">
        <v>217.18199999999999</v>
      </c>
    </row>
    <row r="39" spans="1:6" x14ac:dyDescent="0.35">
      <c r="A39" s="43" t="s">
        <v>135</v>
      </c>
      <c r="B39" s="11" t="s">
        <v>1530</v>
      </c>
      <c r="C39" s="11" t="s">
        <v>1486</v>
      </c>
      <c r="D39" s="11">
        <v>52.34</v>
      </c>
      <c r="E39" s="11">
        <v>3</v>
      </c>
      <c r="F39" s="44">
        <v>164.87100000000001</v>
      </c>
    </row>
    <row r="40" spans="1:6" x14ac:dyDescent="0.35">
      <c r="A40" s="43" t="s">
        <v>137</v>
      </c>
      <c r="B40" s="11" t="s">
        <v>1532</v>
      </c>
      <c r="C40" s="11" t="s">
        <v>1501</v>
      </c>
      <c r="D40" s="11">
        <v>43.06</v>
      </c>
      <c r="E40" s="11">
        <v>5</v>
      </c>
      <c r="F40" s="44">
        <v>226.065</v>
      </c>
    </row>
    <row r="41" spans="1:6" x14ac:dyDescent="0.35">
      <c r="A41" s="43" t="s">
        <v>139</v>
      </c>
      <c r="B41" s="11" t="s">
        <v>1533</v>
      </c>
      <c r="C41" s="11" t="s">
        <v>1468</v>
      </c>
      <c r="D41" s="11">
        <v>59.61</v>
      </c>
      <c r="E41" s="11">
        <v>10</v>
      </c>
      <c r="F41" s="44">
        <v>625.90499999999997</v>
      </c>
    </row>
    <row r="42" spans="1:6" x14ac:dyDescent="0.35">
      <c r="A42" s="43" t="s">
        <v>141</v>
      </c>
      <c r="B42" s="11" t="s">
        <v>1534</v>
      </c>
      <c r="C42" s="11" t="s">
        <v>1473</v>
      </c>
      <c r="D42" s="11">
        <v>14.62</v>
      </c>
      <c r="E42" s="11">
        <v>5</v>
      </c>
      <c r="F42" s="44">
        <v>76.754999999999995</v>
      </c>
    </row>
    <row r="43" spans="1:6" x14ac:dyDescent="0.35">
      <c r="A43" s="43" t="s">
        <v>144</v>
      </c>
      <c r="B43" s="11" t="s">
        <v>1535</v>
      </c>
      <c r="C43" s="11" t="s">
        <v>1473</v>
      </c>
      <c r="D43" s="11">
        <v>46.53</v>
      </c>
      <c r="E43" s="11">
        <v>6</v>
      </c>
      <c r="F43" s="44">
        <v>293.13900000000001</v>
      </c>
    </row>
    <row r="44" spans="1:6" x14ac:dyDescent="0.35">
      <c r="A44" s="43" t="s">
        <v>146</v>
      </c>
      <c r="B44" s="11" t="s">
        <v>1536</v>
      </c>
      <c r="C44" s="11" t="s">
        <v>1482</v>
      </c>
      <c r="D44" s="11">
        <v>24.24</v>
      </c>
      <c r="E44" s="11">
        <v>7</v>
      </c>
      <c r="F44" s="44">
        <v>178.16399999999999</v>
      </c>
    </row>
    <row r="45" spans="1:6" x14ac:dyDescent="0.35">
      <c r="A45" s="43" t="s">
        <v>148</v>
      </c>
      <c r="B45" s="11" t="s">
        <v>1538</v>
      </c>
      <c r="C45" s="11" t="s">
        <v>1501</v>
      </c>
      <c r="D45" s="11">
        <v>45.58</v>
      </c>
      <c r="E45" s="11">
        <v>1</v>
      </c>
      <c r="F45" s="44">
        <v>47.859000000000002</v>
      </c>
    </row>
    <row r="46" spans="1:6" x14ac:dyDescent="0.35">
      <c r="A46" s="43" t="s">
        <v>150</v>
      </c>
      <c r="B46" s="11" t="s">
        <v>1539</v>
      </c>
      <c r="C46" s="11" t="s">
        <v>1501</v>
      </c>
      <c r="D46" s="11">
        <v>75.2</v>
      </c>
      <c r="E46" s="11">
        <v>3</v>
      </c>
      <c r="F46" s="44">
        <v>236.88</v>
      </c>
    </row>
    <row r="47" spans="1:6" x14ac:dyDescent="0.35">
      <c r="A47" s="43" t="s">
        <v>152</v>
      </c>
      <c r="B47" s="11" t="s">
        <v>1540</v>
      </c>
      <c r="C47" s="11" t="s">
        <v>1501</v>
      </c>
      <c r="D47" s="11">
        <v>96.8</v>
      </c>
      <c r="E47" s="11">
        <v>3</v>
      </c>
      <c r="F47" s="44">
        <v>304.92</v>
      </c>
    </row>
    <row r="48" spans="1:6" x14ac:dyDescent="0.35">
      <c r="A48" s="43" t="s">
        <v>154</v>
      </c>
      <c r="B48" s="11" t="s">
        <v>1542</v>
      </c>
      <c r="C48" s="11" t="s">
        <v>1473</v>
      </c>
      <c r="D48" s="11">
        <v>14.82</v>
      </c>
      <c r="E48" s="11">
        <v>3</v>
      </c>
      <c r="F48" s="44">
        <v>46.683</v>
      </c>
    </row>
    <row r="49" spans="1:6" x14ac:dyDescent="0.35">
      <c r="A49" s="43" t="s">
        <v>156</v>
      </c>
      <c r="B49" s="11" t="s">
        <v>1543</v>
      </c>
      <c r="C49" s="11" t="s">
        <v>1486</v>
      </c>
      <c r="D49" s="11">
        <v>52.2</v>
      </c>
      <c r="E49" s="11">
        <v>3</v>
      </c>
      <c r="F49" s="44">
        <v>164.43</v>
      </c>
    </row>
    <row r="50" spans="1:6" x14ac:dyDescent="0.35">
      <c r="A50" s="43" t="s">
        <v>158</v>
      </c>
      <c r="B50" s="11" t="s">
        <v>1545</v>
      </c>
      <c r="C50" s="11" t="s">
        <v>1501</v>
      </c>
      <c r="D50" s="11">
        <v>46.66</v>
      </c>
      <c r="E50" s="11">
        <v>9</v>
      </c>
      <c r="F50" s="44">
        <v>440.93700000000001</v>
      </c>
    </row>
    <row r="51" spans="1:6" x14ac:dyDescent="0.35">
      <c r="A51" s="43" t="s">
        <v>160</v>
      </c>
      <c r="B51" s="11" t="s">
        <v>1547</v>
      </c>
      <c r="C51" s="11" t="s">
        <v>1468</v>
      </c>
      <c r="D51" s="11">
        <v>36.85</v>
      </c>
      <c r="E51" s="11">
        <v>5</v>
      </c>
      <c r="F51" s="44">
        <v>193.46250000000001</v>
      </c>
    </row>
    <row r="52" spans="1:6" x14ac:dyDescent="0.35">
      <c r="A52" s="43" t="s">
        <v>162</v>
      </c>
      <c r="B52" s="11" t="s">
        <v>1549</v>
      </c>
      <c r="C52" s="11" t="s">
        <v>1482</v>
      </c>
      <c r="D52" s="11">
        <v>70.319999999999993</v>
      </c>
      <c r="E52" s="11">
        <v>2</v>
      </c>
      <c r="F52" s="44">
        <v>147.672</v>
      </c>
    </row>
    <row r="53" spans="1:6" x14ac:dyDescent="0.35">
      <c r="A53" s="43" t="s">
        <v>165</v>
      </c>
      <c r="B53" s="11" t="s">
        <v>1551</v>
      </c>
      <c r="C53" s="11" t="s">
        <v>1462</v>
      </c>
      <c r="D53" s="11">
        <v>83.08</v>
      </c>
      <c r="E53" s="11">
        <v>1</v>
      </c>
      <c r="F53" s="44">
        <v>87.233999999999995</v>
      </c>
    </row>
    <row r="54" spans="1:6" x14ac:dyDescent="0.35">
      <c r="A54" s="43" t="s">
        <v>167</v>
      </c>
      <c r="B54" s="11" t="s">
        <v>1552</v>
      </c>
      <c r="C54" s="11" t="s">
        <v>1468</v>
      </c>
      <c r="D54" s="11">
        <v>64.989999999999995</v>
      </c>
      <c r="E54" s="11">
        <v>1</v>
      </c>
      <c r="F54" s="44">
        <v>68.239500000000007</v>
      </c>
    </row>
    <row r="55" spans="1:6" x14ac:dyDescent="0.35">
      <c r="A55" s="43" t="s">
        <v>169</v>
      </c>
      <c r="B55" s="11" t="s">
        <v>1553</v>
      </c>
      <c r="C55" s="11" t="s">
        <v>1486</v>
      </c>
      <c r="D55" s="11">
        <v>77.56</v>
      </c>
      <c r="E55" s="11">
        <v>10</v>
      </c>
      <c r="F55" s="44">
        <v>814.38</v>
      </c>
    </row>
    <row r="56" spans="1:6" x14ac:dyDescent="0.35">
      <c r="A56" s="43" t="s">
        <v>171</v>
      </c>
      <c r="B56" s="11" t="s">
        <v>1554</v>
      </c>
      <c r="C56" s="11" t="s">
        <v>1501</v>
      </c>
      <c r="D56" s="11">
        <v>54.51</v>
      </c>
      <c r="E56" s="11">
        <v>6</v>
      </c>
      <c r="F56" s="44">
        <v>343.41300000000001</v>
      </c>
    </row>
    <row r="57" spans="1:6" x14ac:dyDescent="0.35">
      <c r="A57" s="43" t="s">
        <v>173</v>
      </c>
      <c r="B57" s="11" t="s">
        <v>1556</v>
      </c>
      <c r="C57" s="11" t="s">
        <v>1468</v>
      </c>
      <c r="D57" s="11">
        <v>51.89</v>
      </c>
      <c r="E57" s="11">
        <v>7</v>
      </c>
      <c r="F57" s="44">
        <v>381.39150000000001</v>
      </c>
    </row>
    <row r="58" spans="1:6" x14ac:dyDescent="0.35">
      <c r="A58" s="43" t="s">
        <v>176</v>
      </c>
      <c r="B58" s="11" t="s">
        <v>1557</v>
      </c>
      <c r="C58" s="11" t="s">
        <v>1482</v>
      </c>
      <c r="D58" s="11">
        <v>31.75</v>
      </c>
      <c r="E58" s="11">
        <v>4</v>
      </c>
      <c r="F58" s="44">
        <v>133.35</v>
      </c>
    </row>
    <row r="59" spans="1:6" x14ac:dyDescent="0.35">
      <c r="A59" s="43" t="s">
        <v>179</v>
      </c>
      <c r="B59" s="11" t="s">
        <v>1558</v>
      </c>
      <c r="C59" s="11" t="s">
        <v>1468</v>
      </c>
      <c r="D59" s="11">
        <v>53.65</v>
      </c>
      <c r="E59" s="11">
        <v>7</v>
      </c>
      <c r="F59" s="44">
        <v>394.32749999999999</v>
      </c>
    </row>
    <row r="60" spans="1:6" x14ac:dyDescent="0.35">
      <c r="A60" s="43" t="s">
        <v>182</v>
      </c>
      <c r="B60" s="11" t="s">
        <v>1559</v>
      </c>
      <c r="C60" s="11" t="s">
        <v>1486</v>
      </c>
      <c r="D60" s="11">
        <v>49.79</v>
      </c>
      <c r="E60" s="11">
        <v>4</v>
      </c>
      <c r="F60" s="44">
        <v>209.11799999999999</v>
      </c>
    </row>
    <row r="61" spans="1:6" x14ac:dyDescent="0.35">
      <c r="A61" s="43" t="s">
        <v>185</v>
      </c>
      <c r="B61" s="11" t="s">
        <v>1561</v>
      </c>
      <c r="C61" s="11" t="s">
        <v>1468</v>
      </c>
      <c r="D61" s="11">
        <v>30.61</v>
      </c>
      <c r="E61" s="11">
        <v>1</v>
      </c>
      <c r="F61" s="44">
        <v>32.140500000000003</v>
      </c>
    </row>
    <row r="62" spans="1:6" x14ac:dyDescent="0.35">
      <c r="A62" s="43" t="s">
        <v>187</v>
      </c>
      <c r="B62" s="11" t="s">
        <v>1562</v>
      </c>
      <c r="C62" s="11" t="s">
        <v>1486</v>
      </c>
      <c r="D62" s="11">
        <v>57.89</v>
      </c>
      <c r="E62" s="11">
        <v>2</v>
      </c>
      <c r="F62" s="44">
        <v>121.569</v>
      </c>
    </row>
    <row r="63" spans="1:6" x14ac:dyDescent="0.35">
      <c r="A63" s="43" t="s">
        <v>189</v>
      </c>
      <c r="B63" s="11" t="s">
        <v>1563</v>
      </c>
      <c r="C63" s="11" t="s">
        <v>1462</v>
      </c>
      <c r="D63" s="11">
        <v>28.96</v>
      </c>
      <c r="E63" s="11">
        <v>1</v>
      </c>
      <c r="F63" s="44">
        <v>30.408000000000001</v>
      </c>
    </row>
    <row r="64" spans="1:6" x14ac:dyDescent="0.35">
      <c r="A64" s="43" t="s">
        <v>191</v>
      </c>
      <c r="B64" s="11" t="s">
        <v>1564</v>
      </c>
      <c r="C64" s="11" t="s">
        <v>1486</v>
      </c>
      <c r="D64" s="11">
        <v>98.97</v>
      </c>
      <c r="E64" s="11">
        <v>9</v>
      </c>
      <c r="F64" s="44">
        <v>935.26649999999995</v>
      </c>
    </row>
    <row r="65" spans="1:6" x14ac:dyDescent="0.35">
      <c r="A65" s="43" t="s">
        <v>193</v>
      </c>
      <c r="B65" s="11" t="s">
        <v>1565</v>
      </c>
      <c r="C65" s="11" t="s">
        <v>1468</v>
      </c>
      <c r="D65" s="11">
        <v>93.22</v>
      </c>
      <c r="E65" s="11">
        <v>3</v>
      </c>
      <c r="F65" s="44">
        <v>293.64299999999997</v>
      </c>
    </row>
    <row r="66" spans="1:6" x14ac:dyDescent="0.35">
      <c r="A66" s="43" t="s">
        <v>195</v>
      </c>
      <c r="B66" s="11" t="s">
        <v>1567</v>
      </c>
      <c r="C66" s="11" t="s">
        <v>1501</v>
      </c>
      <c r="D66" s="11">
        <v>80.930000000000007</v>
      </c>
      <c r="E66" s="11">
        <v>1</v>
      </c>
      <c r="F66" s="44">
        <v>84.976500000000001</v>
      </c>
    </row>
    <row r="67" spans="1:6" x14ac:dyDescent="0.35">
      <c r="A67" s="43" t="s">
        <v>197</v>
      </c>
      <c r="B67" s="11" t="s">
        <v>1568</v>
      </c>
      <c r="C67" s="11" t="s">
        <v>1486</v>
      </c>
      <c r="D67" s="11">
        <v>67.45</v>
      </c>
      <c r="E67" s="11">
        <v>10</v>
      </c>
      <c r="F67" s="44">
        <v>708.22500000000002</v>
      </c>
    </row>
    <row r="68" spans="1:6" x14ac:dyDescent="0.35">
      <c r="A68" s="43" t="s">
        <v>199</v>
      </c>
      <c r="B68" s="11" t="s">
        <v>1569</v>
      </c>
      <c r="C68" s="11" t="s">
        <v>1501</v>
      </c>
      <c r="D68" s="11">
        <v>38.72</v>
      </c>
      <c r="E68" s="11">
        <v>9</v>
      </c>
      <c r="F68" s="44">
        <v>365.904</v>
      </c>
    </row>
    <row r="69" spans="1:6" x14ac:dyDescent="0.35">
      <c r="A69" s="43" t="s">
        <v>201</v>
      </c>
      <c r="B69" s="11" t="s">
        <v>1570</v>
      </c>
      <c r="C69" s="11" t="s">
        <v>1501</v>
      </c>
      <c r="D69" s="11">
        <v>72.599999999999994</v>
      </c>
      <c r="E69" s="11">
        <v>6</v>
      </c>
      <c r="F69" s="44">
        <v>457.38</v>
      </c>
    </row>
    <row r="70" spans="1:6" x14ac:dyDescent="0.35">
      <c r="A70" s="43" t="s">
        <v>203</v>
      </c>
      <c r="B70" s="11" t="s">
        <v>1571</v>
      </c>
      <c r="C70" s="11" t="s">
        <v>1462</v>
      </c>
      <c r="D70" s="11">
        <v>87.91</v>
      </c>
      <c r="E70" s="11">
        <v>5</v>
      </c>
      <c r="F70" s="44">
        <v>461.52749999999997</v>
      </c>
    </row>
    <row r="71" spans="1:6" x14ac:dyDescent="0.35">
      <c r="A71" s="43" t="s">
        <v>205</v>
      </c>
      <c r="B71" s="11" t="s">
        <v>1572</v>
      </c>
      <c r="C71" s="11" t="s">
        <v>1486</v>
      </c>
      <c r="D71" s="11">
        <v>98.53</v>
      </c>
      <c r="E71" s="11">
        <v>6</v>
      </c>
      <c r="F71" s="44">
        <v>620.73900000000003</v>
      </c>
    </row>
    <row r="72" spans="1:6" x14ac:dyDescent="0.35">
      <c r="A72" s="43" t="s">
        <v>208</v>
      </c>
      <c r="B72" s="11" t="s">
        <v>1573</v>
      </c>
      <c r="C72" s="11" t="s">
        <v>1468</v>
      </c>
      <c r="D72" s="11">
        <v>43.46</v>
      </c>
      <c r="E72" s="11">
        <v>6</v>
      </c>
      <c r="F72" s="44">
        <v>273.798</v>
      </c>
    </row>
    <row r="73" spans="1:6" x14ac:dyDescent="0.35">
      <c r="A73" s="43" t="s">
        <v>210</v>
      </c>
      <c r="B73" s="11" t="s">
        <v>1574</v>
      </c>
      <c r="C73" s="11" t="s">
        <v>1486</v>
      </c>
      <c r="D73" s="11">
        <v>71.680000000000007</v>
      </c>
      <c r="E73" s="11">
        <v>3</v>
      </c>
      <c r="F73" s="44">
        <v>225.792</v>
      </c>
    </row>
    <row r="74" spans="1:6" x14ac:dyDescent="0.35">
      <c r="A74" s="43" t="s">
        <v>212</v>
      </c>
      <c r="B74" s="11" t="s">
        <v>1575</v>
      </c>
      <c r="C74" s="11" t="s">
        <v>1486</v>
      </c>
      <c r="D74" s="11">
        <v>91.61</v>
      </c>
      <c r="E74" s="11">
        <v>1</v>
      </c>
      <c r="F74" s="44">
        <v>96.1905</v>
      </c>
    </row>
    <row r="75" spans="1:6" x14ac:dyDescent="0.35">
      <c r="A75" s="43" t="s">
        <v>214</v>
      </c>
      <c r="B75" s="11" t="s">
        <v>1576</v>
      </c>
      <c r="C75" s="11" t="s">
        <v>1482</v>
      </c>
      <c r="D75" s="11">
        <v>94.59</v>
      </c>
      <c r="E75" s="11">
        <v>7</v>
      </c>
      <c r="F75" s="44">
        <v>695.23649999999998</v>
      </c>
    </row>
    <row r="76" spans="1:6" x14ac:dyDescent="0.35">
      <c r="A76" s="43" t="s">
        <v>216</v>
      </c>
      <c r="B76" s="11" t="s">
        <v>1577</v>
      </c>
      <c r="C76" s="11" t="s">
        <v>1468</v>
      </c>
      <c r="D76" s="11">
        <v>83.25</v>
      </c>
      <c r="E76" s="11">
        <v>10</v>
      </c>
      <c r="F76" s="44">
        <v>874.125</v>
      </c>
    </row>
    <row r="77" spans="1:6" x14ac:dyDescent="0.35">
      <c r="A77" s="43" t="s">
        <v>219</v>
      </c>
      <c r="B77" s="11" t="s">
        <v>1578</v>
      </c>
      <c r="C77" s="11" t="s">
        <v>1468</v>
      </c>
      <c r="D77" s="11">
        <v>91.35</v>
      </c>
      <c r="E77" s="11">
        <v>1</v>
      </c>
      <c r="F77" s="44">
        <v>95.917500000000004</v>
      </c>
    </row>
    <row r="78" spans="1:6" x14ac:dyDescent="0.35">
      <c r="A78" s="43" t="s">
        <v>221</v>
      </c>
      <c r="B78" s="11" t="s">
        <v>1580</v>
      </c>
      <c r="C78" s="11" t="s">
        <v>1486</v>
      </c>
      <c r="D78" s="11">
        <v>78.88</v>
      </c>
      <c r="E78" s="11">
        <v>2</v>
      </c>
      <c r="F78" s="44">
        <v>165.648</v>
      </c>
    </row>
    <row r="79" spans="1:6" x14ac:dyDescent="0.35">
      <c r="A79" s="43" t="s">
        <v>224</v>
      </c>
      <c r="B79" s="11" t="s">
        <v>1581</v>
      </c>
      <c r="C79" s="11" t="s">
        <v>1501</v>
      </c>
      <c r="D79" s="11">
        <v>60.87</v>
      </c>
      <c r="E79" s="11">
        <v>2</v>
      </c>
      <c r="F79" s="44">
        <v>127.827</v>
      </c>
    </row>
    <row r="80" spans="1:6" x14ac:dyDescent="0.35">
      <c r="A80" s="43" t="s">
        <v>226</v>
      </c>
      <c r="B80" s="11" t="s">
        <v>1582</v>
      </c>
      <c r="C80" s="11" t="s">
        <v>1473</v>
      </c>
      <c r="D80" s="11">
        <v>82.58</v>
      </c>
      <c r="E80" s="11">
        <v>10</v>
      </c>
      <c r="F80" s="44">
        <v>867.09</v>
      </c>
    </row>
    <row r="81" spans="1:6" x14ac:dyDescent="0.35">
      <c r="A81" s="43" t="s">
        <v>228</v>
      </c>
      <c r="B81" s="11" t="s">
        <v>1583</v>
      </c>
      <c r="C81" s="11" t="s">
        <v>1482</v>
      </c>
      <c r="D81" s="11">
        <v>53.3</v>
      </c>
      <c r="E81" s="11">
        <v>3</v>
      </c>
      <c r="F81" s="44">
        <v>167.89500000000001</v>
      </c>
    </row>
    <row r="82" spans="1:6" x14ac:dyDescent="0.35">
      <c r="A82" s="43" t="s">
        <v>230</v>
      </c>
      <c r="B82" s="11" t="s">
        <v>1585</v>
      </c>
      <c r="C82" s="11" t="s">
        <v>1468</v>
      </c>
      <c r="D82" s="11">
        <v>12.09</v>
      </c>
      <c r="E82" s="11">
        <v>1</v>
      </c>
      <c r="F82" s="44">
        <v>12.6945</v>
      </c>
    </row>
    <row r="83" spans="1:6" x14ac:dyDescent="0.35">
      <c r="A83" s="43" t="s">
        <v>232</v>
      </c>
      <c r="B83" s="11" t="s">
        <v>1586</v>
      </c>
      <c r="C83" s="11" t="s">
        <v>1501</v>
      </c>
      <c r="D83" s="11">
        <v>64.19</v>
      </c>
      <c r="E83" s="11">
        <v>10</v>
      </c>
      <c r="F83" s="44">
        <v>673.995</v>
      </c>
    </row>
    <row r="84" spans="1:6" x14ac:dyDescent="0.35">
      <c r="A84" s="43" t="s">
        <v>234</v>
      </c>
      <c r="B84" s="11" t="s">
        <v>1587</v>
      </c>
      <c r="C84" s="11" t="s">
        <v>1462</v>
      </c>
      <c r="D84" s="11">
        <v>78.31</v>
      </c>
      <c r="E84" s="11">
        <v>3</v>
      </c>
      <c r="F84" s="44">
        <v>246.6765</v>
      </c>
    </row>
    <row r="85" spans="1:6" x14ac:dyDescent="0.35">
      <c r="A85" s="43" t="s">
        <v>236</v>
      </c>
      <c r="B85" s="11" t="s">
        <v>1588</v>
      </c>
      <c r="C85" s="11" t="s">
        <v>1486</v>
      </c>
      <c r="D85" s="11">
        <v>83.77</v>
      </c>
      <c r="E85" s="11">
        <v>2</v>
      </c>
      <c r="F85" s="44">
        <v>175.917</v>
      </c>
    </row>
    <row r="86" spans="1:6" x14ac:dyDescent="0.35">
      <c r="A86" s="43" t="s">
        <v>238</v>
      </c>
      <c r="B86" s="11" t="s">
        <v>1590</v>
      </c>
      <c r="C86" s="11" t="s">
        <v>1482</v>
      </c>
      <c r="D86" s="11">
        <v>99.7</v>
      </c>
      <c r="E86" s="11">
        <v>3</v>
      </c>
      <c r="F86" s="44">
        <v>314.05500000000001</v>
      </c>
    </row>
    <row r="87" spans="1:6" x14ac:dyDescent="0.35">
      <c r="A87" s="43" t="s">
        <v>240</v>
      </c>
      <c r="B87" s="11" t="s">
        <v>1592</v>
      </c>
      <c r="C87" s="11" t="s">
        <v>1486</v>
      </c>
      <c r="D87" s="11">
        <v>79.91</v>
      </c>
      <c r="E87" s="11">
        <v>3</v>
      </c>
      <c r="F87" s="44">
        <v>251.7165</v>
      </c>
    </row>
    <row r="88" spans="1:6" x14ac:dyDescent="0.35">
      <c r="A88" s="43" t="s">
        <v>242</v>
      </c>
      <c r="B88" s="11" t="s">
        <v>1593</v>
      </c>
      <c r="C88" s="11" t="s">
        <v>1473</v>
      </c>
      <c r="D88" s="11">
        <v>66.47</v>
      </c>
      <c r="E88" s="11">
        <v>10</v>
      </c>
      <c r="F88" s="44">
        <v>697.93499999999995</v>
      </c>
    </row>
    <row r="89" spans="1:6" x14ac:dyDescent="0.35">
      <c r="A89" s="43" t="s">
        <v>244</v>
      </c>
      <c r="B89" s="11" t="s">
        <v>1594</v>
      </c>
      <c r="C89" s="11" t="s">
        <v>1473</v>
      </c>
      <c r="D89" s="11">
        <v>28.95</v>
      </c>
      <c r="E89" s="11">
        <v>7</v>
      </c>
      <c r="F89" s="44">
        <v>212.7825</v>
      </c>
    </row>
    <row r="90" spans="1:6" x14ac:dyDescent="0.35">
      <c r="A90" s="43" t="s">
        <v>246</v>
      </c>
      <c r="B90" s="11" t="s">
        <v>1595</v>
      </c>
      <c r="C90" s="11" t="s">
        <v>1462</v>
      </c>
      <c r="D90" s="11">
        <v>46.2</v>
      </c>
      <c r="E90" s="11">
        <v>1</v>
      </c>
      <c r="F90" s="44">
        <v>48.51</v>
      </c>
    </row>
    <row r="91" spans="1:6" x14ac:dyDescent="0.35">
      <c r="A91" s="43" t="s">
        <v>249</v>
      </c>
      <c r="B91" s="11" t="s">
        <v>1597</v>
      </c>
      <c r="C91" s="11" t="s">
        <v>1486</v>
      </c>
      <c r="D91" s="11">
        <v>17.63</v>
      </c>
      <c r="E91" s="11">
        <v>5</v>
      </c>
      <c r="F91" s="44">
        <v>92.557500000000005</v>
      </c>
    </row>
    <row r="92" spans="1:6" x14ac:dyDescent="0.35">
      <c r="A92" s="43" t="s">
        <v>252</v>
      </c>
      <c r="B92" s="11" t="s">
        <v>1598</v>
      </c>
      <c r="C92" s="11" t="s">
        <v>1468</v>
      </c>
      <c r="D92" s="11">
        <v>52.42</v>
      </c>
      <c r="E92" s="11">
        <v>3</v>
      </c>
      <c r="F92" s="44">
        <v>165.12299999999999</v>
      </c>
    </row>
    <row r="93" spans="1:6" x14ac:dyDescent="0.35">
      <c r="A93" s="43" t="s">
        <v>254</v>
      </c>
      <c r="B93" s="11" t="s">
        <v>1600</v>
      </c>
      <c r="C93" s="11" t="s">
        <v>1486</v>
      </c>
      <c r="D93" s="11">
        <v>98.79</v>
      </c>
      <c r="E93" s="11">
        <v>3</v>
      </c>
      <c r="F93" s="44">
        <v>311.18849999999998</v>
      </c>
    </row>
    <row r="94" spans="1:6" x14ac:dyDescent="0.35">
      <c r="A94" s="43" t="s">
        <v>256</v>
      </c>
      <c r="B94" s="11" t="s">
        <v>1602</v>
      </c>
      <c r="C94" s="11" t="s">
        <v>1462</v>
      </c>
      <c r="D94" s="11">
        <v>88.55</v>
      </c>
      <c r="E94" s="11">
        <v>8</v>
      </c>
      <c r="F94" s="44">
        <v>743.82</v>
      </c>
    </row>
    <row r="95" spans="1:6" x14ac:dyDescent="0.35">
      <c r="A95" s="43" t="s">
        <v>258</v>
      </c>
      <c r="B95" s="11" t="s">
        <v>1603</v>
      </c>
      <c r="C95" s="11" t="s">
        <v>1462</v>
      </c>
      <c r="D95" s="11">
        <v>55.67</v>
      </c>
      <c r="E95" s="11">
        <v>2</v>
      </c>
      <c r="F95" s="44">
        <v>116.907</v>
      </c>
    </row>
    <row r="96" spans="1:6" x14ac:dyDescent="0.35">
      <c r="A96" s="43" t="s">
        <v>260</v>
      </c>
      <c r="B96" s="11" t="s">
        <v>1604</v>
      </c>
      <c r="C96" s="11" t="s">
        <v>1486</v>
      </c>
      <c r="D96" s="11">
        <v>72.52</v>
      </c>
      <c r="E96" s="11">
        <v>8</v>
      </c>
      <c r="F96" s="44">
        <v>609.16800000000001</v>
      </c>
    </row>
    <row r="97" spans="1:6" x14ac:dyDescent="0.35">
      <c r="A97" s="43" t="s">
        <v>262</v>
      </c>
      <c r="B97" s="11" t="s">
        <v>1606</v>
      </c>
      <c r="C97" s="11" t="s">
        <v>1462</v>
      </c>
      <c r="D97" s="11">
        <v>12.05</v>
      </c>
      <c r="E97" s="11">
        <v>5</v>
      </c>
      <c r="F97" s="44">
        <v>63.262500000000003</v>
      </c>
    </row>
    <row r="98" spans="1:6" x14ac:dyDescent="0.35">
      <c r="A98" s="43" t="s">
        <v>264</v>
      </c>
      <c r="B98" s="11" t="s">
        <v>1607</v>
      </c>
      <c r="C98" s="11" t="s">
        <v>1482</v>
      </c>
      <c r="D98" s="11">
        <v>19.36</v>
      </c>
      <c r="E98" s="11">
        <v>9</v>
      </c>
      <c r="F98" s="44">
        <v>182.952</v>
      </c>
    </row>
    <row r="99" spans="1:6" x14ac:dyDescent="0.35">
      <c r="A99" s="43" t="s">
        <v>265</v>
      </c>
      <c r="B99" s="11" t="s">
        <v>1609</v>
      </c>
      <c r="C99" s="11" t="s">
        <v>1473</v>
      </c>
      <c r="D99" s="11">
        <v>70.209999999999994</v>
      </c>
      <c r="E99" s="11">
        <v>6</v>
      </c>
      <c r="F99" s="44">
        <v>442.32299999999998</v>
      </c>
    </row>
    <row r="100" spans="1:6" x14ac:dyDescent="0.35">
      <c r="A100" s="43" t="s">
        <v>267</v>
      </c>
      <c r="B100" s="11" t="s">
        <v>1610</v>
      </c>
      <c r="C100" s="11" t="s">
        <v>1468</v>
      </c>
      <c r="D100" s="11">
        <v>33.630000000000003</v>
      </c>
      <c r="E100" s="11">
        <v>1</v>
      </c>
      <c r="F100" s="44">
        <v>35.311500000000002</v>
      </c>
    </row>
    <row r="101" spans="1:6" x14ac:dyDescent="0.35">
      <c r="A101" s="43" t="s">
        <v>269</v>
      </c>
      <c r="B101" s="11" t="s">
        <v>1611</v>
      </c>
      <c r="C101" s="11" t="s">
        <v>1501</v>
      </c>
      <c r="D101" s="11">
        <v>15.49</v>
      </c>
      <c r="E101" s="11">
        <v>2</v>
      </c>
      <c r="F101" s="44">
        <v>32.529000000000003</v>
      </c>
    </row>
    <row r="102" spans="1:6" x14ac:dyDescent="0.35">
      <c r="A102" s="43" t="s">
        <v>271</v>
      </c>
      <c r="B102" s="11" t="s">
        <v>1613</v>
      </c>
      <c r="C102" s="11" t="s">
        <v>1462</v>
      </c>
      <c r="D102" s="11">
        <v>24.74</v>
      </c>
      <c r="E102" s="11">
        <v>10</v>
      </c>
      <c r="F102" s="44">
        <v>259.77</v>
      </c>
    </row>
    <row r="103" spans="1:6" x14ac:dyDescent="0.35">
      <c r="A103" s="43" t="s">
        <v>273</v>
      </c>
      <c r="B103" s="11" t="s">
        <v>1615</v>
      </c>
      <c r="C103" s="11" t="s">
        <v>1462</v>
      </c>
      <c r="D103" s="11">
        <v>75.66</v>
      </c>
      <c r="E103" s="11">
        <v>5</v>
      </c>
      <c r="F103" s="44">
        <v>397.21499999999997</v>
      </c>
    </row>
    <row r="104" spans="1:6" x14ac:dyDescent="0.35">
      <c r="A104" s="43" t="s">
        <v>275</v>
      </c>
      <c r="B104" s="11" t="s">
        <v>1616</v>
      </c>
      <c r="C104" s="11" t="s">
        <v>1473</v>
      </c>
      <c r="D104" s="11">
        <v>55.81</v>
      </c>
      <c r="E104" s="11">
        <v>6</v>
      </c>
      <c r="F104" s="44">
        <v>351.60300000000001</v>
      </c>
    </row>
    <row r="105" spans="1:6" x14ac:dyDescent="0.35">
      <c r="A105" s="43" t="s">
        <v>278</v>
      </c>
      <c r="B105" s="11" t="s">
        <v>1618</v>
      </c>
      <c r="C105" s="11" t="s">
        <v>1482</v>
      </c>
      <c r="D105" s="11">
        <v>72.78</v>
      </c>
      <c r="E105" s="11">
        <v>10</v>
      </c>
      <c r="F105" s="44">
        <v>764.19</v>
      </c>
    </row>
    <row r="106" spans="1:6" x14ac:dyDescent="0.35">
      <c r="A106" s="43" t="s">
        <v>280</v>
      </c>
      <c r="B106" s="11" t="s">
        <v>1619</v>
      </c>
      <c r="C106" s="11" t="s">
        <v>1501</v>
      </c>
      <c r="D106" s="11">
        <v>37.32</v>
      </c>
      <c r="E106" s="11">
        <v>9</v>
      </c>
      <c r="F106" s="44">
        <v>352.67399999999998</v>
      </c>
    </row>
    <row r="107" spans="1:6" x14ac:dyDescent="0.35">
      <c r="A107" s="43" t="s">
        <v>282</v>
      </c>
      <c r="B107" s="11" t="s">
        <v>1620</v>
      </c>
      <c r="C107" s="11" t="s">
        <v>1468</v>
      </c>
      <c r="D107" s="11">
        <v>60.18</v>
      </c>
      <c r="E107" s="11">
        <v>4</v>
      </c>
      <c r="F107" s="44">
        <v>252.756</v>
      </c>
    </row>
    <row r="108" spans="1:6" x14ac:dyDescent="0.35">
      <c r="A108" s="43" t="s">
        <v>284</v>
      </c>
      <c r="B108" s="11" t="s">
        <v>1621</v>
      </c>
      <c r="C108" s="11" t="s">
        <v>1462</v>
      </c>
      <c r="D108" s="11">
        <v>15.69</v>
      </c>
      <c r="E108" s="11">
        <v>3</v>
      </c>
      <c r="F108" s="44">
        <v>49.423499999999997</v>
      </c>
    </row>
    <row r="109" spans="1:6" x14ac:dyDescent="0.35">
      <c r="A109" s="43" t="s">
        <v>286</v>
      </c>
      <c r="B109" s="11" t="s">
        <v>1622</v>
      </c>
      <c r="C109" s="11" t="s">
        <v>1462</v>
      </c>
      <c r="D109" s="11">
        <v>99.69</v>
      </c>
      <c r="E109" s="11">
        <v>1</v>
      </c>
      <c r="F109" s="44">
        <v>104.67449999999999</v>
      </c>
    </row>
    <row r="110" spans="1:6" x14ac:dyDescent="0.35">
      <c r="A110" s="43" t="s">
        <v>288</v>
      </c>
      <c r="B110" s="11" t="s">
        <v>1623</v>
      </c>
      <c r="C110" s="11" t="s">
        <v>1468</v>
      </c>
      <c r="D110" s="11">
        <v>88.15</v>
      </c>
      <c r="E110" s="11">
        <v>3</v>
      </c>
      <c r="F110" s="44">
        <v>277.67250000000001</v>
      </c>
    </row>
    <row r="111" spans="1:6" x14ac:dyDescent="0.35">
      <c r="A111" s="43" t="s">
        <v>290</v>
      </c>
      <c r="B111" s="11" t="s">
        <v>1624</v>
      </c>
      <c r="C111" s="11" t="s">
        <v>1501</v>
      </c>
      <c r="D111" s="11">
        <v>27.93</v>
      </c>
      <c r="E111" s="11">
        <v>5</v>
      </c>
      <c r="F111" s="44">
        <v>146.63249999999999</v>
      </c>
    </row>
    <row r="112" spans="1:6" x14ac:dyDescent="0.35">
      <c r="A112" s="43" t="s">
        <v>292</v>
      </c>
      <c r="B112" s="11" t="s">
        <v>1625</v>
      </c>
      <c r="C112" s="11" t="s">
        <v>1468</v>
      </c>
      <c r="D112" s="11">
        <v>55.45</v>
      </c>
      <c r="E112" s="11">
        <v>1</v>
      </c>
      <c r="F112" s="44">
        <v>58.222499999999997</v>
      </c>
    </row>
    <row r="113" spans="1:6" x14ac:dyDescent="0.35">
      <c r="A113" s="43" t="s">
        <v>295</v>
      </c>
      <c r="B113" s="11" t="s">
        <v>1627</v>
      </c>
      <c r="C113" s="11" t="s">
        <v>1501</v>
      </c>
      <c r="D113" s="11">
        <v>42.97</v>
      </c>
      <c r="E113" s="11">
        <v>3</v>
      </c>
      <c r="F113" s="44">
        <v>135.35550000000001</v>
      </c>
    </row>
    <row r="114" spans="1:6" x14ac:dyDescent="0.35">
      <c r="A114" s="43" t="s">
        <v>297</v>
      </c>
      <c r="B114" s="11" t="s">
        <v>1628</v>
      </c>
      <c r="C114" s="11" t="s">
        <v>1501</v>
      </c>
      <c r="D114" s="11">
        <v>17.14</v>
      </c>
      <c r="E114" s="11">
        <v>7</v>
      </c>
      <c r="F114" s="44">
        <v>125.979</v>
      </c>
    </row>
    <row r="115" spans="1:6" x14ac:dyDescent="0.35">
      <c r="A115" s="43" t="s">
        <v>300</v>
      </c>
      <c r="B115" s="11" t="s">
        <v>1629</v>
      </c>
      <c r="C115" s="11" t="s">
        <v>1468</v>
      </c>
      <c r="D115" s="11">
        <v>58.75</v>
      </c>
      <c r="E115" s="11">
        <v>6</v>
      </c>
      <c r="F115" s="44">
        <v>370.125</v>
      </c>
    </row>
    <row r="116" spans="1:6" x14ac:dyDescent="0.35">
      <c r="A116" s="43" t="s">
        <v>302</v>
      </c>
      <c r="B116" s="11" t="s">
        <v>1630</v>
      </c>
      <c r="C116" s="11" t="s">
        <v>1486</v>
      </c>
      <c r="D116" s="11">
        <v>87.1</v>
      </c>
      <c r="E116" s="11">
        <v>10</v>
      </c>
      <c r="F116" s="44">
        <v>914.55</v>
      </c>
    </row>
    <row r="117" spans="1:6" x14ac:dyDescent="0.35">
      <c r="A117" s="43" t="s">
        <v>304</v>
      </c>
      <c r="B117" s="11" t="s">
        <v>1631</v>
      </c>
      <c r="C117" s="11" t="s">
        <v>1501</v>
      </c>
      <c r="D117" s="11">
        <v>98.8</v>
      </c>
      <c r="E117" s="11">
        <v>2</v>
      </c>
      <c r="F117" s="44">
        <v>207.48</v>
      </c>
    </row>
    <row r="118" spans="1:6" x14ac:dyDescent="0.35">
      <c r="A118" s="43" t="s">
        <v>306</v>
      </c>
      <c r="B118" s="11" t="s">
        <v>1633</v>
      </c>
      <c r="C118" s="11" t="s">
        <v>1468</v>
      </c>
      <c r="D118" s="11">
        <v>48.63</v>
      </c>
      <c r="E118" s="11">
        <v>4</v>
      </c>
      <c r="F118" s="44">
        <v>204.24600000000001</v>
      </c>
    </row>
    <row r="119" spans="1:6" x14ac:dyDescent="0.35">
      <c r="A119" s="43" t="s">
        <v>308</v>
      </c>
      <c r="B119" s="11" t="s">
        <v>1634</v>
      </c>
      <c r="C119" s="11" t="s">
        <v>1486</v>
      </c>
      <c r="D119" s="11">
        <v>57.74</v>
      </c>
      <c r="E119" s="11">
        <v>3</v>
      </c>
      <c r="F119" s="44">
        <v>181.881</v>
      </c>
    </row>
    <row r="120" spans="1:6" x14ac:dyDescent="0.35">
      <c r="A120" s="43" t="s">
        <v>310</v>
      </c>
      <c r="B120" s="11" t="s">
        <v>1635</v>
      </c>
      <c r="C120" s="11" t="s">
        <v>1473</v>
      </c>
      <c r="D120" s="11">
        <v>17.97</v>
      </c>
      <c r="E120" s="11">
        <v>4</v>
      </c>
      <c r="F120" s="44">
        <v>75.474000000000004</v>
      </c>
    </row>
    <row r="121" spans="1:6" x14ac:dyDescent="0.35">
      <c r="A121" s="43" t="s">
        <v>312</v>
      </c>
      <c r="B121" s="11" t="s">
        <v>1636</v>
      </c>
      <c r="C121" s="11" t="s">
        <v>1473</v>
      </c>
      <c r="D121" s="11">
        <v>47.71</v>
      </c>
      <c r="E121" s="11">
        <v>6</v>
      </c>
      <c r="F121" s="44">
        <v>300.57299999999998</v>
      </c>
    </row>
    <row r="122" spans="1:6" x14ac:dyDescent="0.35">
      <c r="A122" s="43" t="s">
        <v>314</v>
      </c>
      <c r="B122" s="11" t="s">
        <v>1637</v>
      </c>
      <c r="C122" s="11" t="s">
        <v>1501</v>
      </c>
      <c r="D122" s="11">
        <v>40.619999999999997</v>
      </c>
      <c r="E122" s="11">
        <v>2</v>
      </c>
      <c r="F122" s="44">
        <v>85.302000000000007</v>
      </c>
    </row>
    <row r="123" spans="1:6" x14ac:dyDescent="0.35">
      <c r="A123" s="43" t="s">
        <v>316</v>
      </c>
      <c r="B123" s="11" t="s">
        <v>1638</v>
      </c>
      <c r="C123" s="11" t="s">
        <v>1468</v>
      </c>
      <c r="D123" s="11">
        <v>56.04</v>
      </c>
      <c r="E123" s="11">
        <v>10</v>
      </c>
      <c r="F123" s="44">
        <v>588.41999999999996</v>
      </c>
    </row>
    <row r="124" spans="1:6" x14ac:dyDescent="0.35">
      <c r="A124" s="43" t="s">
        <v>318</v>
      </c>
      <c r="B124" s="11" t="s">
        <v>1639</v>
      </c>
      <c r="C124" s="11" t="s">
        <v>1486</v>
      </c>
      <c r="D124" s="11">
        <v>93.4</v>
      </c>
      <c r="E124" s="11">
        <v>2</v>
      </c>
      <c r="F124" s="44">
        <v>196.14</v>
      </c>
    </row>
    <row r="125" spans="1:6" x14ac:dyDescent="0.35">
      <c r="A125" s="43" t="s">
        <v>320</v>
      </c>
      <c r="B125" s="11" t="s">
        <v>1640</v>
      </c>
      <c r="C125" s="11" t="s">
        <v>1473</v>
      </c>
      <c r="D125" s="11">
        <v>73.41</v>
      </c>
      <c r="E125" s="11">
        <v>3</v>
      </c>
      <c r="F125" s="44">
        <v>231.2415</v>
      </c>
    </row>
    <row r="126" spans="1:6" x14ac:dyDescent="0.35">
      <c r="A126" s="43" t="s">
        <v>322</v>
      </c>
      <c r="B126" s="11" t="s">
        <v>1641</v>
      </c>
      <c r="C126" s="11" t="s">
        <v>1473</v>
      </c>
      <c r="D126" s="11">
        <v>33.64</v>
      </c>
      <c r="E126" s="11">
        <v>8</v>
      </c>
      <c r="F126" s="44">
        <v>282.57600000000002</v>
      </c>
    </row>
    <row r="127" spans="1:6" x14ac:dyDescent="0.35">
      <c r="A127" s="43" t="s">
        <v>324</v>
      </c>
      <c r="B127" s="11" t="s">
        <v>1642</v>
      </c>
      <c r="C127" s="11" t="s">
        <v>1462</v>
      </c>
      <c r="D127" s="11">
        <v>45.48</v>
      </c>
      <c r="E127" s="11">
        <v>10</v>
      </c>
      <c r="F127" s="44">
        <v>477.54</v>
      </c>
    </row>
    <row r="128" spans="1:6" x14ac:dyDescent="0.35">
      <c r="A128" s="43" t="s">
        <v>326</v>
      </c>
      <c r="B128" s="11" t="s">
        <v>1643</v>
      </c>
      <c r="C128" s="11" t="s">
        <v>1468</v>
      </c>
      <c r="D128" s="11">
        <v>83.77</v>
      </c>
      <c r="E128" s="11">
        <v>2</v>
      </c>
      <c r="F128" s="44">
        <v>175.917</v>
      </c>
    </row>
    <row r="129" spans="1:6" x14ac:dyDescent="0.35">
      <c r="A129" s="43" t="s">
        <v>328</v>
      </c>
      <c r="B129" s="11" t="s">
        <v>1644</v>
      </c>
      <c r="C129" s="11" t="s">
        <v>1501</v>
      </c>
      <c r="D129" s="11">
        <v>64.08</v>
      </c>
      <c r="E129" s="11">
        <v>7</v>
      </c>
      <c r="F129" s="44">
        <v>470.988</v>
      </c>
    </row>
    <row r="130" spans="1:6" x14ac:dyDescent="0.35">
      <c r="A130" s="43" t="s">
        <v>331</v>
      </c>
      <c r="B130" s="11" t="s">
        <v>1646</v>
      </c>
      <c r="C130" s="11" t="s">
        <v>1486</v>
      </c>
      <c r="D130" s="11">
        <v>73.47</v>
      </c>
      <c r="E130" s="11">
        <v>4</v>
      </c>
      <c r="F130" s="44">
        <v>308.57400000000001</v>
      </c>
    </row>
    <row r="131" spans="1:6" x14ac:dyDescent="0.35">
      <c r="A131" s="43" t="s">
        <v>333</v>
      </c>
      <c r="B131" s="11" t="s">
        <v>1647</v>
      </c>
      <c r="C131" s="11" t="s">
        <v>1473</v>
      </c>
      <c r="D131" s="11">
        <v>58.95</v>
      </c>
      <c r="E131" s="11">
        <v>10</v>
      </c>
      <c r="F131" s="44">
        <v>618.97500000000002</v>
      </c>
    </row>
    <row r="132" spans="1:6" x14ac:dyDescent="0.35">
      <c r="A132" s="43" t="s">
        <v>335</v>
      </c>
      <c r="B132" s="11" t="s">
        <v>1648</v>
      </c>
      <c r="C132" s="11" t="s">
        <v>1486</v>
      </c>
      <c r="D132" s="11">
        <v>48.5</v>
      </c>
      <c r="E132" s="11">
        <v>6</v>
      </c>
      <c r="F132" s="44">
        <v>305.55</v>
      </c>
    </row>
    <row r="133" spans="1:6" x14ac:dyDescent="0.35">
      <c r="A133" s="43" t="s">
        <v>337</v>
      </c>
      <c r="B133" s="11" t="s">
        <v>1649</v>
      </c>
      <c r="C133" s="11" t="s">
        <v>1462</v>
      </c>
      <c r="D133" s="11">
        <v>39.479999999999997</v>
      </c>
      <c r="E133" s="11">
        <v>1</v>
      </c>
      <c r="F133" s="44">
        <v>41.454000000000001</v>
      </c>
    </row>
    <row r="134" spans="1:6" x14ac:dyDescent="0.35">
      <c r="A134" s="43" t="s">
        <v>339</v>
      </c>
      <c r="B134" s="11" t="s">
        <v>1650</v>
      </c>
      <c r="C134" s="11" t="s">
        <v>1501</v>
      </c>
      <c r="D134" s="11">
        <v>34.81</v>
      </c>
      <c r="E134" s="11">
        <v>1</v>
      </c>
      <c r="F134" s="44">
        <v>36.5505</v>
      </c>
    </row>
    <row r="135" spans="1:6" x14ac:dyDescent="0.35">
      <c r="A135" s="43" t="s">
        <v>341</v>
      </c>
      <c r="B135" s="11" t="s">
        <v>1651</v>
      </c>
      <c r="C135" s="11" t="s">
        <v>1468</v>
      </c>
      <c r="D135" s="11">
        <v>49.32</v>
      </c>
      <c r="E135" s="11">
        <v>6</v>
      </c>
      <c r="F135" s="44">
        <v>310.71600000000001</v>
      </c>
    </row>
    <row r="136" spans="1:6" x14ac:dyDescent="0.35">
      <c r="A136" s="43" t="s">
        <v>343</v>
      </c>
      <c r="B136" s="11" t="s">
        <v>1652</v>
      </c>
      <c r="C136" s="11" t="s">
        <v>1468</v>
      </c>
      <c r="D136" s="11">
        <v>21.48</v>
      </c>
      <c r="E136" s="11">
        <v>2</v>
      </c>
      <c r="F136" s="44">
        <v>45.107999999999997</v>
      </c>
    </row>
    <row r="137" spans="1:6" x14ac:dyDescent="0.35">
      <c r="A137" s="43" t="s">
        <v>345</v>
      </c>
      <c r="B137" s="11" t="s">
        <v>1653</v>
      </c>
      <c r="C137" s="11" t="s">
        <v>1501</v>
      </c>
      <c r="D137" s="11">
        <v>23.08</v>
      </c>
      <c r="E137" s="11">
        <v>6</v>
      </c>
      <c r="F137" s="44">
        <v>145.404</v>
      </c>
    </row>
    <row r="138" spans="1:6" x14ac:dyDescent="0.35">
      <c r="A138" s="43" t="s">
        <v>347</v>
      </c>
      <c r="B138" s="11" t="s">
        <v>1654</v>
      </c>
      <c r="C138" s="11" t="s">
        <v>1482</v>
      </c>
      <c r="D138" s="11">
        <v>49.1</v>
      </c>
      <c r="E138" s="11">
        <v>2</v>
      </c>
      <c r="F138" s="44">
        <v>103.11</v>
      </c>
    </row>
    <row r="139" spans="1:6" x14ac:dyDescent="0.35">
      <c r="A139" s="43" t="s">
        <v>349</v>
      </c>
      <c r="B139" s="11" t="s">
        <v>1655</v>
      </c>
      <c r="C139" s="11" t="s">
        <v>1501</v>
      </c>
      <c r="D139" s="11">
        <v>64.83</v>
      </c>
      <c r="E139" s="11">
        <v>2</v>
      </c>
      <c r="F139" s="44">
        <v>136.143</v>
      </c>
    </row>
    <row r="140" spans="1:6" x14ac:dyDescent="0.35">
      <c r="A140" s="43" t="s">
        <v>351</v>
      </c>
      <c r="B140" s="11" t="s">
        <v>1656</v>
      </c>
      <c r="C140" s="11" t="s">
        <v>1482</v>
      </c>
      <c r="D140" s="11">
        <v>63.56</v>
      </c>
      <c r="E140" s="11">
        <v>10</v>
      </c>
      <c r="F140" s="44">
        <v>667.38</v>
      </c>
    </row>
    <row r="141" spans="1:6" x14ac:dyDescent="0.35">
      <c r="A141" s="43" t="s">
        <v>353</v>
      </c>
      <c r="B141" s="11" t="s">
        <v>1657</v>
      </c>
      <c r="C141" s="11" t="s">
        <v>1501</v>
      </c>
      <c r="D141" s="11">
        <v>72.88</v>
      </c>
      <c r="E141" s="11">
        <v>2</v>
      </c>
      <c r="F141" s="44">
        <v>153.048</v>
      </c>
    </row>
    <row r="142" spans="1:6" x14ac:dyDescent="0.35">
      <c r="A142" s="43" t="s">
        <v>355</v>
      </c>
      <c r="B142" s="11" t="s">
        <v>1659</v>
      </c>
      <c r="C142" s="11" t="s">
        <v>1486</v>
      </c>
      <c r="D142" s="11">
        <v>67.099999999999994</v>
      </c>
      <c r="E142" s="11">
        <v>3</v>
      </c>
      <c r="F142" s="44">
        <v>211.36500000000001</v>
      </c>
    </row>
    <row r="143" spans="1:6" x14ac:dyDescent="0.35">
      <c r="A143" s="43" t="s">
        <v>357</v>
      </c>
      <c r="B143" s="11" t="s">
        <v>1660</v>
      </c>
      <c r="C143" s="11" t="s">
        <v>1501</v>
      </c>
      <c r="D143" s="11">
        <v>70.19</v>
      </c>
      <c r="E143" s="11">
        <v>9</v>
      </c>
      <c r="F143" s="44">
        <v>663.29549999999995</v>
      </c>
    </row>
    <row r="144" spans="1:6" x14ac:dyDescent="0.35">
      <c r="A144" s="43" t="s">
        <v>359</v>
      </c>
      <c r="B144" s="11" t="s">
        <v>1661</v>
      </c>
      <c r="C144" s="11" t="s">
        <v>1486</v>
      </c>
      <c r="D144" s="11">
        <v>55.04</v>
      </c>
      <c r="E144" s="11">
        <v>7</v>
      </c>
      <c r="F144" s="44">
        <v>404.54399999999998</v>
      </c>
    </row>
    <row r="145" spans="1:6" x14ac:dyDescent="0.35">
      <c r="A145" s="43" t="s">
        <v>361</v>
      </c>
      <c r="B145" s="11" t="s">
        <v>1662</v>
      </c>
      <c r="C145" s="11" t="s">
        <v>1473</v>
      </c>
      <c r="D145" s="11">
        <v>48.63</v>
      </c>
      <c r="E145" s="11">
        <v>10</v>
      </c>
      <c r="F145" s="44">
        <v>510.61500000000001</v>
      </c>
    </row>
    <row r="146" spans="1:6" x14ac:dyDescent="0.35">
      <c r="A146" s="43" t="s">
        <v>363</v>
      </c>
      <c r="B146" s="11" t="s">
        <v>1663</v>
      </c>
      <c r="C146" s="11" t="s">
        <v>1468</v>
      </c>
      <c r="D146" s="11">
        <v>73.38</v>
      </c>
      <c r="E146" s="11">
        <v>7</v>
      </c>
      <c r="F146" s="44">
        <v>539.34299999999996</v>
      </c>
    </row>
    <row r="147" spans="1:6" x14ac:dyDescent="0.35">
      <c r="A147" s="43" t="s">
        <v>365</v>
      </c>
      <c r="B147" s="11" t="s">
        <v>1664</v>
      </c>
      <c r="C147" s="11" t="s">
        <v>1486</v>
      </c>
      <c r="D147" s="11">
        <v>52.6</v>
      </c>
      <c r="E147" s="11">
        <v>9</v>
      </c>
      <c r="F147" s="44">
        <v>497.07</v>
      </c>
    </row>
    <row r="148" spans="1:6" x14ac:dyDescent="0.35">
      <c r="A148" s="43" t="s">
        <v>367</v>
      </c>
      <c r="B148" s="11" t="s">
        <v>1665</v>
      </c>
      <c r="C148" s="11" t="s">
        <v>1482</v>
      </c>
      <c r="D148" s="11">
        <v>87.37</v>
      </c>
      <c r="E148" s="11">
        <v>5</v>
      </c>
      <c r="F148" s="44">
        <v>458.6925</v>
      </c>
    </row>
    <row r="149" spans="1:6" x14ac:dyDescent="0.35">
      <c r="A149" s="43" t="s">
        <v>369</v>
      </c>
      <c r="B149" s="11" t="s">
        <v>1666</v>
      </c>
      <c r="C149" s="11" t="s">
        <v>1501</v>
      </c>
      <c r="D149" s="11">
        <v>27.04</v>
      </c>
      <c r="E149" s="11">
        <v>4</v>
      </c>
      <c r="F149" s="44">
        <v>113.568</v>
      </c>
    </row>
    <row r="150" spans="1:6" x14ac:dyDescent="0.35">
      <c r="A150" s="43" t="s">
        <v>210</v>
      </c>
      <c r="B150" s="11" t="s">
        <v>1667</v>
      </c>
      <c r="C150" s="11" t="s">
        <v>1482</v>
      </c>
      <c r="D150" s="11">
        <v>62.19</v>
      </c>
      <c r="E150" s="11">
        <v>4</v>
      </c>
      <c r="F150" s="44">
        <v>261.19799999999998</v>
      </c>
    </row>
    <row r="151" spans="1:6" x14ac:dyDescent="0.35">
      <c r="A151" s="43" t="s">
        <v>373</v>
      </c>
      <c r="B151" s="11" t="s">
        <v>1668</v>
      </c>
      <c r="C151" s="11" t="s">
        <v>1462</v>
      </c>
      <c r="D151" s="11">
        <v>69.58</v>
      </c>
      <c r="E151" s="11">
        <v>9</v>
      </c>
      <c r="F151" s="44">
        <v>657.53099999999995</v>
      </c>
    </row>
    <row r="152" spans="1:6" x14ac:dyDescent="0.35">
      <c r="A152" s="43" t="s">
        <v>375</v>
      </c>
      <c r="B152" s="11" t="s">
        <v>1669</v>
      </c>
      <c r="C152" s="11" t="s">
        <v>1482</v>
      </c>
      <c r="D152" s="11">
        <v>97.5</v>
      </c>
      <c r="E152" s="11">
        <v>10</v>
      </c>
      <c r="F152" s="44">
        <v>1023.75</v>
      </c>
    </row>
    <row r="153" spans="1:6" x14ac:dyDescent="0.35">
      <c r="A153" s="43" t="s">
        <v>377</v>
      </c>
      <c r="B153" s="11" t="s">
        <v>1670</v>
      </c>
      <c r="C153" s="11" t="s">
        <v>1468</v>
      </c>
      <c r="D153" s="11">
        <v>60.41</v>
      </c>
      <c r="E153" s="11">
        <v>8</v>
      </c>
      <c r="F153" s="44">
        <v>507.44400000000002</v>
      </c>
    </row>
    <row r="154" spans="1:6" x14ac:dyDescent="0.35">
      <c r="A154" s="43" t="s">
        <v>379</v>
      </c>
      <c r="B154" s="11" t="s">
        <v>1671</v>
      </c>
      <c r="C154" s="11" t="s">
        <v>1486</v>
      </c>
      <c r="D154" s="11">
        <v>32.32</v>
      </c>
      <c r="E154" s="11">
        <v>3</v>
      </c>
      <c r="F154" s="44">
        <v>101.80800000000001</v>
      </c>
    </row>
    <row r="155" spans="1:6" x14ac:dyDescent="0.35">
      <c r="A155" s="43" t="s">
        <v>381</v>
      </c>
      <c r="B155" s="11" t="s">
        <v>1672</v>
      </c>
      <c r="C155" s="11" t="s">
        <v>1468</v>
      </c>
      <c r="D155" s="11">
        <v>19.77</v>
      </c>
      <c r="E155" s="11">
        <v>10</v>
      </c>
      <c r="F155" s="44">
        <v>207.58500000000001</v>
      </c>
    </row>
    <row r="156" spans="1:6" x14ac:dyDescent="0.35">
      <c r="A156" s="43" t="s">
        <v>383</v>
      </c>
      <c r="B156" s="11" t="s">
        <v>1673</v>
      </c>
      <c r="C156" s="11" t="s">
        <v>1473</v>
      </c>
      <c r="D156" s="11">
        <v>80.47</v>
      </c>
      <c r="E156" s="11">
        <v>9</v>
      </c>
      <c r="F156" s="44">
        <v>760.44150000000002</v>
      </c>
    </row>
    <row r="157" spans="1:6" x14ac:dyDescent="0.35">
      <c r="A157" s="43" t="s">
        <v>385</v>
      </c>
      <c r="B157" s="11" t="s">
        <v>1674</v>
      </c>
      <c r="C157" s="11" t="s">
        <v>1482</v>
      </c>
      <c r="D157" s="11">
        <v>88.39</v>
      </c>
      <c r="E157" s="11">
        <v>9</v>
      </c>
      <c r="F157" s="44">
        <v>835.28549999999996</v>
      </c>
    </row>
    <row r="158" spans="1:6" x14ac:dyDescent="0.35">
      <c r="A158" s="43" t="s">
        <v>387</v>
      </c>
      <c r="B158" s="11" t="s">
        <v>1675</v>
      </c>
      <c r="C158" s="11" t="s">
        <v>1473</v>
      </c>
      <c r="D158" s="11">
        <v>71.77</v>
      </c>
      <c r="E158" s="11">
        <v>7</v>
      </c>
      <c r="F158" s="44">
        <v>527.5095</v>
      </c>
    </row>
    <row r="159" spans="1:6" x14ac:dyDescent="0.35">
      <c r="A159" s="43" t="s">
        <v>389</v>
      </c>
      <c r="B159" s="11" t="s">
        <v>1676</v>
      </c>
      <c r="C159" s="11" t="s">
        <v>1462</v>
      </c>
      <c r="D159" s="11">
        <v>43</v>
      </c>
      <c r="E159" s="11">
        <v>4</v>
      </c>
      <c r="F159" s="44">
        <v>180.6</v>
      </c>
    </row>
    <row r="160" spans="1:6" x14ac:dyDescent="0.35">
      <c r="A160" s="43" t="s">
        <v>228</v>
      </c>
      <c r="B160" s="11" t="s">
        <v>1678</v>
      </c>
      <c r="C160" s="11" t="s">
        <v>1486</v>
      </c>
      <c r="D160" s="11">
        <v>68.98</v>
      </c>
      <c r="E160" s="11">
        <v>1</v>
      </c>
      <c r="F160" s="44">
        <v>72.429000000000002</v>
      </c>
    </row>
    <row r="161" spans="1:6" x14ac:dyDescent="0.35">
      <c r="A161" s="43" t="s">
        <v>246</v>
      </c>
      <c r="B161" s="11" t="s">
        <v>1680</v>
      </c>
      <c r="C161" s="11" t="s">
        <v>1468</v>
      </c>
      <c r="D161" s="11">
        <v>15.62</v>
      </c>
      <c r="E161" s="11">
        <v>8</v>
      </c>
      <c r="F161" s="44">
        <v>131.208</v>
      </c>
    </row>
    <row r="162" spans="1:6" x14ac:dyDescent="0.35">
      <c r="A162" s="43" t="s">
        <v>393</v>
      </c>
      <c r="B162" s="11" t="s">
        <v>1681</v>
      </c>
      <c r="C162" s="11" t="s">
        <v>1501</v>
      </c>
      <c r="D162" s="11">
        <v>25.7</v>
      </c>
      <c r="E162" s="11">
        <v>3</v>
      </c>
      <c r="F162" s="44">
        <v>80.954999999999998</v>
      </c>
    </row>
    <row r="163" spans="1:6" x14ac:dyDescent="0.35">
      <c r="A163" s="43" t="s">
        <v>395</v>
      </c>
      <c r="B163" s="11" t="s">
        <v>1682</v>
      </c>
      <c r="C163" s="11" t="s">
        <v>1486</v>
      </c>
      <c r="D163" s="11">
        <v>80.62</v>
      </c>
      <c r="E163" s="11">
        <v>6</v>
      </c>
      <c r="F163" s="44">
        <v>507.90600000000001</v>
      </c>
    </row>
    <row r="164" spans="1:6" x14ac:dyDescent="0.35">
      <c r="A164" s="43" t="s">
        <v>397</v>
      </c>
      <c r="B164" s="11" t="s">
        <v>1684</v>
      </c>
      <c r="C164" s="11" t="s">
        <v>1482</v>
      </c>
      <c r="D164" s="11">
        <v>75.53</v>
      </c>
      <c r="E164" s="11">
        <v>4</v>
      </c>
      <c r="F164" s="44">
        <v>317.226</v>
      </c>
    </row>
    <row r="165" spans="1:6" x14ac:dyDescent="0.35">
      <c r="A165" s="43" t="s">
        <v>399</v>
      </c>
      <c r="B165" s="11" t="s">
        <v>1685</v>
      </c>
      <c r="C165" s="11" t="s">
        <v>1462</v>
      </c>
      <c r="D165" s="11">
        <v>77.63</v>
      </c>
      <c r="E165" s="11">
        <v>9</v>
      </c>
      <c r="F165" s="44">
        <v>733.60350000000005</v>
      </c>
    </row>
    <row r="166" spans="1:6" x14ac:dyDescent="0.35">
      <c r="A166" s="43" t="s">
        <v>401</v>
      </c>
      <c r="B166" s="11" t="s">
        <v>1686</v>
      </c>
      <c r="C166" s="11" t="s">
        <v>1473</v>
      </c>
      <c r="D166" s="11">
        <v>13.85</v>
      </c>
      <c r="E166" s="11">
        <v>9</v>
      </c>
      <c r="F166" s="44">
        <v>130.88249999999999</v>
      </c>
    </row>
    <row r="167" spans="1:6" x14ac:dyDescent="0.35">
      <c r="A167" s="43" t="s">
        <v>403</v>
      </c>
      <c r="B167" s="11" t="s">
        <v>1687</v>
      </c>
      <c r="C167" s="11" t="s">
        <v>1468</v>
      </c>
      <c r="D167" s="11">
        <v>98.7</v>
      </c>
      <c r="E167" s="11">
        <v>8</v>
      </c>
      <c r="F167" s="44">
        <v>829.08</v>
      </c>
    </row>
    <row r="168" spans="1:6" x14ac:dyDescent="0.35">
      <c r="A168" s="43" t="s">
        <v>405</v>
      </c>
      <c r="B168" s="11" t="s">
        <v>1688</v>
      </c>
      <c r="C168" s="11" t="s">
        <v>1473</v>
      </c>
      <c r="D168" s="11">
        <v>35.68</v>
      </c>
      <c r="E168" s="11">
        <v>5</v>
      </c>
      <c r="F168" s="44">
        <v>187.32</v>
      </c>
    </row>
    <row r="169" spans="1:6" x14ac:dyDescent="0.35">
      <c r="A169" s="43" t="s">
        <v>407</v>
      </c>
      <c r="B169" s="11" t="s">
        <v>1689</v>
      </c>
      <c r="C169" s="11" t="s">
        <v>1468</v>
      </c>
      <c r="D169" s="11">
        <v>71.459999999999994</v>
      </c>
      <c r="E169" s="11">
        <v>7</v>
      </c>
      <c r="F169" s="44">
        <v>525.23099999999999</v>
      </c>
    </row>
    <row r="170" spans="1:6" x14ac:dyDescent="0.35">
      <c r="A170" s="43" t="s">
        <v>409</v>
      </c>
      <c r="B170" s="11" t="s">
        <v>1690</v>
      </c>
      <c r="C170" s="11" t="s">
        <v>1462</v>
      </c>
      <c r="D170" s="11">
        <v>11.94</v>
      </c>
      <c r="E170" s="11">
        <v>3</v>
      </c>
      <c r="F170" s="44">
        <v>37.610999999999997</v>
      </c>
    </row>
    <row r="171" spans="1:6" x14ac:dyDescent="0.35">
      <c r="A171" s="43" t="s">
        <v>411</v>
      </c>
      <c r="B171" s="11" t="s">
        <v>1691</v>
      </c>
      <c r="C171" s="11" t="s">
        <v>1468</v>
      </c>
      <c r="D171" s="11">
        <v>45.38</v>
      </c>
      <c r="E171" s="11">
        <v>3</v>
      </c>
      <c r="F171" s="44">
        <v>142.947</v>
      </c>
    </row>
    <row r="172" spans="1:6" x14ac:dyDescent="0.35">
      <c r="A172" s="43" t="s">
        <v>412</v>
      </c>
      <c r="B172" s="11" t="s">
        <v>1692</v>
      </c>
      <c r="C172" s="11" t="s">
        <v>1468</v>
      </c>
      <c r="D172" s="11">
        <v>17.48</v>
      </c>
      <c r="E172" s="11">
        <v>6</v>
      </c>
      <c r="F172" s="44">
        <v>110.124</v>
      </c>
    </row>
    <row r="173" spans="1:6" x14ac:dyDescent="0.35">
      <c r="A173" s="43" t="s">
        <v>414</v>
      </c>
      <c r="B173" s="11" t="s">
        <v>1693</v>
      </c>
      <c r="C173" s="11" t="s">
        <v>1468</v>
      </c>
      <c r="D173" s="11">
        <v>25.56</v>
      </c>
      <c r="E173" s="11">
        <v>7</v>
      </c>
      <c r="F173" s="44">
        <v>187.86600000000001</v>
      </c>
    </row>
    <row r="174" spans="1:6" x14ac:dyDescent="0.35">
      <c r="A174" s="43" t="s">
        <v>416</v>
      </c>
      <c r="B174" s="11" t="s">
        <v>1694</v>
      </c>
      <c r="C174" s="11" t="s">
        <v>1501</v>
      </c>
      <c r="D174" s="11">
        <v>90.63</v>
      </c>
      <c r="E174" s="11">
        <v>9</v>
      </c>
      <c r="F174" s="44">
        <v>856.45349999999996</v>
      </c>
    </row>
    <row r="175" spans="1:6" x14ac:dyDescent="0.35">
      <c r="A175" s="43" t="s">
        <v>418</v>
      </c>
      <c r="B175" s="11" t="s">
        <v>1695</v>
      </c>
      <c r="C175" s="11" t="s">
        <v>1482</v>
      </c>
      <c r="D175" s="11">
        <v>44.12</v>
      </c>
      <c r="E175" s="11">
        <v>3</v>
      </c>
      <c r="F175" s="44">
        <v>138.97800000000001</v>
      </c>
    </row>
    <row r="176" spans="1:6" x14ac:dyDescent="0.35">
      <c r="A176" s="43" t="s">
        <v>420</v>
      </c>
      <c r="B176" s="11" t="s">
        <v>1696</v>
      </c>
      <c r="C176" s="11" t="s">
        <v>1486</v>
      </c>
      <c r="D176" s="11">
        <v>36.770000000000003</v>
      </c>
      <c r="E176" s="11">
        <v>7</v>
      </c>
      <c r="F176" s="44">
        <v>270.2595</v>
      </c>
    </row>
    <row r="177" spans="1:6" x14ac:dyDescent="0.35">
      <c r="A177" s="43" t="s">
        <v>422</v>
      </c>
      <c r="B177" s="11" t="s">
        <v>1697</v>
      </c>
      <c r="C177" s="11" t="s">
        <v>1486</v>
      </c>
      <c r="D177" s="11">
        <v>23.34</v>
      </c>
      <c r="E177" s="11">
        <v>4</v>
      </c>
      <c r="F177" s="44">
        <v>98.028000000000006</v>
      </c>
    </row>
    <row r="178" spans="1:6" x14ac:dyDescent="0.35">
      <c r="A178" s="43" t="s">
        <v>424</v>
      </c>
      <c r="B178" s="11" t="s">
        <v>1698</v>
      </c>
      <c r="C178" s="11" t="s">
        <v>1473</v>
      </c>
      <c r="D178" s="11">
        <v>28.5</v>
      </c>
      <c r="E178" s="11">
        <v>8</v>
      </c>
      <c r="F178" s="44">
        <v>239.4</v>
      </c>
    </row>
    <row r="179" spans="1:6" x14ac:dyDescent="0.35">
      <c r="A179" s="43" t="s">
        <v>426</v>
      </c>
      <c r="B179" s="11" t="s">
        <v>1699</v>
      </c>
      <c r="C179" s="11" t="s">
        <v>1482</v>
      </c>
      <c r="D179" s="11">
        <v>55.57</v>
      </c>
      <c r="E179" s="11">
        <v>3</v>
      </c>
      <c r="F179" s="44">
        <v>175.0455</v>
      </c>
    </row>
    <row r="180" spans="1:6" x14ac:dyDescent="0.35">
      <c r="A180" s="43" t="s">
        <v>428</v>
      </c>
      <c r="B180" s="11" t="s">
        <v>1700</v>
      </c>
      <c r="C180" s="11" t="s">
        <v>1501</v>
      </c>
      <c r="D180" s="11">
        <v>69.739999999999995</v>
      </c>
      <c r="E180" s="11">
        <v>10</v>
      </c>
      <c r="F180" s="44">
        <v>732.27</v>
      </c>
    </row>
    <row r="181" spans="1:6" x14ac:dyDescent="0.35">
      <c r="A181" s="43" t="s">
        <v>430</v>
      </c>
      <c r="B181" s="11" t="s">
        <v>1701</v>
      </c>
      <c r="C181" s="11" t="s">
        <v>1468</v>
      </c>
      <c r="D181" s="11">
        <v>97.26</v>
      </c>
      <c r="E181" s="11">
        <v>4</v>
      </c>
      <c r="F181" s="44">
        <v>408.49200000000002</v>
      </c>
    </row>
    <row r="182" spans="1:6" x14ac:dyDescent="0.35">
      <c r="A182" s="43" t="s">
        <v>432</v>
      </c>
      <c r="B182" s="11" t="s">
        <v>1703</v>
      </c>
      <c r="C182" s="11" t="s">
        <v>1482</v>
      </c>
      <c r="D182" s="11">
        <v>52.18</v>
      </c>
      <c r="E182" s="11">
        <v>7</v>
      </c>
      <c r="F182" s="44">
        <v>383.52300000000002</v>
      </c>
    </row>
    <row r="183" spans="1:6" x14ac:dyDescent="0.35">
      <c r="A183" s="43" t="s">
        <v>434</v>
      </c>
      <c r="B183" s="11" t="s">
        <v>1704</v>
      </c>
      <c r="C183" s="11" t="s">
        <v>1468</v>
      </c>
      <c r="D183" s="11">
        <v>22.32</v>
      </c>
      <c r="E183" s="11">
        <v>4</v>
      </c>
      <c r="F183" s="44">
        <v>93.744</v>
      </c>
    </row>
    <row r="184" spans="1:6" x14ac:dyDescent="0.35">
      <c r="A184" s="43" t="s">
        <v>436</v>
      </c>
      <c r="B184" s="11" t="s">
        <v>1705</v>
      </c>
      <c r="C184" s="11" t="s">
        <v>1473</v>
      </c>
      <c r="D184" s="11">
        <v>56</v>
      </c>
      <c r="E184" s="11">
        <v>3</v>
      </c>
      <c r="F184" s="44">
        <v>176.4</v>
      </c>
    </row>
    <row r="185" spans="1:6" x14ac:dyDescent="0.35">
      <c r="A185" s="43" t="s">
        <v>438</v>
      </c>
      <c r="B185" s="11" t="s">
        <v>1706</v>
      </c>
      <c r="C185" s="11" t="s">
        <v>1468</v>
      </c>
      <c r="D185" s="11">
        <v>19.7</v>
      </c>
      <c r="E185" s="11">
        <v>1</v>
      </c>
      <c r="F185" s="44">
        <v>20.684999999999999</v>
      </c>
    </row>
    <row r="186" spans="1:6" x14ac:dyDescent="0.35">
      <c r="A186" s="43" t="s">
        <v>440</v>
      </c>
      <c r="B186" s="11" t="s">
        <v>1707</v>
      </c>
      <c r="C186" s="11" t="s">
        <v>1462</v>
      </c>
      <c r="D186" s="11">
        <v>75.88</v>
      </c>
      <c r="E186" s="11">
        <v>7</v>
      </c>
      <c r="F186" s="44">
        <v>557.71799999999996</v>
      </c>
    </row>
    <row r="187" spans="1:6" x14ac:dyDescent="0.35">
      <c r="A187" s="43" t="s">
        <v>100</v>
      </c>
      <c r="B187" s="11" t="s">
        <v>1708</v>
      </c>
      <c r="C187" s="11" t="s">
        <v>1486</v>
      </c>
      <c r="D187" s="11">
        <v>53.72</v>
      </c>
      <c r="E187" s="11">
        <v>1</v>
      </c>
      <c r="F187" s="44">
        <v>56.405999999999999</v>
      </c>
    </row>
    <row r="188" spans="1:6" x14ac:dyDescent="0.35">
      <c r="A188" s="43" t="s">
        <v>444</v>
      </c>
      <c r="B188" s="11" t="s">
        <v>1709</v>
      </c>
      <c r="C188" s="11" t="s">
        <v>1473</v>
      </c>
      <c r="D188" s="11">
        <v>81.95</v>
      </c>
      <c r="E188" s="11">
        <v>10</v>
      </c>
      <c r="F188" s="44">
        <v>860.47500000000002</v>
      </c>
    </row>
    <row r="189" spans="1:6" x14ac:dyDescent="0.35">
      <c r="A189" s="43" t="s">
        <v>446</v>
      </c>
      <c r="B189" s="11" t="s">
        <v>1710</v>
      </c>
      <c r="C189" s="11" t="s">
        <v>1482</v>
      </c>
      <c r="D189" s="11">
        <v>81.2</v>
      </c>
      <c r="E189" s="11">
        <v>7</v>
      </c>
      <c r="F189" s="44">
        <v>596.82000000000005</v>
      </c>
    </row>
    <row r="190" spans="1:6" x14ac:dyDescent="0.35">
      <c r="A190" s="43" t="s">
        <v>448</v>
      </c>
      <c r="B190" s="11" t="s">
        <v>1712</v>
      </c>
      <c r="C190" s="11" t="s">
        <v>1462</v>
      </c>
      <c r="D190" s="11">
        <v>58.76</v>
      </c>
      <c r="E190" s="11">
        <v>10</v>
      </c>
      <c r="F190" s="44">
        <v>616.98</v>
      </c>
    </row>
    <row r="191" spans="1:6" x14ac:dyDescent="0.35">
      <c r="A191" s="43" t="s">
        <v>450</v>
      </c>
      <c r="B191" s="11" t="s">
        <v>1713</v>
      </c>
      <c r="C191" s="11" t="s">
        <v>1462</v>
      </c>
      <c r="D191" s="11">
        <v>91.56</v>
      </c>
      <c r="E191" s="11">
        <v>8</v>
      </c>
      <c r="F191" s="44">
        <v>769.10400000000004</v>
      </c>
    </row>
    <row r="192" spans="1:6" x14ac:dyDescent="0.35">
      <c r="A192" s="43" t="s">
        <v>452</v>
      </c>
      <c r="B192" s="11" t="s">
        <v>1714</v>
      </c>
      <c r="C192" s="11" t="s">
        <v>1482</v>
      </c>
      <c r="D192" s="11">
        <v>93.96</v>
      </c>
      <c r="E192" s="11">
        <v>9</v>
      </c>
      <c r="F192" s="44">
        <v>887.92200000000003</v>
      </c>
    </row>
    <row r="193" spans="1:6" x14ac:dyDescent="0.35">
      <c r="A193" s="43" t="s">
        <v>454</v>
      </c>
      <c r="B193" s="11" t="s">
        <v>1715</v>
      </c>
      <c r="C193" s="11" t="s">
        <v>1482</v>
      </c>
      <c r="D193" s="11">
        <v>55.61</v>
      </c>
      <c r="E193" s="11">
        <v>7</v>
      </c>
      <c r="F193" s="44">
        <v>408.73349999999999</v>
      </c>
    </row>
    <row r="194" spans="1:6" x14ac:dyDescent="0.35">
      <c r="A194" s="43" t="s">
        <v>456</v>
      </c>
      <c r="B194" s="11" t="s">
        <v>1716</v>
      </c>
      <c r="C194" s="11" t="s">
        <v>1486</v>
      </c>
      <c r="D194" s="11">
        <v>84.83</v>
      </c>
      <c r="E194" s="11">
        <v>1</v>
      </c>
      <c r="F194" s="44">
        <v>89.0715</v>
      </c>
    </row>
    <row r="195" spans="1:6" x14ac:dyDescent="0.35">
      <c r="A195" s="43" t="s">
        <v>458</v>
      </c>
      <c r="B195" s="11" t="s">
        <v>1717</v>
      </c>
      <c r="C195" s="11" t="s">
        <v>1501</v>
      </c>
      <c r="D195" s="11">
        <v>71.63</v>
      </c>
      <c r="E195" s="11">
        <v>2</v>
      </c>
      <c r="F195" s="44">
        <v>150.423</v>
      </c>
    </row>
    <row r="196" spans="1:6" x14ac:dyDescent="0.35">
      <c r="A196" s="43" t="s">
        <v>460</v>
      </c>
      <c r="B196" s="11" t="s">
        <v>1718</v>
      </c>
      <c r="C196" s="11" t="s">
        <v>1482</v>
      </c>
      <c r="D196" s="11">
        <v>37.69</v>
      </c>
      <c r="E196" s="11">
        <v>2</v>
      </c>
      <c r="F196" s="44">
        <v>79.149000000000001</v>
      </c>
    </row>
    <row r="197" spans="1:6" x14ac:dyDescent="0.35">
      <c r="A197" s="43" t="s">
        <v>463</v>
      </c>
      <c r="B197" s="11" t="s">
        <v>1719</v>
      </c>
      <c r="C197" s="11" t="s">
        <v>1501</v>
      </c>
      <c r="D197" s="11">
        <v>31.67</v>
      </c>
      <c r="E197" s="11">
        <v>8</v>
      </c>
      <c r="F197" s="44">
        <v>266.02800000000002</v>
      </c>
    </row>
    <row r="198" spans="1:6" x14ac:dyDescent="0.35">
      <c r="A198" s="43" t="s">
        <v>465</v>
      </c>
      <c r="B198" s="11" t="s">
        <v>1720</v>
      </c>
      <c r="C198" s="11" t="s">
        <v>1486</v>
      </c>
      <c r="D198" s="11">
        <v>38.42</v>
      </c>
      <c r="E198" s="11">
        <v>1</v>
      </c>
      <c r="F198" s="44">
        <v>40.341000000000001</v>
      </c>
    </row>
    <row r="199" spans="1:6" x14ac:dyDescent="0.35">
      <c r="A199" s="43" t="s">
        <v>467</v>
      </c>
      <c r="B199" s="11" t="s">
        <v>1721</v>
      </c>
      <c r="C199" s="11" t="s">
        <v>1468</v>
      </c>
      <c r="D199" s="11">
        <v>65.23</v>
      </c>
      <c r="E199" s="11">
        <v>10</v>
      </c>
      <c r="F199" s="44">
        <v>684.91499999999996</v>
      </c>
    </row>
    <row r="200" spans="1:6" x14ac:dyDescent="0.35">
      <c r="A200" s="43" t="s">
        <v>469</v>
      </c>
      <c r="B200" s="11" t="s">
        <v>1722</v>
      </c>
      <c r="C200" s="11" t="s">
        <v>1482</v>
      </c>
      <c r="D200" s="11">
        <v>10.53</v>
      </c>
      <c r="E200" s="11">
        <v>5</v>
      </c>
      <c r="F200" s="44">
        <v>55.282499999999999</v>
      </c>
    </row>
    <row r="201" spans="1:6" x14ac:dyDescent="0.35">
      <c r="A201" s="43" t="s">
        <v>471</v>
      </c>
      <c r="B201" s="11" t="s">
        <v>1723</v>
      </c>
      <c r="C201" s="11" t="s">
        <v>1482</v>
      </c>
      <c r="D201" s="11">
        <v>12.29</v>
      </c>
      <c r="E201" s="11">
        <v>9</v>
      </c>
      <c r="F201" s="44">
        <v>116.1405</v>
      </c>
    </row>
    <row r="202" spans="1:6" x14ac:dyDescent="0.35">
      <c r="A202" s="43" t="s">
        <v>473</v>
      </c>
      <c r="B202" s="11" t="s">
        <v>1724</v>
      </c>
      <c r="C202" s="11" t="s">
        <v>1473</v>
      </c>
      <c r="D202" s="11">
        <v>81.23</v>
      </c>
      <c r="E202" s="11">
        <v>7</v>
      </c>
      <c r="F202" s="44">
        <v>597.04049999999995</v>
      </c>
    </row>
    <row r="203" spans="1:6" x14ac:dyDescent="0.35">
      <c r="A203" s="43" t="s">
        <v>475</v>
      </c>
      <c r="B203" s="11" t="s">
        <v>1725</v>
      </c>
      <c r="C203" s="11" t="s">
        <v>1468</v>
      </c>
      <c r="D203" s="11">
        <v>22.32</v>
      </c>
      <c r="E203" s="11">
        <v>4</v>
      </c>
      <c r="F203" s="44">
        <v>93.744</v>
      </c>
    </row>
    <row r="204" spans="1:6" x14ac:dyDescent="0.35">
      <c r="A204" s="43" t="s">
        <v>477</v>
      </c>
      <c r="B204" s="11" t="s">
        <v>1726</v>
      </c>
      <c r="C204" s="11" t="s">
        <v>1486</v>
      </c>
      <c r="D204" s="11">
        <v>27.28</v>
      </c>
      <c r="E204" s="11">
        <v>5</v>
      </c>
      <c r="F204" s="44">
        <v>143.22</v>
      </c>
    </row>
    <row r="205" spans="1:6" x14ac:dyDescent="0.35">
      <c r="A205" s="43" t="s">
        <v>479</v>
      </c>
      <c r="B205" s="11" t="s">
        <v>1727</v>
      </c>
      <c r="C205" s="11" t="s">
        <v>1462</v>
      </c>
      <c r="D205" s="11">
        <v>17.420000000000002</v>
      </c>
      <c r="E205" s="11">
        <v>10</v>
      </c>
      <c r="F205" s="44">
        <v>182.91</v>
      </c>
    </row>
    <row r="206" spans="1:6" x14ac:dyDescent="0.35">
      <c r="A206" s="43" t="s">
        <v>481</v>
      </c>
      <c r="B206" s="11" t="s">
        <v>1728</v>
      </c>
      <c r="C206" s="11" t="s">
        <v>1482</v>
      </c>
      <c r="D206" s="11">
        <v>73.28</v>
      </c>
      <c r="E206" s="11">
        <v>5</v>
      </c>
      <c r="F206" s="44">
        <v>384.72</v>
      </c>
    </row>
    <row r="207" spans="1:6" x14ac:dyDescent="0.35">
      <c r="A207" s="43" t="s">
        <v>483</v>
      </c>
      <c r="B207" s="11" t="s">
        <v>1729</v>
      </c>
      <c r="C207" s="11" t="s">
        <v>1468</v>
      </c>
      <c r="D207" s="11">
        <v>84.87</v>
      </c>
      <c r="E207" s="11">
        <v>3</v>
      </c>
      <c r="F207" s="44">
        <v>267.34050000000002</v>
      </c>
    </row>
    <row r="208" spans="1:6" x14ac:dyDescent="0.35">
      <c r="A208" s="43" t="s">
        <v>486</v>
      </c>
      <c r="B208" s="11" t="s">
        <v>1730</v>
      </c>
      <c r="C208" s="11" t="s">
        <v>1468</v>
      </c>
      <c r="D208" s="11">
        <v>97.29</v>
      </c>
      <c r="E208" s="11">
        <v>8</v>
      </c>
      <c r="F208" s="44">
        <v>817.23599999999999</v>
      </c>
    </row>
    <row r="209" spans="1:6" x14ac:dyDescent="0.35">
      <c r="A209" s="43" t="s">
        <v>488</v>
      </c>
      <c r="B209" s="11" t="s">
        <v>1731</v>
      </c>
      <c r="C209" s="11" t="s">
        <v>1462</v>
      </c>
      <c r="D209" s="11">
        <v>35.74</v>
      </c>
      <c r="E209" s="11">
        <v>8</v>
      </c>
      <c r="F209" s="44">
        <v>300.21600000000001</v>
      </c>
    </row>
    <row r="210" spans="1:6" x14ac:dyDescent="0.35">
      <c r="A210" s="43" t="s">
        <v>490</v>
      </c>
      <c r="B210" s="11" t="s">
        <v>1732</v>
      </c>
      <c r="C210" s="11" t="s">
        <v>1482</v>
      </c>
      <c r="D210" s="11">
        <v>96.52</v>
      </c>
      <c r="E210" s="11">
        <v>6</v>
      </c>
      <c r="F210" s="44">
        <v>608.07600000000002</v>
      </c>
    </row>
    <row r="211" spans="1:6" x14ac:dyDescent="0.35">
      <c r="A211" s="43" t="s">
        <v>492</v>
      </c>
      <c r="B211" s="11" t="s">
        <v>1733</v>
      </c>
      <c r="C211" s="11" t="s">
        <v>1486</v>
      </c>
      <c r="D211" s="11">
        <v>18.850000000000001</v>
      </c>
      <c r="E211" s="11">
        <v>10</v>
      </c>
      <c r="F211" s="44">
        <v>197.92500000000001</v>
      </c>
    </row>
    <row r="212" spans="1:6" x14ac:dyDescent="0.35">
      <c r="A212" s="43" t="s">
        <v>494</v>
      </c>
      <c r="B212" s="11" t="s">
        <v>1734</v>
      </c>
      <c r="C212" s="11" t="s">
        <v>1486</v>
      </c>
      <c r="D212" s="11">
        <v>55.39</v>
      </c>
      <c r="E212" s="11">
        <v>4</v>
      </c>
      <c r="F212" s="44">
        <v>232.63800000000001</v>
      </c>
    </row>
    <row r="213" spans="1:6" x14ac:dyDescent="0.35">
      <c r="A213" s="43" t="s">
        <v>496</v>
      </c>
      <c r="B213" s="11" t="s">
        <v>1735</v>
      </c>
      <c r="C213" s="11" t="s">
        <v>1486</v>
      </c>
      <c r="D213" s="11">
        <v>77.2</v>
      </c>
      <c r="E213" s="11">
        <v>10</v>
      </c>
      <c r="F213" s="44">
        <v>810.6</v>
      </c>
    </row>
    <row r="214" spans="1:6" x14ac:dyDescent="0.35">
      <c r="A214" s="43" t="s">
        <v>498</v>
      </c>
      <c r="B214" s="11" t="s">
        <v>1736</v>
      </c>
      <c r="C214" s="11" t="s">
        <v>1462</v>
      </c>
      <c r="D214" s="11">
        <v>72.13</v>
      </c>
      <c r="E214" s="11">
        <v>10</v>
      </c>
      <c r="F214" s="44">
        <v>757.36500000000001</v>
      </c>
    </row>
    <row r="215" spans="1:6" x14ac:dyDescent="0.35">
      <c r="A215" s="43" t="s">
        <v>500</v>
      </c>
      <c r="B215" s="11" t="s">
        <v>1737</v>
      </c>
      <c r="C215" s="11" t="s">
        <v>1468</v>
      </c>
      <c r="D215" s="11">
        <v>63.88</v>
      </c>
      <c r="E215" s="11">
        <v>8</v>
      </c>
      <c r="F215" s="44">
        <v>536.59199999999998</v>
      </c>
    </row>
    <row r="216" spans="1:6" x14ac:dyDescent="0.35">
      <c r="A216" s="43" t="s">
        <v>502</v>
      </c>
      <c r="B216" s="11" t="s">
        <v>1738</v>
      </c>
      <c r="C216" s="11" t="s">
        <v>1473</v>
      </c>
      <c r="D216" s="11">
        <v>10.69</v>
      </c>
      <c r="E216" s="11">
        <v>5</v>
      </c>
      <c r="F216" s="44">
        <v>56.122500000000002</v>
      </c>
    </row>
    <row r="217" spans="1:6" x14ac:dyDescent="0.35">
      <c r="A217" s="43" t="s">
        <v>504</v>
      </c>
      <c r="B217" s="11" t="s">
        <v>1739</v>
      </c>
      <c r="C217" s="11" t="s">
        <v>1473</v>
      </c>
      <c r="D217" s="11">
        <v>55.5</v>
      </c>
      <c r="E217" s="11">
        <v>4</v>
      </c>
      <c r="F217" s="44">
        <v>233.1</v>
      </c>
    </row>
    <row r="218" spans="1:6" x14ac:dyDescent="0.35">
      <c r="A218" s="43" t="s">
        <v>506</v>
      </c>
      <c r="B218" s="11" t="s">
        <v>1740</v>
      </c>
      <c r="C218" s="11" t="s">
        <v>1482</v>
      </c>
      <c r="D218" s="11">
        <v>95.46</v>
      </c>
      <c r="E218" s="11">
        <v>8</v>
      </c>
      <c r="F218" s="44">
        <v>801.86400000000003</v>
      </c>
    </row>
    <row r="219" spans="1:6" x14ac:dyDescent="0.35">
      <c r="A219" s="43" t="s">
        <v>508</v>
      </c>
      <c r="B219" s="11" t="s">
        <v>1741</v>
      </c>
      <c r="C219" s="11" t="s">
        <v>1468</v>
      </c>
      <c r="D219" s="11">
        <v>76.06</v>
      </c>
      <c r="E219" s="11">
        <v>3</v>
      </c>
      <c r="F219" s="44">
        <v>239.589</v>
      </c>
    </row>
    <row r="220" spans="1:6" x14ac:dyDescent="0.35">
      <c r="A220" s="43" t="s">
        <v>510</v>
      </c>
      <c r="B220" s="11" t="s">
        <v>1742</v>
      </c>
      <c r="C220" s="11" t="s">
        <v>1501</v>
      </c>
      <c r="D220" s="11">
        <v>13.69</v>
      </c>
      <c r="E220" s="11">
        <v>6</v>
      </c>
      <c r="F220" s="44">
        <v>86.247</v>
      </c>
    </row>
    <row r="221" spans="1:6" x14ac:dyDescent="0.35">
      <c r="A221" s="43" t="s">
        <v>512</v>
      </c>
      <c r="B221" s="11" t="s">
        <v>1743</v>
      </c>
      <c r="C221" s="11" t="s">
        <v>1462</v>
      </c>
      <c r="D221" s="11">
        <v>95.64</v>
      </c>
      <c r="E221" s="11">
        <v>4</v>
      </c>
      <c r="F221" s="44">
        <v>401.68799999999999</v>
      </c>
    </row>
    <row r="222" spans="1:6" x14ac:dyDescent="0.35">
      <c r="A222" s="43" t="s">
        <v>514</v>
      </c>
      <c r="B222" s="11" t="s">
        <v>1744</v>
      </c>
      <c r="C222" s="11" t="s">
        <v>1482</v>
      </c>
      <c r="D222" s="11">
        <v>11.43</v>
      </c>
      <c r="E222" s="11">
        <v>6</v>
      </c>
      <c r="F222" s="44">
        <v>72.009</v>
      </c>
    </row>
    <row r="223" spans="1:6" x14ac:dyDescent="0.35">
      <c r="A223" s="43" t="s">
        <v>516</v>
      </c>
      <c r="B223" s="11" t="s">
        <v>1745</v>
      </c>
      <c r="C223" s="11" t="s">
        <v>1501</v>
      </c>
      <c r="D223" s="11">
        <v>95.54</v>
      </c>
      <c r="E223" s="11">
        <v>4</v>
      </c>
      <c r="F223" s="44">
        <v>401.26799999999997</v>
      </c>
    </row>
    <row r="224" spans="1:6" x14ac:dyDescent="0.35">
      <c r="A224" s="43" t="s">
        <v>518</v>
      </c>
      <c r="B224" s="11" t="s">
        <v>1746</v>
      </c>
      <c r="C224" s="11" t="s">
        <v>1473</v>
      </c>
      <c r="D224" s="11">
        <v>85.87</v>
      </c>
      <c r="E224" s="11">
        <v>7</v>
      </c>
      <c r="F224" s="44">
        <v>631.14449999999999</v>
      </c>
    </row>
    <row r="225" spans="1:6" x14ac:dyDescent="0.35">
      <c r="A225" s="43" t="s">
        <v>520</v>
      </c>
      <c r="B225" s="11" t="s">
        <v>1747</v>
      </c>
      <c r="C225" s="11" t="s">
        <v>1501</v>
      </c>
      <c r="D225" s="11">
        <v>67.989999999999995</v>
      </c>
      <c r="E225" s="11">
        <v>7</v>
      </c>
      <c r="F225" s="44">
        <v>499.72649999999999</v>
      </c>
    </row>
    <row r="226" spans="1:6" x14ac:dyDescent="0.35">
      <c r="A226" s="43" t="s">
        <v>522</v>
      </c>
      <c r="B226" s="11" t="s">
        <v>1748</v>
      </c>
      <c r="C226" s="11" t="s">
        <v>1486</v>
      </c>
      <c r="D226" s="11">
        <v>52.42</v>
      </c>
      <c r="E226" s="11">
        <v>1</v>
      </c>
      <c r="F226" s="44">
        <v>55.040999999999997</v>
      </c>
    </row>
    <row r="227" spans="1:6" x14ac:dyDescent="0.35">
      <c r="A227" s="43" t="s">
        <v>524</v>
      </c>
      <c r="B227" s="11" t="s">
        <v>1749</v>
      </c>
      <c r="C227" s="11" t="s">
        <v>1486</v>
      </c>
      <c r="D227" s="11">
        <v>65.650000000000006</v>
      </c>
      <c r="E227" s="11">
        <v>2</v>
      </c>
      <c r="F227" s="44">
        <v>137.86500000000001</v>
      </c>
    </row>
    <row r="228" spans="1:6" x14ac:dyDescent="0.35">
      <c r="A228" s="43" t="s">
        <v>526</v>
      </c>
      <c r="B228" s="11" t="s">
        <v>1750</v>
      </c>
      <c r="C228" s="11" t="s">
        <v>1486</v>
      </c>
      <c r="D228" s="11">
        <v>28.86</v>
      </c>
      <c r="E228" s="11">
        <v>5</v>
      </c>
      <c r="F228" s="44">
        <v>151.51499999999999</v>
      </c>
    </row>
    <row r="229" spans="1:6" x14ac:dyDescent="0.35">
      <c r="A229" s="43" t="s">
        <v>528</v>
      </c>
      <c r="B229" s="11" t="s">
        <v>1751</v>
      </c>
      <c r="C229" s="11" t="s">
        <v>1473</v>
      </c>
      <c r="D229" s="11">
        <v>65.31</v>
      </c>
      <c r="E229" s="11">
        <v>7</v>
      </c>
      <c r="F229" s="44">
        <v>480.02850000000001</v>
      </c>
    </row>
    <row r="230" spans="1:6" x14ac:dyDescent="0.35">
      <c r="A230" s="43" t="s">
        <v>530</v>
      </c>
      <c r="B230" s="11" t="s">
        <v>1752</v>
      </c>
      <c r="C230" s="11" t="s">
        <v>1501</v>
      </c>
      <c r="D230" s="11">
        <v>93.38</v>
      </c>
      <c r="E230" s="11">
        <v>1</v>
      </c>
      <c r="F230" s="44">
        <v>98.049000000000007</v>
      </c>
    </row>
    <row r="231" spans="1:6" x14ac:dyDescent="0.35">
      <c r="A231" s="43" t="s">
        <v>532</v>
      </c>
      <c r="B231" s="11" t="s">
        <v>1753</v>
      </c>
      <c r="C231" s="11" t="s">
        <v>1501</v>
      </c>
      <c r="D231" s="11">
        <v>25.25</v>
      </c>
      <c r="E231" s="11">
        <v>5</v>
      </c>
      <c r="F231" s="44">
        <v>132.5625</v>
      </c>
    </row>
    <row r="232" spans="1:6" x14ac:dyDescent="0.35">
      <c r="A232" s="43" t="s">
        <v>534</v>
      </c>
      <c r="B232" s="11" t="s">
        <v>1754</v>
      </c>
      <c r="C232" s="11" t="s">
        <v>1462</v>
      </c>
      <c r="D232" s="11">
        <v>87.87</v>
      </c>
      <c r="E232" s="11">
        <v>9</v>
      </c>
      <c r="F232" s="44">
        <v>830.37149999999997</v>
      </c>
    </row>
    <row r="233" spans="1:6" x14ac:dyDescent="0.35">
      <c r="A233" s="43" t="s">
        <v>536</v>
      </c>
      <c r="B233" s="11" t="s">
        <v>1755</v>
      </c>
      <c r="C233" s="11" t="s">
        <v>1473</v>
      </c>
      <c r="D233" s="11">
        <v>21.8</v>
      </c>
      <c r="E233" s="11">
        <v>8</v>
      </c>
      <c r="F233" s="44">
        <v>183.12</v>
      </c>
    </row>
    <row r="234" spans="1:6" x14ac:dyDescent="0.35">
      <c r="A234" s="43" t="s">
        <v>538</v>
      </c>
      <c r="B234" s="11" t="s">
        <v>1756</v>
      </c>
      <c r="C234" s="11" t="s">
        <v>1501</v>
      </c>
      <c r="D234" s="11">
        <v>94.76</v>
      </c>
      <c r="E234" s="11">
        <v>4</v>
      </c>
      <c r="F234" s="44">
        <v>397.99200000000002</v>
      </c>
    </row>
    <row r="235" spans="1:6" x14ac:dyDescent="0.35">
      <c r="A235" s="43" t="s">
        <v>540</v>
      </c>
      <c r="B235" s="11" t="s">
        <v>1757</v>
      </c>
      <c r="C235" s="11" t="s">
        <v>1468</v>
      </c>
      <c r="D235" s="11">
        <v>30.62</v>
      </c>
      <c r="E235" s="11">
        <v>1</v>
      </c>
      <c r="F235" s="44">
        <v>32.151000000000003</v>
      </c>
    </row>
    <row r="236" spans="1:6" x14ac:dyDescent="0.35">
      <c r="A236" s="43" t="s">
        <v>542</v>
      </c>
      <c r="B236" s="11" t="s">
        <v>1758</v>
      </c>
      <c r="C236" s="11" t="s">
        <v>1482</v>
      </c>
      <c r="D236" s="11">
        <v>44.01</v>
      </c>
      <c r="E236" s="11">
        <v>8</v>
      </c>
      <c r="F236" s="44">
        <v>369.68400000000003</v>
      </c>
    </row>
    <row r="237" spans="1:6" x14ac:dyDescent="0.35">
      <c r="A237" s="43" t="s">
        <v>544</v>
      </c>
      <c r="B237" s="11" t="s">
        <v>1759</v>
      </c>
      <c r="C237" s="11" t="s">
        <v>1473</v>
      </c>
      <c r="D237" s="11">
        <v>10.16</v>
      </c>
      <c r="E237" s="11">
        <v>5</v>
      </c>
      <c r="F237" s="44">
        <v>53.34</v>
      </c>
    </row>
    <row r="238" spans="1:6" x14ac:dyDescent="0.35">
      <c r="A238" s="43" t="s">
        <v>546</v>
      </c>
      <c r="B238" s="11" t="s">
        <v>1760</v>
      </c>
      <c r="C238" s="11" t="s">
        <v>1462</v>
      </c>
      <c r="D238" s="11">
        <v>74.58</v>
      </c>
      <c r="E238" s="11">
        <v>7</v>
      </c>
      <c r="F238" s="44">
        <v>548.16300000000001</v>
      </c>
    </row>
    <row r="239" spans="1:6" x14ac:dyDescent="0.35">
      <c r="A239" s="43" t="s">
        <v>548</v>
      </c>
      <c r="B239" s="11" t="s">
        <v>1761</v>
      </c>
      <c r="C239" s="11" t="s">
        <v>1462</v>
      </c>
      <c r="D239" s="11">
        <v>71.89</v>
      </c>
      <c r="E239" s="11">
        <v>8</v>
      </c>
      <c r="F239" s="44">
        <v>603.87599999999998</v>
      </c>
    </row>
    <row r="240" spans="1:6" x14ac:dyDescent="0.35">
      <c r="A240" s="43" t="s">
        <v>550</v>
      </c>
      <c r="B240" s="11" t="s">
        <v>1762</v>
      </c>
      <c r="C240" s="11" t="s">
        <v>1473</v>
      </c>
      <c r="D240" s="11">
        <v>10.99</v>
      </c>
      <c r="E240" s="11">
        <v>5</v>
      </c>
      <c r="F240" s="44">
        <v>57.697499999999998</v>
      </c>
    </row>
    <row r="241" spans="1:6" x14ac:dyDescent="0.35">
      <c r="A241" s="43" t="s">
        <v>552</v>
      </c>
      <c r="B241" s="11" t="s">
        <v>1763</v>
      </c>
      <c r="C241" s="11" t="s">
        <v>1473</v>
      </c>
      <c r="D241" s="11">
        <v>60.47</v>
      </c>
      <c r="E241" s="11">
        <v>3</v>
      </c>
      <c r="F241" s="44">
        <v>190.48050000000001</v>
      </c>
    </row>
    <row r="242" spans="1:6" x14ac:dyDescent="0.35">
      <c r="A242" s="43" t="s">
        <v>554</v>
      </c>
      <c r="B242" s="11" t="s">
        <v>1764</v>
      </c>
      <c r="C242" s="11" t="s">
        <v>1501</v>
      </c>
      <c r="D242" s="11">
        <v>58.91</v>
      </c>
      <c r="E242" s="11">
        <v>7</v>
      </c>
      <c r="F242" s="44">
        <v>432.98849999999999</v>
      </c>
    </row>
    <row r="243" spans="1:6" x14ac:dyDescent="0.35">
      <c r="A243" s="43" t="s">
        <v>556</v>
      </c>
      <c r="B243" s="11" t="s">
        <v>1765</v>
      </c>
      <c r="C243" s="11" t="s">
        <v>1468</v>
      </c>
      <c r="D243" s="11">
        <v>46.41</v>
      </c>
      <c r="E243" s="11">
        <v>1</v>
      </c>
      <c r="F243" s="44">
        <v>48.730499999999999</v>
      </c>
    </row>
    <row r="244" spans="1:6" x14ac:dyDescent="0.35">
      <c r="A244" s="43" t="s">
        <v>558</v>
      </c>
      <c r="B244" s="11" t="s">
        <v>1766</v>
      </c>
      <c r="C244" s="11" t="s">
        <v>1473</v>
      </c>
      <c r="D244" s="11">
        <v>68.55</v>
      </c>
      <c r="E244" s="11">
        <v>4</v>
      </c>
      <c r="F244" s="44">
        <v>287.91000000000003</v>
      </c>
    </row>
    <row r="245" spans="1:6" x14ac:dyDescent="0.35">
      <c r="A245" s="43" t="s">
        <v>560</v>
      </c>
      <c r="B245" s="11" t="s">
        <v>1767</v>
      </c>
      <c r="C245" s="11" t="s">
        <v>1482</v>
      </c>
      <c r="D245" s="11">
        <v>97.37</v>
      </c>
      <c r="E245" s="11">
        <v>10</v>
      </c>
      <c r="F245" s="44">
        <v>1022.385</v>
      </c>
    </row>
    <row r="246" spans="1:6" x14ac:dyDescent="0.35">
      <c r="A246" s="43" t="s">
        <v>562</v>
      </c>
      <c r="B246" s="11" t="s">
        <v>1768</v>
      </c>
      <c r="C246" s="11" t="s">
        <v>1462</v>
      </c>
      <c r="D246" s="11">
        <v>92.6</v>
      </c>
      <c r="E246" s="11">
        <v>7</v>
      </c>
      <c r="F246" s="44">
        <v>680.61</v>
      </c>
    </row>
    <row r="247" spans="1:6" x14ac:dyDescent="0.35">
      <c r="A247" s="43" t="s">
        <v>564</v>
      </c>
      <c r="B247" s="11" t="s">
        <v>1769</v>
      </c>
      <c r="C247" s="11" t="s">
        <v>1462</v>
      </c>
      <c r="D247" s="11">
        <v>46.61</v>
      </c>
      <c r="E247" s="11">
        <v>2</v>
      </c>
      <c r="F247" s="44">
        <v>97.881</v>
      </c>
    </row>
    <row r="248" spans="1:6" x14ac:dyDescent="0.35">
      <c r="A248" s="43" t="s">
        <v>566</v>
      </c>
      <c r="B248" s="11" t="s">
        <v>1770</v>
      </c>
      <c r="C248" s="11" t="s">
        <v>1468</v>
      </c>
      <c r="D248" s="11">
        <v>27.18</v>
      </c>
      <c r="E248" s="11">
        <v>2</v>
      </c>
      <c r="F248" s="44">
        <v>57.078000000000003</v>
      </c>
    </row>
    <row r="249" spans="1:6" x14ac:dyDescent="0.35">
      <c r="A249" s="43" t="s">
        <v>568</v>
      </c>
      <c r="B249" s="11" t="s">
        <v>1771</v>
      </c>
      <c r="C249" s="11" t="s">
        <v>1482</v>
      </c>
      <c r="D249" s="11">
        <v>60.87</v>
      </c>
      <c r="E249" s="11">
        <v>1</v>
      </c>
      <c r="F249" s="44">
        <v>63.913499999999999</v>
      </c>
    </row>
    <row r="250" spans="1:6" x14ac:dyDescent="0.35">
      <c r="A250" s="43" t="s">
        <v>570</v>
      </c>
      <c r="B250" s="11" t="s">
        <v>1772</v>
      </c>
      <c r="C250" s="11" t="s">
        <v>1501</v>
      </c>
      <c r="D250" s="11">
        <v>24.49</v>
      </c>
      <c r="E250" s="11">
        <v>10</v>
      </c>
      <c r="F250" s="44">
        <v>257.14499999999998</v>
      </c>
    </row>
    <row r="251" spans="1:6" x14ac:dyDescent="0.35">
      <c r="A251" s="43" t="s">
        <v>572</v>
      </c>
      <c r="B251" s="11" t="s">
        <v>1773</v>
      </c>
      <c r="C251" s="11" t="s">
        <v>1473</v>
      </c>
      <c r="D251" s="11">
        <v>92.78</v>
      </c>
      <c r="E251" s="11">
        <v>1</v>
      </c>
      <c r="F251" s="44">
        <v>97.418999999999997</v>
      </c>
    </row>
    <row r="252" spans="1:6" x14ac:dyDescent="0.35">
      <c r="A252" s="43" t="s">
        <v>574</v>
      </c>
      <c r="B252" s="11" t="s">
        <v>1774</v>
      </c>
      <c r="C252" s="11" t="s">
        <v>1482</v>
      </c>
      <c r="D252" s="11">
        <v>86.69</v>
      </c>
      <c r="E252" s="11">
        <v>5</v>
      </c>
      <c r="F252" s="44">
        <v>455.1225</v>
      </c>
    </row>
    <row r="253" spans="1:6" x14ac:dyDescent="0.35">
      <c r="A253" s="43" t="s">
        <v>576</v>
      </c>
      <c r="B253" s="11" t="s">
        <v>1775</v>
      </c>
      <c r="C253" s="11" t="s">
        <v>1501</v>
      </c>
      <c r="D253" s="11">
        <v>23.01</v>
      </c>
      <c r="E253" s="11">
        <v>6</v>
      </c>
      <c r="F253" s="44">
        <v>144.96299999999999</v>
      </c>
    </row>
    <row r="254" spans="1:6" x14ac:dyDescent="0.35">
      <c r="A254" s="43" t="s">
        <v>578</v>
      </c>
      <c r="B254" s="11" t="s">
        <v>1776</v>
      </c>
      <c r="C254" s="11" t="s">
        <v>1462</v>
      </c>
      <c r="D254" s="11">
        <v>30.2</v>
      </c>
      <c r="E254" s="11">
        <v>8</v>
      </c>
      <c r="F254" s="44">
        <v>253.68</v>
      </c>
    </row>
    <row r="255" spans="1:6" x14ac:dyDescent="0.35">
      <c r="A255" s="43" t="s">
        <v>580</v>
      </c>
      <c r="B255" s="11" t="s">
        <v>1777</v>
      </c>
      <c r="C255" s="11" t="s">
        <v>1468</v>
      </c>
      <c r="D255" s="11">
        <v>67.39</v>
      </c>
      <c r="E255" s="11">
        <v>7</v>
      </c>
      <c r="F255" s="44">
        <v>495.31650000000002</v>
      </c>
    </row>
    <row r="256" spans="1:6" x14ac:dyDescent="0.35">
      <c r="A256" s="43" t="s">
        <v>582</v>
      </c>
      <c r="B256" s="11" t="s">
        <v>1778</v>
      </c>
      <c r="C256" s="11" t="s">
        <v>1468</v>
      </c>
      <c r="D256" s="11">
        <v>48.96</v>
      </c>
      <c r="E256" s="11">
        <v>9</v>
      </c>
      <c r="F256" s="44">
        <v>462.67200000000003</v>
      </c>
    </row>
    <row r="257" spans="1:6" x14ac:dyDescent="0.35">
      <c r="A257" s="43" t="s">
        <v>584</v>
      </c>
      <c r="B257" s="11" t="s">
        <v>1779</v>
      </c>
      <c r="C257" s="11" t="s">
        <v>1462</v>
      </c>
      <c r="D257" s="11">
        <v>75.59</v>
      </c>
      <c r="E257" s="11">
        <v>9</v>
      </c>
      <c r="F257" s="44">
        <v>714.32550000000003</v>
      </c>
    </row>
    <row r="258" spans="1:6" x14ac:dyDescent="0.35">
      <c r="A258" s="43" t="s">
        <v>586</v>
      </c>
      <c r="B258" s="11" t="s">
        <v>1780</v>
      </c>
      <c r="C258" s="11" t="s">
        <v>1482</v>
      </c>
      <c r="D258" s="11">
        <v>77.47</v>
      </c>
      <c r="E258" s="11">
        <v>4</v>
      </c>
      <c r="F258" s="44">
        <v>325.37400000000002</v>
      </c>
    </row>
    <row r="259" spans="1:6" x14ac:dyDescent="0.35">
      <c r="A259" s="43" t="s">
        <v>588</v>
      </c>
      <c r="B259" s="11" t="s">
        <v>1781</v>
      </c>
      <c r="C259" s="11" t="s">
        <v>1501</v>
      </c>
      <c r="D259" s="11">
        <v>93.18</v>
      </c>
      <c r="E259" s="11">
        <v>2</v>
      </c>
      <c r="F259" s="44">
        <v>195.678</v>
      </c>
    </row>
    <row r="260" spans="1:6" x14ac:dyDescent="0.35">
      <c r="A260" s="43" t="s">
        <v>590</v>
      </c>
      <c r="B260" s="11" t="s">
        <v>1782</v>
      </c>
      <c r="C260" s="11" t="s">
        <v>1462</v>
      </c>
      <c r="D260" s="11">
        <v>50.23</v>
      </c>
      <c r="E260" s="11">
        <v>4</v>
      </c>
      <c r="F260" s="44">
        <v>210.96600000000001</v>
      </c>
    </row>
    <row r="261" spans="1:6" x14ac:dyDescent="0.35">
      <c r="A261" s="43" t="s">
        <v>592</v>
      </c>
      <c r="B261" s="11" t="s">
        <v>1783</v>
      </c>
      <c r="C261" s="11" t="s">
        <v>1473</v>
      </c>
      <c r="D261" s="11">
        <v>17.75</v>
      </c>
      <c r="E261" s="11">
        <v>1</v>
      </c>
      <c r="F261" s="44">
        <v>18.637499999999999</v>
      </c>
    </row>
    <row r="262" spans="1:6" x14ac:dyDescent="0.35">
      <c r="A262" s="43" t="s">
        <v>594</v>
      </c>
      <c r="B262" s="11" t="s">
        <v>1784</v>
      </c>
      <c r="C262" s="11" t="s">
        <v>1468</v>
      </c>
      <c r="D262" s="11">
        <v>62.18</v>
      </c>
      <c r="E262" s="11">
        <v>10</v>
      </c>
      <c r="F262" s="44">
        <v>652.89</v>
      </c>
    </row>
    <row r="263" spans="1:6" x14ac:dyDescent="0.35">
      <c r="A263" s="43" t="s">
        <v>596</v>
      </c>
      <c r="B263" s="11" t="s">
        <v>1785</v>
      </c>
      <c r="C263" s="11" t="s">
        <v>1473</v>
      </c>
      <c r="D263" s="11">
        <v>10.75</v>
      </c>
      <c r="E263" s="11">
        <v>8</v>
      </c>
      <c r="F263" s="44">
        <v>90.3</v>
      </c>
    </row>
    <row r="264" spans="1:6" x14ac:dyDescent="0.35">
      <c r="A264" s="43" t="s">
        <v>598</v>
      </c>
      <c r="B264" s="11" t="s">
        <v>1786</v>
      </c>
      <c r="C264" s="11" t="s">
        <v>1462</v>
      </c>
      <c r="D264" s="11">
        <v>40.26</v>
      </c>
      <c r="E264" s="11">
        <v>10</v>
      </c>
      <c r="F264" s="44">
        <v>422.73</v>
      </c>
    </row>
    <row r="265" spans="1:6" x14ac:dyDescent="0.35">
      <c r="A265" s="43" t="s">
        <v>600</v>
      </c>
      <c r="B265" s="11" t="s">
        <v>1787</v>
      </c>
      <c r="C265" s="11" t="s">
        <v>1501</v>
      </c>
      <c r="D265" s="11">
        <v>64.97</v>
      </c>
      <c r="E265" s="11">
        <v>5</v>
      </c>
      <c r="F265" s="44">
        <v>341.09249999999997</v>
      </c>
    </row>
    <row r="266" spans="1:6" x14ac:dyDescent="0.35">
      <c r="A266" s="43" t="s">
        <v>602</v>
      </c>
      <c r="B266" s="11" t="s">
        <v>1788</v>
      </c>
      <c r="C266" s="11" t="s">
        <v>1462</v>
      </c>
      <c r="D266" s="11">
        <v>95.15</v>
      </c>
      <c r="E266" s="11">
        <v>1</v>
      </c>
      <c r="F266" s="44">
        <v>99.907499999999999</v>
      </c>
    </row>
    <row r="267" spans="1:6" x14ac:dyDescent="0.35">
      <c r="A267" s="43" t="s">
        <v>604</v>
      </c>
      <c r="B267" s="11" t="s">
        <v>1789</v>
      </c>
      <c r="C267" s="11" t="s">
        <v>1462</v>
      </c>
      <c r="D267" s="11">
        <v>48.62</v>
      </c>
      <c r="E267" s="11">
        <v>8</v>
      </c>
      <c r="F267" s="44">
        <v>408.40800000000002</v>
      </c>
    </row>
    <row r="268" spans="1:6" x14ac:dyDescent="0.35">
      <c r="A268" s="43" t="s">
        <v>606</v>
      </c>
      <c r="B268" s="11" t="s">
        <v>1790</v>
      </c>
      <c r="C268" s="11" t="s">
        <v>1486</v>
      </c>
      <c r="D268" s="11">
        <v>53.21</v>
      </c>
      <c r="E268" s="11">
        <v>8</v>
      </c>
      <c r="F268" s="44">
        <v>446.964</v>
      </c>
    </row>
    <row r="269" spans="1:6" x14ac:dyDescent="0.35">
      <c r="A269" s="43" t="s">
        <v>608</v>
      </c>
      <c r="B269" s="11" t="s">
        <v>1791</v>
      </c>
      <c r="C269" s="11" t="s">
        <v>1468</v>
      </c>
      <c r="D269" s="11">
        <v>45.44</v>
      </c>
      <c r="E269" s="11">
        <v>7</v>
      </c>
      <c r="F269" s="44">
        <v>333.98399999999998</v>
      </c>
    </row>
    <row r="270" spans="1:6" x14ac:dyDescent="0.35">
      <c r="A270" s="43" t="s">
        <v>610</v>
      </c>
      <c r="B270" s="11" t="s">
        <v>1792</v>
      </c>
      <c r="C270" s="11" t="s">
        <v>1486</v>
      </c>
      <c r="D270" s="11">
        <v>33.880000000000003</v>
      </c>
      <c r="E270" s="11">
        <v>8</v>
      </c>
      <c r="F270" s="44">
        <v>284.59199999999998</v>
      </c>
    </row>
    <row r="271" spans="1:6" x14ac:dyDescent="0.35">
      <c r="A271" s="43" t="s">
        <v>232</v>
      </c>
      <c r="B271" s="11" t="s">
        <v>1793</v>
      </c>
      <c r="C271" s="11" t="s">
        <v>1473</v>
      </c>
      <c r="D271" s="11">
        <v>96.16</v>
      </c>
      <c r="E271" s="11">
        <v>4</v>
      </c>
      <c r="F271" s="44">
        <v>403.87200000000001</v>
      </c>
    </row>
    <row r="272" spans="1:6" x14ac:dyDescent="0.35">
      <c r="A272" s="43" t="s">
        <v>613</v>
      </c>
      <c r="B272" s="11" t="s">
        <v>1794</v>
      </c>
      <c r="C272" s="11" t="s">
        <v>1486</v>
      </c>
      <c r="D272" s="11">
        <v>47.16</v>
      </c>
      <c r="E272" s="11">
        <v>5</v>
      </c>
      <c r="F272" s="44">
        <v>247.59</v>
      </c>
    </row>
    <row r="273" spans="1:6" x14ac:dyDescent="0.35">
      <c r="A273" s="43" t="s">
        <v>615</v>
      </c>
      <c r="B273" s="11" t="s">
        <v>1795</v>
      </c>
      <c r="C273" s="11" t="s">
        <v>1462</v>
      </c>
      <c r="D273" s="11">
        <v>52.89</v>
      </c>
      <c r="E273" s="11">
        <v>4</v>
      </c>
      <c r="F273" s="44">
        <v>222.13800000000001</v>
      </c>
    </row>
    <row r="274" spans="1:6" x14ac:dyDescent="0.35">
      <c r="A274" s="43" t="s">
        <v>617</v>
      </c>
      <c r="B274" s="11" t="s">
        <v>1796</v>
      </c>
      <c r="C274" s="11" t="s">
        <v>1482</v>
      </c>
      <c r="D274" s="11">
        <v>47.68</v>
      </c>
      <c r="E274" s="11">
        <v>2</v>
      </c>
      <c r="F274" s="44">
        <v>100.128</v>
      </c>
    </row>
    <row r="275" spans="1:6" x14ac:dyDescent="0.35">
      <c r="A275" s="43" t="s">
        <v>619</v>
      </c>
      <c r="B275" s="11" t="s">
        <v>1797</v>
      </c>
      <c r="C275" s="11" t="s">
        <v>1501</v>
      </c>
      <c r="D275" s="11">
        <v>10.17</v>
      </c>
      <c r="E275" s="11">
        <v>1</v>
      </c>
      <c r="F275" s="44">
        <v>10.6785</v>
      </c>
    </row>
    <row r="276" spans="1:6" x14ac:dyDescent="0.35">
      <c r="A276" s="43" t="s">
        <v>621</v>
      </c>
      <c r="B276" s="11" t="s">
        <v>1798</v>
      </c>
      <c r="C276" s="11" t="s">
        <v>1473</v>
      </c>
      <c r="D276" s="11">
        <v>68.709999999999994</v>
      </c>
      <c r="E276" s="11">
        <v>3</v>
      </c>
      <c r="F276" s="44">
        <v>216.4365</v>
      </c>
    </row>
    <row r="277" spans="1:6" x14ac:dyDescent="0.35">
      <c r="A277" s="43" t="s">
        <v>623</v>
      </c>
      <c r="B277" s="11" t="s">
        <v>1799</v>
      </c>
      <c r="C277" s="11" t="s">
        <v>1501</v>
      </c>
      <c r="D277" s="11">
        <v>60.08</v>
      </c>
      <c r="E277" s="11">
        <v>7</v>
      </c>
      <c r="F277" s="44">
        <v>441.58800000000002</v>
      </c>
    </row>
    <row r="278" spans="1:6" x14ac:dyDescent="0.35">
      <c r="A278" s="43" t="s">
        <v>53</v>
      </c>
      <c r="B278" s="11" t="s">
        <v>1801</v>
      </c>
      <c r="C278" s="11" t="s">
        <v>1501</v>
      </c>
      <c r="D278" s="11">
        <v>22.01</v>
      </c>
      <c r="E278" s="11">
        <v>4</v>
      </c>
      <c r="F278" s="44">
        <v>92.441999999999993</v>
      </c>
    </row>
    <row r="279" spans="1:6" x14ac:dyDescent="0.35">
      <c r="A279" s="43" t="s">
        <v>626</v>
      </c>
      <c r="B279" s="11" t="s">
        <v>1802</v>
      </c>
      <c r="C279" s="11" t="s">
        <v>1473</v>
      </c>
      <c r="D279" s="11">
        <v>72.11</v>
      </c>
      <c r="E279" s="11">
        <v>9</v>
      </c>
      <c r="F279" s="44">
        <v>681.43949999999995</v>
      </c>
    </row>
    <row r="280" spans="1:6" x14ac:dyDescent="0.35">
      <c r="A280" s="43" t="s">
        <v>628</v>
      </c>
      <c r="B280" s="11" t="s">
        <v>1804</v>
      </c>
      <c r="C280" s="11" t="s">
        <v>1468</v>
      </c>
      <c r="D280" s="11">
        <v>41.28</v>
      </c>
      <c r="E280" s="11">
        <v>3</v>
      </c>
      <c r="F280" s="44">
        <v>130.03200000000001</v>
      </c>
    </row>
    <row r="281" spans="1:6" x14ac:dyDescent="0.35">
      <c r="A281" s="43" t="s">
        <v>630</v>
      </c>
      <c r="B281" s="11" t="s">
        <v>1805</v>
      </c>
      <c r="C281" s="11" t="s">
        <v>1462</v>
      </c>
      <c r="D281" s="11">
        <v>64.95</v>
      </c>
      <c r="E281" s="11">
        <v>10</v>
      </c>
      <c r="F281" s="44">
        <v>681.97500000000002</v>
      </c>
    </row>
    <row r="282" spans="1:6" x14ac:dyDescent="0.35">
      <c r="A282" s="43" t="s">
        <v>290</v>
      </c>
      <c r="B282" s="11" t="s">
        <v>1806</v>
      </c>
      <c r="C282" s="11" t="s">
        <v>1462</v>
      </c>
      <c r="D282" s="11">
        <v>74.22</v>
      </c>
      <c r="E282" s="11">
        <v>10</v>
      </c>
      <c r="F282" s="44">
        <v>779.31</v>
      </c>
    </row>
    <row r="283" spans="1:6" x14ac:dyDescent="0.35">
      <c r="A283" s="43" t="s">
        <v>633</v>
      </c>
      <c r="B283" s="11" t="s">
        <v>1807</v>
      </c>
      <c r="C283" s="11" t="s">
        <v>1462</v>
      </c>
      <c r="D283" s="11">
        <v>10.56</v>
      </c>
      <c r="E283" s="11">
        <v>8</v>
      </c>
      <c r="F283" s="44">
        <v>88.703999999999994</v>
      </c>
    </row>
    <row r="284" spans="1:6" x14ac:dyDescent="0.35">
      <c r="A284" s="43" t="s">
        <v>635</v>
      </c>
      <c r="B284" s="11" t="s">
        <v>1808</v>
      </c>
      <c r="C284" s="11" t="s">
        <v>1473</v>
      </c>
      <c r="D284" s="11">
        <v>62.57</v>
      </c>
      <c r="E284" s="11">
        <v>4</v>
      </c>
      <c r="F284" s="44">
        <v>262.79399999999998</v>
      </c>
    </row>
    <row r="285" spans="1:6" x14ac:dyDescent="0.35">
      <c r="A285" s="43" t="s">
        <v>637</v>
      </c>
      <c r="B285" s="11" t="s">
        <v>1809</v>
      </c>
      <c r="C285" s="11" t="s">
        <v>1501</v>
      </c>
      <c r="D285" s="11">
        <v>11.85</v>
      </c>
      <c r="E285" s="11">
        <v>8</v>
      </c>
      <c r="F285" s="44">
        <v>99.54</v>
      </c>
    </row>
    <row r="286" spans="1:6" x14ac:dyDescent="0.35">
      <c r="A286" s="43" t="s">
        <v>639</v>
      </c>
      <c r="B286" s="11" t="s">
        <v>1810</v>
      </c>
      <c r="C286" s="11" t="s">
        <v>1473</v>
      </c>
      <c r="D286" s="11">
        <v>91.3</v>
      </c>
      <c r="E286" s="11">
        <v>1</v>
      </c>
      <c r="F286" s="44">
        <v>95.864999999999995</v>
      </c>
    </row>
    <row r="287" spans="1:6" x14ac:dyDescent="0.35">
      <c r="A287" s="43" t="s">
        <v>641</v>
      </c>
      <c r="B287" s="11" t="s">
        <v>1811</v>
      </c>
      <c r="C287" s="11" t="s">
        <v>1482</v>
      </c>
      <c r="D287" s="11">
        <v>40.729999999999997</v>
      </c>
      <c r="E287" s="11">
        <v>7</v>
      </c>
      <c r="F287" s="44">
        <v>299.3655</v>
      </c>
    </row>
    <row r="288" spans="1:6" x14ac:dyDescent="0.35">
      <c r="A288" s="43" t="s">
        <v>643</v>
      </c>
      <c r="B288" s="11" t="s">
        <v>1812</v>
      </c>
      <c r="C288" s="11" t="s">
        <v>1468</v>
      </c>
      <c r="D288" s="11">
        <v>52.38</v>
      </c>
      <c r="E288" s="11">
        <v>1</v>
      </c>
      <c r="F288" s="44">
        <v>54.999000000000002</v>
      </c>
    </row>
    <row r="289" spans="1:6" x14ac:dyDescent="0.35">
      <c r="A289" s="43" t="s">
        <v>645</v>
      </c>
      <c r="B289" s="11" t="s">
        <v>1813</v>
      </c>
      <c r="C289" s="11" t="s">
        <v>1468</v>
      </c>
      <c r="D289" s="11">
        <v>38.54</v>
      </c>
      <c r="E289" s="11">
        <v>5</v>
      </c>
      <c r="F289" s="44">
        <v>202.33500000000001</v>
      </c>
    </row>
    <row r="290" spans="1:6" x14ac:dyDescent="0.35">
      <c r="A290" s="43" t="s">
        <v>647</v>
      </c>
      <c r="B290" s="11" t="s">
        <v>1814</v>
      </c>
      <c r="C290" s="11" t="s">
        <v>1501</v>
      </c>
      <c r="D290" s="11">
        <v>44.63</v>
      </c>
      <c r="E290" s="11">
        <v>6</v>
      </c>
      <c r="F290" s="44">
        <v>281.16899999999998</v>
      </c>
    </row>
    <row r="291" spans="1:6" x14ac:dyDescent="0.35">
      <c r="A291" s="43" t="s">
        <v>649</v>
      </c>
      <c r="B291" s="11" t="s">
        <v>1815</v>
      </c>
      <c r="C291" s="11" t="s">
        <v>1462</v>
      </c>
      <c r="D291" s="11">
        <v>55.87</v>
      </c>
      <c r="E291" s="11">
        <v>10</v>
      </c>
      <c r="F291" s="44">
        <v>586.63499999999999</v>
      </c>
    </row>
    <row r="292" spans="1:6" x14ac:dyDescent="0.35">
      <c r="A292" s="43" t="s">
        <v>651</v>
      </c>
      <c r="B292" s="11" t="s">
        <v>1816</v>
      </c>
      <c r="C292" s="11" t="s">
        <v>1501</v>
      </c>
      <c r="D292" s="11">
        <v>29.22</v>
      </c>
      <c r="E292" s="11">
        <v>6</v>
      </c>
      <c r="F292" s="44">
        <v>184.08600000000001</v>
      </c>
    </row>
    <row r="293" spans="1:6" x14ac:dyDescent="0.35">
      <c r="A293" s="43" t="s">
        <v>653</v>
      </c>
      <c r="B293" s="11" t="s">
        <v>1817</v>
      </c>
      <c r="C293" s="11" t="s">
        <v>1468</v>
      </c>
      <c r="D293" s="11">
        <v>51.94</v>
      </c>
      <c r="E293" s="11">
        <v>3</v>
      </c>
      <c r="F293" s="44">
        <v>163.61099999999999</v>
      </c>
    </row>
    <row r="294" spans="1:6" x14ac:dyDescent="0.35">
      <c r="A294" s="43" t="s">
        <v>655</v>
      </c>
      <c r="B294" s="11" t="s">
        <v>1818</v>
      </c>
      <c r="C294" s="11" t="s">
        <v>1462</v>
      </c>
      <c r="D294" s="11">
        <v>60.3</v>
      </c>
      <c r="E294" s="11">
        <v>1</v>
      </c>
      <c r="F294" s="44">
        <v>63.314999999999998</v>
      </c>
    </row>
    <row r="295" spans="1:6" x14ac:dyDescent="0.35">
      <c r="A295" s="43" t="s">
        <v>657</v>
      </c>
      <c r="B295" s="11" t="s">
        <v>1819</v>
      </c>
      <c r="C295" s="11" t="s">
        <v>1501</v>
      </c>
      <c r="D295" s="11">
        <v>39.47</v>
      </c>
      <c r="E295" s="11">
        <v>2</v>
      </c>
      <c r="F295" s="44">
        <v>82.887</v>
      </c>
    </row>
    <row r="296" spans="1:6" x14ac:dyDescent="0.35">
      <c r="A296" s="43" t="s">
        <v>659</v>
      </c>
      <c r="B296" s="11" t="s">
        <v>1820</v>
      </c>
      <c r="C296" s="11" t="s">
        <v>1486</v>
      </c>
      <c r="D296" s="11">
        <v>14.87</v>
      </c>
      <c r="E296" s="11">
        <v>2</v>
      </c>
      <c r="F296" s="44">
        <v>31.227</v>
      </c>
    </row>
    <row r="297" spans="1:6" x14ac:dyDescent="0.35">
      <c r="A297" s="43" t="s">
        <v>661</v>
      </c>
      <c r="B297" s="11" t="s">
        <v>1821</v>
      </c>
      <c r="C297" s="11" t="s">
        <v>1468</v>
      </c>
      <c r="D297" s="11">
        <v>21.32</v>
      </c>
      <c r="E297" s="11">
        <v>1</v>
      </c>
      <c r="F297" s="44">
        <v>22.385999999999999</v>
      </c>
    </row>
    <row r="298" spans="1:6" x14ac:dyDescent="0.35">
      <c r="A298" s="43" t="s">
        <v>663</v>
      </c>
      <c r="B298" s="11" t="s">
        <v>1822</v>
      </c>
      <c r="C298" s="11" t="s">
        <v>1462</v>
      </c>
      <c r="D298" s="11">
        <v>93.78</v>
      </c>
      <c r="E298" s="11">
        <v>3</v>
      </c>
      <c r="F298" s="44">
        <v>295.40699999999998</v>
      </c>
    </row>
    <row r="299" spans="1:6" x14ac:dyDescent="0.35">
      <c r="A299" s="43" t="s">
        <v>665</v>
      </c>
      <c r="B299" s="11" t="s">
        <v>1823</v>
      </c>
      <c r="C299" s="11" t="s">
        <v>1462</v>
      </c>
      <c r="D299" s="11">
        <v>73.260000000000005</v>
      </c>
      <c r="E299" s="11">
        <v>1</v>
      </c>
      <c r="F299" s="44">
        <v>76.923000000000002</v>
      </c>
    </row>
    <row r="300" spans="1:6" x14ac:dyDescent="0.35">
      <c r="A300" s="43" t="s">
        <v>667</v>
      </c>
      <c r="B300" s="11" t="s">
        <v>1824</v>
      </c>
      <c r="C300" s="11" t="s">
        <v>1501</v>
      </c>
      <c r="D300" s="11">
        <v>22.38</v>
      </c>
      <c r="E300" s="11">
        <v>1</v>
      </c>
      <c r="F300" s="44">
        <v>23.498999999999999</v>
      </c>
    </row>
    <row r="301" spans="1:6" x14ac:dyDescent="0.35">
      <c r="A301" s="43" t="s">
        <v>669</v>
      </c>
      <c r="B301" s="11" t="s">
        <v>1825</v>
      </c>
      <c r="C301" s="11" t="s">
        <v>1486</v>
      </c>
      <c r="D301" s="11">
        <v>72.88</v>
      </c>
      <c r="E301" s="11">
        <v>9</v>
      </c>
      <c r="F301" s="44">
        <v>688.71600000000001</v>
      </c>
    </row>
    <row r="302" spans="1:6" x14ac:dyDescent="0.35">
      <c r="A302" s="43" t="s">
        <v>671</v>
      </c>
      <c r="B302" s="11" t="s">
        <v>1826</v>
      </c>
      <c r="C302" s="11" t="s">
        <v>1468</v>
      </c>
      <c r="D302" s="11">
        <v>99.1</v>
      </c>
      <c r="E302" s="11">
        <v>6</v>
      </c>
      <c r="F302" s="44">
        <v>624.33000000000004</v>
      </c>
    </row>
    <row r="303" spans="1:6" x14ac:dyDescent="0.35">
      <c r="A303" s="43" t="s">
        <v>673</v>
      </c>
      <c r="B303" s="11" t="s">
        <v>1827</v>
      </c>
      <c r="C303" s="11" t="s">
        <v>1468</v>
      </c>
      <c r="D303" s="11">
        <v>74.099999999999994</v>
      </c>
      <c r="E303" s="11">
        <v>1</v>
      </c>
      <c r="F303" s="44">
        <v>77.805000000000007</v>
      </c>
    </row>
    <row r="304" spans="1:6" x14ac:dyDescent="0.35">
      <c r="A304" s="43" t="s">
        <v>675</v>
      </c>
      <c r="B304" s="11" t="s">
        <v>1828</v>
      </c>
      <c r="C304" s="11" t="s">
        <v>1468</v>
      </c>
      <c r="D304" s="11">
        <v>98.48</v>
      </c>
      <c r="E304" s="11">
        <v>2</v>
      </c>
      <c r="F304" s="44">
        <v>206.80799999999999</v>
      </c>
    </row>
    <row r="305" spans="1:6" x14ac:dyDescent="0.35">
      <c r="A305" s="43" t="s">
        <v>677</v>
      </c>
      <c r="B305" s="11" t="s">
        <v>1829</v>
      </c>
      <c r="C305" s="11" t="s">
        <v>1473</v>
      </c>
      <c r="D305" s="11">
        <v>53.19</v>
      </c>
      <c r="E305" s="11">
        <v>7</v>
      </c>
      <c r="F305" s="44">
        <v>390.94650000000001</v>
      </c>
    </row>
    <row r="306" spans="1:6" x14ac:dyDescent="0.35">
      <c r="A306" s="43" t="s">
        <v>679</v>
      </c>
      <c r="B306" s="11" t="s">
        <v>1830</v>
      </c>
      <c r="C306" s="11" t="s">
        <v>1462</v>
      </c>
      <c r="D306" s="11">
        <v>52.79</v>
      </c>
      <c r="E306" s="11">
        <v>10</v>
      </c>
      <c r="F306" s="44">
        <v>554.29499999999996</v>
      </c>
    </row>
    <row r="307" spans="1:6" x14ac:dyDescent="0.35">
      <c r="A307" s="43" t="s">
        <v>681</v>
      </c>
      <c r="B307" s="11" t="s">
        <v>1831</v>
      </c>
      <c r="C307" s="11" t="s">
        <v>1473</v>
      </c>
      <c r="D307" s="11">
        <v>95.95</v>
      </c>
      <c r="E307" s="11">
        <v>5</v>
      </c>
      <c r="F307" s="44">
        <v>503.73750000000001</v>
      </c>
    </row>
    <row r="308" spans="1:6" x14ac:dyDescent="0.35">
      <c r="A308" s="43" t="s">
        <v>683</v>
      </c>
      <c r="B308" s="11" t="s">
        <v>1832</v>
      </c>
      <c r="C308" s="11" t="s">
        <v>1468</v>
      </c>
      <c r="D308" s="11">
        <v>36.51</v>
      </c>
      <c r="E308" s="11">
        <v>9</v>
      </c>
      <c r="F308" s="44">
        <v>345.01949999999999</v>
      </c>
    </row>
    <row r="309" spans="1:6" x14ac:dyDescent="0.35">
      <c r="A309" s="43" t="s">
        <v>685</v>
      </c>
      <c r="B309" s="11" t="s">
        <v>1833</v>
      </c>
      <c r="C309" s="11" t="s">
        <v>1486</v>
      </c>
      <c r="D309" s="11">
        <v>21.12</v>
      </c>
      <c r="E309" s="11">
        <v>8</v>
      </c>
      <c r="F309" s="44">
        <v>177.40799999999999</v>
      </c>
    </row>
    <row r="310" spans="1:6" x14ac:dyDescent="0.35">
      <c r="A310" s="43" t="s">
        <v>687</v>
      </c>
      <c r="B310" s="11" t="s">
        <v>1834</v>
      </c>
      <c r="C310" s="11" t="s">
        <v>1482</v>
      </c>
      <c r="D310" s="11">
        <v>28.31</v>
      </c>
      <c r="E310" s="11">
        <v>4</v>
      </c>
      <c r="F310" s="44">
        <v>118.902</v>
      </c>
    </row>
    <row r="311" spans="1:6" x14ac:dyDescent="0.35">
      <c r="A311" s="43" t="s">
        <v>689</v>
      </c>
      <c r="B311" s="11" t="s">
        <v>1835</v>
      </c>
      <c r="C311" s="11" t="s">
        <v>1473</v>
      </c>
      <c r="D311" s="11">
        <v>57.59</v>
      </c>
      <c r="E311" s="11">
        <v>6</v>
      </c>
      <c r="F311" s="44">
        <v>362.81700000000001</v>
      </c>
    </row>
    <row r="312" spans="1:6" x14ac:dyDescent="0.35">
      <c r="A312" s="43" t="s">
        <v>691</v>
      </c>
      <c r="B312" s="11" t="s">
        <v>1836</v>
      </c>
      <c r="C312" s="11" t="s">
        <v>1486</v>
      </c>
      <c r="D312" s="11">
        <v>47.63</v>
      </c>
      <c r="E312" s="11">
        <v>9</v>
      </c>
      <c r="F312" s="44">
        <v>450.1035</v>
      </c>
    </row>
    <row r="313" spans="1:6" x14ac:dyDescent="0.35">
      <c r="A313" s="43" t="s">
        <v>693</v>
      </c>
      <c r="B313" s="11" t="s">
        <v>1837</v>
      </c>
      <c r="C313" s="11" t="s">
        <v>1482</v>
      </c>
      <c r="D313" s="11">
        <v>86.27</v>
      </c>
      <c r="E313" s="11">
        <v>1</v>
      </c>
      <c r="F313" s="44">
        <v>90.583500000000001</v>
      </c>
    </row>
    <row r="314" spans="1:6" x14ac:dyDescent="0.35">
      <c r="A314" s="43" t="s">
        <v>695</v>
      </c>
      <c r="B314" s="11" t="s">
        <v>1838</v>
      </c>
      <c r="C314" s="11" t="s">
        <v>1501</v>
      </c>
      <c r="D314" s="11">
        <v>12.76</v>
      </c>
      <c r="E314" s="11">
        <v>2</v>
      </c>
      <c r="F314" s="44">
        <v>26.795999999999999</v>
      </c>
    </row>
    <row r="315" spans="1:6" x14ac:dyDescent="0.35">
      <c r="A315" s="43" t="s">
        <v>697</v>
      </c>
      <c r="B315" s="11" t="s">
        <v>1839</v>
      </c>
      <c r="C315" s="11" t="s">
        <v>1482</v>
      </c>
      <c r="D315" s="11">
        <v>11.28</v>
      </c>
      <c r="E315" s="11">
        <v>9</v>
      </c>
      <c r="F315" s="44">
        <v>106.596</v>
      </c>
    </row>
    <row r="316" spans="1:6" x14ac:dyDescent="0.35">
      <c r="A316" s="43" t="s">
        <v>699</v>
      </c>
      <c r="B316" s="11" t="s">
        <v>1840</v>
      </c>
      <c r="C316" s="11" t="s">
        <v>1482</v>
      </c>
      <c r="D316" s="11">
        <v>51.07</v>
      </c>
      <c r="E316" s="11">
        <v>7</v>
      </c>
      <c r="F316" s="44">
        <v>375.36450000000002</v>
      </c>
    </row>
    <row r="317" spans="1:6" x14ac:dyDescent="0.35">
      <c r="A317" s="43" t="s">
        <v>701</v>
      </c>
      <c r="B317" s="11" t="s">
        <v>1841</v>
      </c>
      <c r="C317" s="11" t="s">
        <v>1462</v>
      </c>
      <c r="D317" s="11">
        <v>79.59</v>
      </c>
      <c r="E317" s="11">
        <v>3</v>
      </c>
      <c r="F317" s="44">
        <v>250.70849999999999</v>
      </c>
    </row>
    <row r="318" spans="1:6" x14ac:dyDescent="0.35">
      <c r="A318" s="43" t="s">
        <v>703</v>
      </c>
      <c r="B318" s="11" t="s">
        <v>1842</v>
      </c>
      <c r="C318" s="11" t="s">
        <v>1473</v>
      </c>
      <c r="D318" s="11">
        <v>33.81</v>
      </c>
      <c r="E318" s="11">
        <v>3</v>
      </c>
      <c r="F318" s="44">
        <v>106.50149999999999</v>
      </c>
    </row>
    <row r="319" spans="1:6" x14ac:dyDescent="0.35">
      <c r="A319" s="43" t="s">
        <v>705</v>
      </c>
      <c r="B319" s="11" t="s">
        <v>1843</v>
      </c>
      <c r="C319" s="11" t="s">
        <v>1501</v>
      </c>
      <c r="D319" s="11">
        <v>90.53</v>
      </c>
      <c r="E319" s="11">
        <v>8</v>
      </c>
      <c r="F319" s="44">
        <v>760.452</v>
      </c>
    </row>
    <row r="320" spans="1:6" x14ac:dyDescent="0.35">
      <c r="A320" s="43" t="s">
        <v>412</v>
      </c>
      <c r="B320" s="11" t="s">
        <v>1844</v>
      </c>
      <c r="C320" s="11" t="s">
        <v>1473</v>
      </c>
      <c r="D320" s="11">
        <v>62.82</v>
      </c>
      <c r="E320" s="11">
        <v>2</v>
      </c>
      <c r="F320" s="44">
        <v>131.922</v>
      </c>
    </row>
    <row r="321" spans="1:6" x14ac:dyDescent="0.35">
      <c r="A321" s="43" t="s">
        <v>708</v>
      </c>
      <c r="B321" s="11" t="s">
        <v>1845</v>
      </c>
      <c r="C321" s="11" t="s">
        <v>1486</v>
      </c>
      <c r="D321" s="11">
        <v>24.31</v>
      </c>
      <c r="E321" s="11">
        <v>3</v>
      </c>
      <c r="F321" s="44">
        <v>76.576499999999996</v>
      </c>
    </row>
    <row r="322" spans="1:6" x14ac:dyDescent="0.35">
      <c r="A322" s="43" t="s">
        <v>710</v>
      </c>
      <c r="B322" s="11" t="s">
        <v>1846</v>
      </c>
      <c r="C322" s="11" t="s">
        <v>1501</v>
      </c>
      <c r="D322" s="11">
        <v>64.59</v>
      </c>
      <c r="E322" s="11">
        <v>4</v>
      </c>
      <c r="F322" s="44">
        <v>271.27800000000002</v>
      </c>
    </row>
    <row r="323" spans="1:6" x14ac:dyDescent="0.35">
      <c r="A323" s="43" t="s">
        <v>712</v>
      </c>
      <c r="B323" s="11" t="s">
        <v>1847</v>
      </c>
      <c r="C323" s="11" t="s">
        <v>1486</v>
      </c>
      <c r="D323" s="11">
        <v>24.82</v>
      </c>
      <c r="E323" s="11">
        <v>7</v>
      </c>
      <c r="F323" s="44">
        <v>182.42699999999999</v>
      </c>
    </row>
    <row r="324" spans="1:6" x14ac:dyDescent="0.35">
      <c r="A324" s="43" t="s">
        <v>345</v>
      </c>
      <c r="B324" s="11" t="s">
        <v>1848</v>
      </c>
      <c r="C324" s="11" t="s">
        <v>1468</v>
      </c>
      <c r="D324" s="11">
        <v>56.5</v>
      </c>
      <c r="E324" s="11">
        <v>1</v>
      </c>
      <c r="F324" s="44">
        <v>59.325000000000003</v>
      </c>
    </row>
    <row r="325" spans="1:6" x14ac:dyDescent="0.35">
      <c r="A325" s="43" t="s">
        <v>715</v>
      </c>
      <c r="B325" s="11" t="s">
        <v>1849</v>
      </c>
      <c r="C325" s="11" t="s">
        <v>1462</v>
      </c>
      <c r="D325" s="11">
        <v>21.43</v>
      </c>
      <c r="E325" s="11">
        <v>10</v>
      </c>
      <c r="F325" s="44">
        <v>225.01499999999999</v>
      </c>
    </row>
    <row r="326" spans="1:6" x14ac:dyDescent="0.35">
      <c r="A326" s="43" t="s">
        <v>717</v>
      </c>
      <c r="B326" s="11" t="s">
        <v>1850</v>
      </c>
      <c r="C326" s="11" t="s">
        <v>1501</v>
      </c>
      <c r="D326" s="11">
        <v>89.06</v>
      </c>
      <c r="E326" s="11">
        <v>6</v>
      </c>
      <c r="F326" s="44">
        <v>561.07799999999997</v>
      </c>
    </row>
    <row r="327" spans="1:6" x14ac:dyDescent="0.35">
      <c r="A327" s="43" t="s">
        <v>719</v>
      </c>
      <c r="B327" s="11" t="s">
        <v>1851</v>
      </c>
      <c r="C327" s="11" t="s">
        <v>1482</v>
      </c>
      <c r="D327" s="11">
        <v>23.29</v>
      </c>
      <c r="E327" s="11">
        <v>4</v>
      </c>
      <c r="F327" s="44">
        <v>97.817999999999998</v>
      </c>
    </row>
    <row r="328" spans="1:6" x14ac:dyDescent="0.35">
      <c r="A328" s="43" t="s">
        <v>721</v>
      </c>
      <c r="B328" s="11" t="s">
        <v>1852</v>
      </c>
      <c r="C328" s="11" t="s">
        <v>1482</v>
      </c>
      <c r="D328" s="11">
        <v>65.260000000000005</v>
      </c>
      <c r="E328" s="11">
        <v>8</v>
      </c>
      <c r="F328" s="44">
        <v>548.18399999999997</v>
      </c>
    </row>
    <row r="329" spans="1:6" x14ac:dyDescent="0.35">
      <c r="A329" s="43" t="s">
        <v>723</v>
      </c>
      <c r="B329" s="11" t="s">
        <v>1853</v>
      </c>
      <c r="C329" s="11" t="s">
        <v>1468</v>
      </c>
      <c r="D329" s="11">
        <v>52.35</v>
      </c>
      <c r="E329" s="11">
        <v>1</v>
      </c>
      <c r="F329" s="44">
        <v>54.967500000000001</v>
      </c>
    </row>
    <row r="330" spans="1:6" x14ac:dyDescent="0.35">
      <c r="A330" s="43" t="s">
        <v>725</v>
      </c>
      <c r="B330" s="11" t="s">
        <v>1854</v>
      </c>
      <c r="C330" s="11" t="s">
        <v>1462</v>
      </c>
      <c r="D330" s="11">
        <v>39.75</v>
      </c>
      <c r="E330" s="11">
        <v>1</v>
      </c>
      <c r="F330" s="44">
        <v>41.737499999999997</v>
      </c>
    </row>
    <row r="331" spans="1:6" x14ac:dyDescent="0.35">
      <c r="A331" s="43" t="s">
        <v>727</v>
      </c>
      <c r="B331" s="11" t="s">
        <v>1855</v>
      </c>
      <c r="C331" s="11" t="s">
        <v>1462</v>
      </c>
      <c r="D331" s="11">
        <v>90.02</v>
      </c>
      <c r="E331" s="11">
        <v>8</v>
      </c>
      <c r="F331" s="44">
        <v>756.16800000000001</v>
      </c>
    </row>
    <row r="332" spans="1:6" x14ac:dyDescent="0.35">
      <c r="A332" s="43" t="s">
        <v>729</v>
      </c>
      <c r="B332" s="11" t="s">
        <v>1857</v>
      </c>
      <c r="C332" s="11" t="s">
        <v>1462</v>
      </c>
      <c r="D332" s="11">
        <v>12.1</v>
      </c>
      <c r="E332" s="11">
        <v>8</v>
      </c>
      <c r="F332" s="44">
        <v>101.64</v>
      </c>
    </row>
    <row r="333" spans="1:6" x14ac:dyDescent="0.35">
      <c r="A333" s="43" t="s">
        <v>730</v>
      </c>
      <c r="B333" s="11" t="s">
        <v>1858</v>
      </c>
      <c r="C333" s="11" t="s">
        <v>1486</v>
      </c>
      <c r="D333" s="11">
        <v>33.21</v>
      </c>
      <c r="E333" s="11">
        <v>10</v>
      </c>
      <c r="F333" s="44">
        <v>348.70499999999998</v>
      </c>
    </row>
    <row r="334" spans="1:6" x14ac:dyDescent="0.35">
      <c r="A334" s="43" t="s">
        <v>732</v>
      </c>
      <c r="B334" s="11" t="s">
        <v>1859</v>
      </c>
      <c r="C334" s="11" t="s">
        <v>1468</v>
      </c>
      <c r="D334" s="11">
        <v>10.18</v>
      </c>
      <c r="E334" s="11">
        <v>8</v>
      </c>
      <c r="F334" s="44">
        <v>85.512</v>
      </c>
    </row>
    <row r="335" spans="1:6" x14ac:dyDescent="0.35">
      <c r="A335" s="43" t="s">
        <v>734</v>
      </c>
      <c r="B335" s="11" t="s">
        <v>1860</v>
      </c>
      <c r="C335" s="11" t="s">
        <v>1501</v>
      </c>
      <c r="D335" s="11">
        <v>31.99</v>
      </c>
      <c r="E335" s="11">
        <v>10</v>
      </c>
      <c r="F335" s="44">
        <v>335.89499999999998</v>
      </c>
    </row>
    <row r="336" spans="1:6" x14ac:dyDescent="0.35">
      <c r="A336" s="43" t="s">
        <v>736</v>
      </c>
      <c r="B336" s="11" t="s">
        <v>1861</v>
      </c>
      <c r="C336" s="11" t="s">
        <v>1482</v>
      </c>
      <c r="D336" s="11">
        <v>34.42</v>
      </c>
      <c r="E336" s="11">
        <v>6</v>
      </c>
      <c r="F336" s="44">
        <v>216.846</v>
      </c>
    </row>
    <row r="337" spans="1:6" x14ac:dyDescent="0.35">
      <c r="A337" s="43" t="s">
        <v>738</v>
      </c>
      <c r="B337" s="11" t="s">
        <v>1862</v>
      </c>
      <c r="C337" s="11" t="s">
        <v>1486</v>
      </c>
      <c r="D337" s="11">
        <v>83.34</v>
      </c>
      <c r="E337" s="11">
        <v>2</v>
      </c>
      <c r="F337" s="44">
        <v>175.01400000000001</v>
      </c>
    </row>
    <row r="338" spans="1:6" x14ac:dyDescent="0.35">
      <c r="A338" s="43" t="s">
        <v>740</v>
      </c>
      <c r="B338" s="11" t="s">
        <v>1863</v>
      </c>
      <c r="C338" s="11" t="s">
        <v>1501</v>
      </c>
      <c r="D338" s="11">
        <v>45.58</v>
      </c>
      <c r="E338" s="11">
        <v>7</v>
      </c>
      <c r="F338" s="44">
        <v>335.01299999999998</v>
      </c>
    </row>
    <row r="339" spans="1:6" x14ac:dyDescent="0.35">
      <c r="A339" s="43" t="s">
        <v>742</v>
      </c>
      <c r="B339" s="11" t="s">
        <v>1864</v>
      </c>
      <c r="C339" s="11" t="s">
        <v>1486</v>
      </c>
      <c r="D339" s="11">
        <v>87.9</v>
      </c>
      <c r="E339" s="11">
        <v>1</v>
      </c>
      <c r="F339" s="44">
        <v>92.295000000000002</v>
      </c>
    </row>
    <row r="340" spans="1:6" x14ac:dyDescent="0.35">
      <c r="A340" s="43" t="s">
        <v>744</v>
      </c>
      <c r="B340" s="11" t="s">
        <v>1865</v>
      </c>
      <c r="C340" s="11" t="s">
        <v>1462</v>
      </c>
      <c r="D340" s="11">
        <v>73.47</v>
      </c>
      <c r="E340" s="11">
        <v>10</v>
      </c>
      <c r="F340" s="44">
        <v>771.43499999999995</v>
      </c>
    </row>
    <row r="341" spans="1:6" x14ac:dyDescent="0.35">
      <c r="A341" s="43" t="s">
        <v>746</v>
      </c>
      <c r="B341" s="11" t="s">
        <v>1866</v>
      </c>
      <c r="C341" s="11" t="s">
        <v>1468</v>
      </c>
      <c r="D341" s="11">
        <v>12.19</v>
      </c>
      <c r="E341" s="11">
        <v>8</v>
      </c>
      <c r="F341" s="44">
        <v>102.396</v>
      </c>
    </row>
    <row r="342" spans="1:6" x14ac:dyDescent="0.35">
      <c r="A342" s="43" t="s">
        <v>748</v>
      </c>
      <c r="B342" s="11" t="s">
        <v>1867</v>
      </c>
      <c r="C342" s="11" t="s">
        <v>1501</v>
      </c>
      <c r="D342" s="11">
        <v>76.92</v>
      </c>
      <c r="E342" s="11">
        <v>10</v>
      </c>
      <c r="F342" s="44">
        <v>807.66</v>
      </c>
    </row>
    <row r="343" spans="1:6" x14ac:dyDescent="0.35">
      <c r="A343" s="43" t="s">
        <v>750</v>
      </c>
      <c r="B343" s="11" t="s">
        <v>1868</v>
      </c>
      <c r="C343" s="11" t="s">
        <v>1473</v>
      </c>
      <c r="D343" s="11">
        <v>83.66</v>
      </c>
      <c r="E343" s="11">
        <v>5</v>
      </c>
      <c r="F343" s="44">
        <v>439.21499999999997</v>
      </c>
    </row>
    <row r="344" spans="1:6" x14ac:dyDescent="0.35">
      <c r="A344" s="43" t="s">
        <v>752</v>
      </c>
      <c r="B344" s="11" t="s">
        <v>1869</v>
      </c>
      <c r="C344" s="11" t="s">
        <v>1462</v>
      </c>
      <c r="D344" s="11">
        <v>57.91</v>
      </c>
      <c r="E344" s="11">
        <v>8</v>
      </c>
      <c r="F344" s="44">
        <v>486.44400000000002</v>
      </c>
    </row>
    <row r="345" spans="1:6" x14ac:dyDescent="0.35">
      <c r="A345" s="43" t="s">
        <v>754</v>
      </c>
      <c r="B345" s="11" t="s">
        <v>1870</v>
      </c>
      <c r="C345" s="11" t="s">
        <v>1468</v>
      </c>
      <c r="D345" s="11">
        <v>92.49</v>
      </c>
      <c r="E345" s="11">
        <v>5</v>
      </c>
      <c r="F345" s="44">
        <v>485.57249999999999</v>
      </c>
    </row>
    <row r="346" spans="1:6" x14ac:dyDescent="0.35">
      <c r="A346" s="43" t="s">
        <v>544</v>
      </c>
      <c r="B346" s="11" t="s">
        <v>1871</v>
      </c>
      <c r="C346" s="11" t="s">
        <v>1462</v>
      </c>
      <c r="D346" s="11">
        <v>28.38</v>
      </c>
      <c r="E346" s="11">
        <v>5</v>
      </c>
      <c r="F346" s="44">
        <v>148.995</v>
      </c>
    </row>
    <row r="347" spans="1:6" x14ac:dyDescent="0.35">
      <c r="A347" s="43" t="s">
        <v>757</v>
      </c>
      <c r="B347" s="11" t="s">
        <v>1872</v>
      </c>
      <c r="C347" s="11" t="s">
        <v>1462</v>
      </c>
      <c r="D347" s="11">
        <v>50.45</v>
      </c>
      <c r="E347" s="11">
        <v>6</v>
      </c>
      <c r="F347" s="44">
        <v>317.83499999999998</v>
      </c>
    </row>
    <row r="348" spans="1:6" x14ac:dyDescent="0.35">
      <c r="A348" s="43" t="s">
        <v>759</v>
      </c>
      <c r="B348" s="11" t="s">
        <v>1873</v>
      </c>
      <c r="C348" s="11" t="s">
        <v>1473</v>
      </c>
      <c r="D348" s="11">
        <v>99.16</v>
      </c>
      <c r="E348" s="11">
        <v>8</v>
      </c>
      <c r="F348" s="44">
        <v>832.94399999999996</v>
      </c>
    </row>
    <row r="349" spans="1:6" x14ac:dyDescent="0.35">
      <c r="A349" s="43" t="s">
        <v>761</v>
      </c>
      <c r="B349" s="11" t="s">
        <v>1874</v>
      </c>
      <c r="C349" s="11" t="s">
        <v>1468</v>
      </c>
      <c r="D349" s="11">
        <v>60.74</v>
      </c>
      <c r="E349" s="11">
        <v>7</v>
      </c>
      <c r="F349" s="44">
        <v>446.43900000000002</v>
      </c>
    </row>
    <row r="350" spans="1:6" x14ac:dyDescent="0.35">
      <c r="A350" s="43" t="s">
        <v>763</v>
      </c>
      <c r="B350" s="11" t="s">
        <v>1875</v>
      </c>
      <c r="C350" s="11" t="s">
        <v>1486</v>
      </c>
      <c r="D350" s="11">
        <v>47.27</v>
      </c>
      <c r="E350" s="11">
        <v>6</v>
      </c>
      <c r="F350" s="44">
        <v>297.80099999999999</v>
      </c>
    </row>
    <row r="351" spans="1:6" x14ac:dyDescent="0.35">
      <c r="A351" s="43" t="s">
        <v>765</v>
      </c>
      <c r="B351" s="11" t="s">
        <v>1876</v>
      </c>
      <c r="C351" s="11" t="s">
        <v>1473</v>
      </c>
      <c r="D351" s="11">
        <v>85.6</v>
      </c>
      <c r="E351" s="11">
        <v>7</v>
      </c>
      <c r="F351" s="44">
        <v>629.16</v>
      </c>
    </row>
    <row r="352" spans="1:6" x14ac:dyDescent="0.35">
      <c r="A352" s="43" t="s">
        <v>767</v>
      </c>
      <c r="B352" s="11" t="s">
        <v>1877</v>
      </c>
      <c r="C352" s="11" t="s">
        <v>1486</v>
      </c>
      <c r="D352" s="11">
        <v>35.04</v>
      </c>
      <c r="E352" s="11">
        <v>9</v>
      </c>
      <c r="F352" s="44">
        <v>331.12799999999999</v>
      </c>
    </row>
    <row r="353" spans="1:6" x14ac:dyDescent="0.35">
      <c r="A353" s="43" t="s">
        <v>769</v>
      </c>
      <c r="B353" s="11" t="s">
        <v>1878</v>
      </c>
      <c r="C353" s="11" t="s">
        <v>1462</v>
      </c>
      <c r="D353" s="11">
        <v>44.84</v>
      </c>
      <c r="E353" s="11">
        <v>9</v>
      </c>
      <c r="F353" s="44">
        <v>423.738</v>
      </c>
    </row>
    <row r="354" spans="1:6" x14ac:dyDescent="0.35">
      <c r="A354" s="43" t="s">
        <v>771</v>
      </c>
      <c r="B354" s="11" t="s">
        <v>1879</v>
      </c>
      <c r="C354" s="11" t="s">
        <v>1482</v>
      </c>
      <c r="D354" s="11">
        <v>45.97</v>
      </c>
      <c r="E354" s="11">
        <v>4</v>
      </c>
      <c r="F354" s="44">
        <v>193.07400000000001</v>
      </c>
    </row>
    <row r="355" spans="1:6" x14ac:dyDescent="0.35">
      <c r="A355" s="43" t="s">
        <v>773</v>
      </c>
      <c r="B355" s="11" t="s">
        <v>1880</v>
      </c>
      <c r="C355" s="11" t="s">
        <v>1473</v>
      </c>
      <c r="D355" s="11">
        <v>27.73</v>
      </c>
      <c r="E355" s="11">
        <v>5</v>
      </c>
      <c r="F355" s="44">
        <v>145.58250000000001</v>
      </c>
    </row>
    <row r="356" spans="1:6" x14ac:dyDescent="0.35">
      <c r="A356" s="43" t="s">
        <v>775</v>
      </c>
      <c r="B356" s="11" t="s">
        <v>1881</v>
      </c>
      <c r="C356" s="11" t="s">
        <v>1486</v>
      </c>
      <c r="D356" s="11">
        <v>11.53</v>
      </c>
      <c r="E356" s="11">
        <v>7</v>
      </c>
      <c r="F356" s="44">
        <v>84.745500000000007</v>
      </c>
    </row>
    <row r="357" spans="1:6" x14ac:dyDescent="0.35">
      <c r="A357" s="43" t="s">
        <v>777</v>
      </c>
      <c r="B357" s="11" t="s">
        <v>1882</v>
      </c>
      <c r="C357" s="11" t="s">
        <v>1473</v>
      </c>
      <c r="D357" s="11">
        <v>58.32</v>
      </c>
      <c r="E357" s="11">
        <v>2</v>
      </c>
      <c r="F357" s="44">
        <v>122.47199999999999</v>
      </c>
    </row>
    <row r="358" spans="1:6" x14ac:dyDescent="0.35">
      <c r="A358" s="43" t="s">
        <v>779</v>
      </c>
      <c r="B358" s="11" t="s">
        <v>1883</v>
      </c>
      <c r="C358" s="11" t="s">
        <v>1482</v>
      </c>
      <c r="D358" s="11">
        <v>78.38</v>
      </c>
      <c r="E358" s="11">
        <v>4</v>
      </c>
      <c r="F358" s="44">
        <v>329.19600000000003</v>
      </c>
    </row>
    <row r="359" spans="1:6" x14ac:dyDescent="0.35">
      <c r="A359" s="43" t="s">
        <v>781</v>
      </c>
      <c r="B359" s="11" t="s">
        <v>1884</v>
      </c>
      <c r="C359" s="11" t="s">
        <v>1473</v>
      </c>
      <c r="D359" s="11">
        <v>84.61</v>
      </c>
      <c r="E359" s="11">
        <v>10</v>
      </c>
      <c r="F359" s="44">
        <v>888.40499999999997</v>
      </c>
    </row>
    <row r="360" spans="1:6" x14ac:dyDescent="0.35">
      <c r="A360" s="43" t="s">
        <v>783</v>
      </c>
      <c r="B360" s="11" t="s">
        <v>1885</v>
      </c>
      <c r="C360" s="11" t="s">
        <v>1473</v>
      </c>
      <c r="D360" s="11">
        <v>82.88</v>
      </c>
      <c r="E360" s="11">
        <v>5</v>
      </c>
      <c r="F360" s="44">
        <v>435.12</v>
      </c>
    </row>
    <row r="361" spans="1:6" x14ac:dyDescent="0.35">
      <c r="A361" s="43" t="s">
        <v>448</v>
      </c>
      <c r="B361" s="11" t="s">
        <v>1886</v>
      </c>
      <c r="C361" s="11" t="s">
        <v>1486</v>
      </c>
      <c r="D361" s="11">
        <v>79.540000000000006</v>
      </c>
      <c r="E361" s="11">
        <v>2</v>
      </c>
      <c r="F361" s="44">
        <v>167.03399999999999</v>
      </c>
    </row>
    <row r="362" spans="1:6" x14ac:dyDescent="0.35">
      <c r="A362" s="43" t="s">
        <v>786</v>
      </c>
      <c r="B362" s="11" t="s">
        <v>1887</v>
      </c>
      <c r="C362" s="11" t="s">
        <v>1482</v>
      </c>
      <c r="D362" s="11">
        <v>49.01</v>
      </c>
      <c r="E362" s="11">
        <v>10</v>
      </c>
      <c r="F362" s="44">
        <v>514.60500000000002</v>
      </c>
    </row>
    <row r="363" spans="1:6" x14ac:dyDescent="0.35">
      <c r="A363" s="43" t="s">
        <v>788</v>
      </c>
      <c r="B363" s="11" t="s">
        <v>1888</v>
      </c>
      <c r="C363" s="11" t="s">
        <v>1486</v>
      </c>
      <c r="D363" s="11">
        <v>29.15</v>
      </c>
      <c r="E363" s="11">
        <v>3</v>
      </c>
      <c r="F363" s="44">
        <v>91.822500000000005</v>
      </c>
    </row>
    <row r="364" spans="1:6" x14ac:dyDescent="0.35">
      <c r="A364" s="43" t="s">
        <v>790</v>
      </c>
      <c r="B364" s="11" t="s">
        <v>1889</v>
      </c>
      <c r="C364" s="11" t="s">
        <v>1462</v>
      </c>
      <c r="D364" s="11">
        <v>56.13</v>
      </c>
      <c r="E364" s="11">
        <v>4</v>
      </c>
      <c r="F364" s="44">
        <v>235.74600000000001</v>
      </c>
    </row>
    <row r="365" spans="1:6" x14ac:dyDescent="0.35">
      <c r="A365" s="43" t="s">
        <v>792</v>
      </c>
      <c r="B365" s="11" t="s">
        <v>1890</v>
      </c>
      <c r="C365" s="11" t="s">
        <v>1482</v>
      </c>
      <c r="D365" s="11">
        <v>93.12</v>
      </c>
      <c r="E365" s="11">
        <v>8</v>
      </c>
      <c r="F365" s="44">
        <v>782.20799999999997</v>
      </c>
    </row>
    <row r="366" spans="1:6" x14ac:dyDescent="0.35">
      <c r="A366" s="43" t="s">
        <v>794</v>
      </c>
      <c r="B366" s="11" t="s">
        <v>1891</v>
      </c>
      <c r="C366" s="11" t="s">
        <v>1468</v>
      </c>
      <c r="D366" s="11">
        <v>51.34</v>
      </c>
      <c r="E366" s="11">
        <v>8</v>
      </c>
      <c r="F366" s="44">
        <v>431.25599999999997</v>
      </c>
    </row>
    <row r="367" spans="1:6" x14ac:dyDescent="0.35">
      <c r="A367" s="43" t="s">
        <v>796</v>
      </c>
      <c r="B367" s="11" t="s">
        <v>1892</v>
      </c>
      <c r="C367" s="11" t="s">
        <v>1486</v>
      </c>
      <c r="D367" s="11">
        <v>99.6</v>
      </c>
      <c r="E367" s="11">
        <v>3</v>
      </c>
      <c r="F367" s="44">
        <v>313.74</v>
      </c>
    </row>
    <row r="368" spans="1:6" x14ac:dyDescent="0.35">
      <c r="A368" s="43" t="s">
        <v>798</v>
      </c>
      <c r="B368" s="11" t="s">
        <v>1893</v>
      </c>
      <c r="C368" s="11" t="s">
        <v>1462</v>
      </c>
      <c r="D368" s="11">
        <v>35.49</v>
      </c>
      <c r="E368" s="11">
        <v>6</v>
      </c>
      <c r="F368" s="44">
        <v>223.58699999999999</v>
      </c>
    </row>
    <row r="369" spans="1:6" x14ac:dyDescent="0.35">
      <c r="A369" s="43" t="s">
        <v>800</v>
      </c>
      <c r="B369" s="11" t="s">
        <v>1894</v>
      </c>
      <c r="C369" s="11" t="s">
        <v>1501</v>
      </c>
      <c r="D369" s="11">
        <v>42.85</v>
      </c>
      <c r="E369" s="11">
        <v>1</v>
      </c>
      <c r="F369" s="44">
        <v>44.9925</v>
      </c>
    </row>
    <row r="370" spans="1:6" x14ac:dyDescent="0.35">
      <c r="A370" s="43" t="s">
        <v>802</v>
      </c>
      <c r="B370" s="11" t="s">
        <v>1895</v>
      </c>
      <c r="C370" s="11" t="s">
        <v>1468</v>
      </c>
      <c r="D370" s="11">
        <v>94.67</v>
      </c>
      <c r="E370" s="11">
        <v>4</v>
      </c>
      <c r="F370" s="44">
        <v>397.61399999999998</v>
      </c>
    </row>
    <row r="371" spans="1:6" x14ac:dyDescent="0.35">
      <c r="A371" s="43" t="s">
        <v>804</v>
      </c>
      <c r="B371" s="11" t="s">
        <v>1896</v>
      </c>
      <c r="C371" s="11" t="s">
        <v>1482</v>
      </c>
      <c r="D371" s="11">
        <v>68.97</v>
      </c>
      <c r="E371" s="11">
        <v>3</v>
      </c>
      <c r="F371" s="44">
        <v>217.25550000000001</v>
      </c>
    </row>
    <row r="372" spans="1:6" x14ac:dyDescent="0.35">
      <c r="A372" s="43" t="s">
        <v>806</v>
      </c>
      <c r="B372" s="11" t="s">
        <v>1897</v>
      </c>
      <c r="C372" s="11" t="s">
        <v>1462</v>
      </c>
      <c r="D372" s="11">
        <v>26.26</v>
      </c>
      <c r="E372" s="11">
        <v>3</v>
      </c>
      <c r="F372" s="44">
        <v>82.718999999999994</v>
      </c>
    </row>
    <row r="373" spans="1:6" x14ac:dyDescent="0.35">
      <c r="A373" s="43" t="s">
        <v>808</v>
      </c>
      <c r="B373" s="11" t="s">
        <v>1898</v>
      </c>
      <c r="C373" s="11" t="s">
        <v>1482</v>
      </c>
      <c r="D373" s="11">
        <v>35.79</v>
      </c>
      <c r="E373" s="11">
        <v>9</v>
      </c>
      <c r="F373" s="44">
        <v>338.21550000000002</v>
      </c>
    </row>
    <row r="374" spans="1:6" x14ac:dyDescent="0.35">
      <c r="A374" s="43" t="s">
        <v>810</v>
      </c>
      <c r="B374" s="11" t="s">
        <v>1899</v>
      </c>
      <c r="C374" s="11" t="s">
        <v>1482</v>
      </c>
      <c r="D374" s="11">
        <v>16.37</v>
      </c>
      <c r="E374" s="11">
        <v>6</v>
      </c>
      <c r="F374" s="44">
        <v>103.131</v>
      </c>
    </row>
    <row r="375" spans="1:6" x14ac:dyDescent="0.35">
      <c r="A375" s="43" t="s">
        <v>812</v>
      </c>
      <c r="B375" s="11" t="s">
        <v>1900</v>
      </c>
      <c r="C375" s="11" t="s">
        <v>1482</v>
      </c>
      <c r="D375" s="11">
        <v>12.73</v>
      </c>
      <c r="E375" s="11">
        <v>2</v>
      </c>
      <c r="F375" s="44">
        <v>26.733000000000001</v>
      </c>
    </row>
    <row r="376" spans="1:6" x14ac:dyDescent="0.35">
      <c r="A376" s="43" t="s">
        <v>814</v>
      </c>
      <c r="B376" s="11" t="s">
        <v>1901</v>
      </c>
      <c r="C376" s="11" t="s">
        <v>1501</v>
      </c>
      <c r="D376" s="11">
        <v>83.14</v>
      </c>
      <c r="E376" s="11">
        <v>7</v>
      </c>
      <c r="F376" s="44">
        <v>611.07899999999995</v>
      </c>
    </row>
    <row r="377" spans="1:6" x14ac:dyDescent="0.35">
      <c r="A377" s="43" t="s">
        <v>816</v>
      </c>
      <c r="B377" s="11" t="s">
        <v>1902</v>
      </c>
      <c r="C377" s="11" t="s">
        <v>1501</v>
      </c>
      <c r="D377" s="11">
        <v>35.22</v>
      </c>
      <c r="E377" s="11">
        <v>6</v>
      </c>
      <c r="F377" s="44">
        <v>221.886</v>
      </c>
    </row>
    <row r="378" spans="1:6" x14ac:dyDescent="0.35">
      <c r="A378" s="43" t="s">
        <v>818</v>
      </c>
      <c r="B378" s="11" t="s">
        <v>1903</v>
      </c>
      <c r="C378" s="11" t="s">
        <v>1462</v>
      </c>
      <c r="D378" s="11">
        <v>13.78</v>
      </c>
      <c r="E378" s="11">
        <v>4</v>
      </c>
      <c r="F378" s="44">
        <v>57.875999999999998</v>
      </c>
    </row>
    <row r="379" spans="1:6" x14ac:dyDescent="0.35">
      <c r="A379" s="43" t="s">
        <v>820</v>
      </c>
      <c r="B379" s="11" t="s">
        <v>1904</v>
      </c>
      <c r="C379" s="11" t="s">
        <v>1501</v>
      </c>
      <c r="D379" s="11">
        <v>88.31</v>
      </c>
      <c r="E379" s="11">
        <v>1</v>
      </c>
      <c r="F379" s="44">
        <v>92.725499999999997</v>
      </c>
    </row>
    <row r="380" spans="1:6" x14ac:dyDescent="0.35">
      <c r="A380" s="43" t="s">
        <v>822</v>
      </c>
      <c r="B380" s="11" t="s">
        <v>1905</v>
      </c>
      <c r="C380" s="11" t="s">
        <v>1473</v>
      </c>
      <c r="D380" s="11">
        <v>39.619999999999997</v>
      </c>
      <c r="E380" s="11">
        <v>9</v>
      </c>
      <c r="F380" s="44">
        <v>374.40899999999999</v>
      </c>
    </row>
    <row r="381" spans="1:6" x14ac:dyDescent="0.35">
      <c r="A381" s="43" t="s">
        <v>824</v>
      </c>
      <c r="B381" s="11" t="s">
        <v>1906</v>
      </c>
      <c r="C381" s="11" t="s">
        <v>1462</v>
      </c>
      <c r="D381" s="11">
        <v>88.25</v>
      </c>
      <c r="E381" s="11">
        <v>9</v>
      </c>
      <c r="F381" s="44">
        <v>833.96249999999998</v>
      </c>
    </row>
    <row r="382" spans="1:6" x14ac:dyDescent="0.35">
      <c r="A382" s="43" t="s">
        <v>826</v>
      </c>
      <c r="B382" s="11" t="s">
        <v>1907</v>
      </c>
      <c r="C382" s="11" t="s">
        <v>1501</v>
      </c>
      <c r="D382" s="11">
        <v>25.31</v>
      </c>
      <c r="E382" s="11">
        <v>2</v>
      </c>
      <c r="F382" s="44">
        <v>53.151000000000003</v>
      </c>
    </row>
    <row r="383" spans="1:6" x14ac:dyDescent="0.35">
      <c r="A383" s="43" t="s">
        <v>828</v>
      </c>
      <c r="B383" s="11" t="s">
        <v>1908</v>
      </c>
      <c r="C383" s="11" t="s">
        <v>1482</v>
      </c>
      <c r="D383" s="11">
        <v>99.92</v>
      </c>
      <c r="E383" s="11">
        <v>6</v>
      </c>
      <c r="F383" s="44">
        <v>629.49599999999998</v>
      </c>
    </row>
    <row r="384" spans="1:6" x14ac:dyDescent="0.35">
      <c r="A384" s="43" t="s">
        <v>830</v>
      </c>
      <c r="B384" s="11" t="s">
        <v>1909</v>
      </c>
      <c r="C384" s="11" t="s">
        <v>1468</v>
      </c>
      <c r="D384" s="11">
        <v>83.35</v>
      </c>
      <c r="E384" s="11">
        <v>2</v>
      </c>
      <c r="F384" s="44">
        <v>175.035</v>
      </c>
    </row>
    <row r="385" spans="1:6" x14ac:dyDescent="0.35">
      <c r="A385" s="43" t="s">
        <v>832</v>
      </c>
      <c r="B385" s="11" t="s">
        <v>1910</v>
      </c>
      <c r="C385" s="11" t="s">
        <v>1486</v>
      </c>
      <c r="D385" s="11">
        <v>74.44</v>
      </c>
      <c r="E385" s="11">
        <v>10</v>
      </c>
      <c r="F385" s="44">
        <v>781.62</v>
      </c>
    </row>
    <row r="386" spans="1:6" x14ac:dyDescent="0.35">
      <c r="A386" s="43" t="s">
        <v>834</v>
      </c>
      <c r="B386" s="11" t="s">
        <v>1911</v>
      </c>
      <c r="C386" s="11" t="s">
        <v>1473</v>
      </c>
      <c r="D386" s="11">
        <v>64.08</v>
      </c>
      <c r="E386" s="11">
        <v>7</v>
      </c>
      <c r="F386" s="44">
        <v>470.988</v>
      </c>
    </row>
    <row r="387" spans="1:6" x14ac:dyDescent="0.35">
      <c r="A387" s="43" t="s">
        <v>836</v>
      </c>
      <c r="B387" s="11" t="s">
        <v>1912</v>
      </c>
      <c r="C387" s="11" t="s">
        <v>1482</v>
      </c>
      <c r="D387" s="11">
        <v>63.15</v>
      </c>
      <c r="E387" s="11">
        <v>6</v>
      </c>
      <c r="F387" s="44">
        <v>397.84500000000003</v>
      </c>
    </row>
    <row r="388" spans="1:6" x14ac:dyDescent="0.35">
      <c r="A388" s="43" t="s">
        <v>838</v>
      </c>
      <c r="B388" s="11" t="s">
        <v>1913</v>
      </c>
      <c r="C388" s="11" t="s">
        <v>1482</v>
      </c>
      <c r="D388" s="11">
        <v>85.72</v>
      </c>
      <c r="E388" s="11">
        <v>3</v>
      </c>
      <c r="F388" s="44">
        <v>270.01799999999997</v>
      </c>
    </row>
    <row r="389" spans="1:6" x14ac:dyDescent="0.35">
      <c r="A389" s="43" t="s">
        <v>840</v>
      </c>
      <c r="B389" s="11" t="s">
        <v>1914</v>
      </c>
      <c r="C389" s="11" t="s">
        <v>1473</v>
      </c>
      <c r="D389" s="11">
        <v>78.89</v>
      </c>
      <c r="E389" s="11">
        <v>7</v>
      </c>
      <c r="F389" s="44">
        <v>579.8415</v>
      </c>
    </row>
    <row r="390" spans="1:6" x14ac:dyDescent="0.35">
      <c r="A390" s="43" t="s">
        <v>842</v>
      </c>
      <c r="B390" s="11" t="s">
        <v>1915</v>
      </c>
      <c r="C390" s="11" t="s">
        <v>1501</v>
      </c>
      <c r="D390" s="11">
        <v>89.48</v>
      </c>
      <c r="E390" s="11">
        <v>5</v>
      </c>
      <c r="F390" s="44">
        <v>469.77</v>
      </c>
    </row>
    <row r="391" spans="1:6" x14ac:dyDescent="0.35">
      <c r="A391" s="43" t="s">
        <v>844</v>
      </c>
      <c r="B391" s="11" t="s">
        <v>1916</v>
      </c>
      <c r="C391" s="11" t="s">
        <v>1473</v>
      </c>
      <c r="D391" s="11">
        <v>92.09</v>
      </c>
      <c r="E391" s="11">
        <v>3</v>
      </c>
      <c r="F391" s="44">
        <v>290.08350000000002</v>
      </c>
    </row>
    <row r="392" spans="1:6" x14ac:dyDescent="0.35">
      <c r="A392" s="43" t="s">
        <v>647</v>
      </c>
      <c r="B392" s="11" t="s">
        <v>1917</v>
      </c>
      <c r="C392" s="11" t="s">
        <v>1486</v>
      </c>
      <c r="D392" s="11">
        <v>57.29</v>
      </c>
      <c r="E392" s="11">
        <v>6</v>
      </c>
      <c r="F392" s="44">
        <v>360.92700000000002</v>
      </c>
    </row>
    <row r="393" spans="1:6" x14ac:dyDescent="0.35">
      <c r="A393" s="43" t="s">
        <v>847</v>
      </c>
      <c r="B393" s="11" t="s">
        <v>1918</v>
      </c>
      <c r="C393" s="11" t="s">
        <v>1486</v>
      </c>
      <c r="D393" s="11">
        <v>66.52</v>
      </c>
      <c r="E393" s="11">
        <v>4</v>
      </c>
      <c r="F393" s="44">
        <v>279.38400000000001</v>
      </c>
    </row>
    <row r="394" spans="1:6" x14ac:dyDescent="0.35">
      <c r="A394" s="43" t="s">
        <v>849</v>
      </c>
      <c r="B394" s="11" t="s">
        <v>1919</v>
      </c>
      <c r="C394" s="11" t="s">
        <v>1468</v>
      </c>
      <c r="D394" s="11">
        <v>99.82</v>
      </c>
      <c r="E394" s="11">
        <v>9</v>
      </c>
      <c r="F394" s="44">
        <v>943.29899999999998</v>
      </c>
    </row>
    <row r="395" spans="1:6" x14ac:dyDescent="0.35">
      <c r="A395" s="43" t="s">
        <v>851</v>
      </c>
      <c r="B395" s="11" t="s">
        <v>1920</v>
      </c>
      <c r="C395" s="11" t="s">
        <v>1482</v>
      </c>
      <c r="D395" s="11">
        <v>45.68</v>
      </c>
      <c r="E395" s="11">
        <v>10</v>
      </c>
      <c r="F395" s="44">
        <v>479.64</v>
      </c>
    </row>
    <row r="396" spans="1:6" x14ac:dyDescent="0.35">
      <c r="A396" s="43" t="s">
        <v>853</v>
      </c>
      <c r="B396" s="11" t="s">
        <v>1921</v>
      </c>
      <c r="C396" s="11" t="s">
        <v>1473</v>
      </c>
      <c r="D396" s="11">
        <v>50.79</v>
      </c>
      <c r="E396" s="11">
        <v>5</v>
      </c>
      <c r="F396" s="44">
        <v>266.64749999999998</v>
      </c>
    </row>
    <row r="397" spans="1:6" x14ac:dyDescent="0.35">
      <c r="A397" s="43" t="s">
        <v>855</v>
      </c>
      <c r="B397" s="11" t="s">
        <v>1922</v>
      </c>
      <c r="C397" s="11" t="s">
        <v>1473</v>
      </c>
      <c r="D397" s="11">
        <v>10.08</v>
      </c>
      <c r="E397" s="11">
        <v>7</v>
      </c>
      <c r="F397" s="44">
        <v>74.087999999999994</v>
      </c>
    </row>
    <row r="398" spans="1:6" x14ac:dyDescent="0.35">
      <c r="A398" s="43" t="s">
        <v>857</v>
      </c>
      <c r="B398" s="11" t="s">
        <v>1923</v>
      </c>
      <c r="C398" s="11" t="s">
        <v>1462</v>
      </c>
      <c r="D398" s="11">
        <v>93.88</v>
      </c>
      <c r="E398" s="11">
        <v>7</v>
      </c>
      <c r="F398" s="44">
        <v>690.01800000000003</v>
      </c>
    </row>
    <row r="399" spans="1:6" x14ac:dyDescent="0.35">
      <c r="A399" s="43" t="s">
        <v>859</v>
      </c>
      <c r="B399" s="11" t="s">
        <v>1924</v>
      </c>
      <c r="C399" s="11" t="s">
        <v>1462</v>
      </c>
      <c r="D399" s="11">
        <v>84.25</v>
      </c>
      <c r="E399" s="11">
        <v>2</v>
      </c>
      <c r="F399" s="44">
        <v>176.92500000000001</v>
      </c>
    </row>
    <row r="400" spans="1:6" x14ac:dyDescent="0.35">
      <c r="A400" s="43" t="s">
        <v>409</v>
      </c>
      <c r="B400" s="11" t="s">
        <v>1925</v>
      </c>
      <c r="C400" s="11" t="s">
        <v>1468</v>
      </c>
      <c r="D400" s="11">
        <v>53.78</v>
      </c>
      <c r="E400" s="11">
        <v>1</v>
      </c>
      <c r="F400" s="44">
        <v>56.469000000000001</v>
      </c>
    </row>
    <row r="401" spans="1:6" x14ac:dyDescent="0.35">
      <c r="A401" s="43" t="s">
        <v>862</v>
      </c>
      <c r="B401" s="11" t="s">
        <v>1926</v>
      </c>
      <c r="C401" s="11" t="s">
        <v>1482</v>
      </c>
      <c r="D401" s="11">
        <v>35.81</v>
      </c>
      <c r="E401" s="11">
        <v>5</v>
      </c>
      <c r="F401" s="44">
        <v>188.0025</v>
      </c>
    </row>
    <row r="402" spans="1:6" x14ac:dyDescent="0.35">
      <c r="A402" s="43" t="s">
        <v>864</v>
      </c>
      <c r="B402" s="11" t="s">
        <v>1927</v>
      </c>
      <c r="C402" s="11" t="s">
        <v>1486</v>
      </c>
      <c r="D402" s="11">
        <v>26.43</v>
      </c>
      <c r="E402" s="11">
        <v>8</v>
      </c>
      <c r="F402" s="44">
        <v>222.012</v>
      </c>
    </row>
    <row r="403" spans="1:6" x14ac:dyDescent="0.35">
      <c r="A403" s="43" t="s">
        <v>866</v>
      </c>
      <c r="B403" s="11" t="s">
        <v>1928</v>
      </c>
      <c r="C403" s="11" t="s">
        <v>1473</v>
      </c>
      <c r="D403" s="11">
        <v>39.909999999999997</v>
      </c>
      <c r="E403" s="11">
        <v>3</v>
      </c>
      <c r="F403" s="44">
        <v>125.7165</v>
      </c>
    </row>
    <row r="404" spans="1:6" x14ac:dyDescent="0.35">
      <c r="A404" s="43" t="s">
        <v>868</v>
      </c>
      <c r="B404" s="11" t="s">
        <v>1929</v>
      </c>
      <c r="C404" s="11" t="s">
        <v>1482</v>
      </c>
      <c r="D404" s="11">
        <v>21.9</v>
      </c>
      <c r="E404" s="11">
        <v>3</v>
      </c>
      <c r="F404" s="44">
        <v>68.984999999999999</v>
      </c>
    </row>
    <row r="405" spans="1:6" x14ac:dyDescent="0.35">
      <c r="A405" s="43" t="s">
        <v>870</v>
      </c>
      <c r="B405" s="11" t="s">
        <v>1930</v>
      </c>
      <c r="C405" s="11" t="s">
        <v>1486</v>
      </c>
      <c r="D405" s="11">
        <v>62.85</v>
      </c>
      <c r="E405" s="11">
        <v>4</v>
      </c>
      <c r="F405" s="44">
        <v>263.97000000000003</v>
      </c>
    </row>
    <row r="406" spans="1:6" x14ac:dyDescent="0.35">
      <c r="A406" s="43" t="s">
        <v>872</v>
      </c>
      <c r="B406" s="11" t="s">
        <v>1931</v>
      </c>
      <c r="C406" s="11" t="s">
        <v>1486</v>
      </c>
      <c r="D406" s="11">
        <v>21.04</v>
      </c>
      <c r="E406" s="11">
        <v>4</v>
      </c>
      <c r="F406" s="44">
        <v>88.367999999999995</v>
      </c>
    </row>
    <row r="407" spans="1:6" x14ac:dyDescent="0.35">
      <c r="A407" s="43" t="s">
        <v>874</v>
      </c>
      <c r="B407" s="11" t="s">
        <v>1932</v>
      </c>
      <c r="C407" s="11" t="s">
        <v>1482</v>
      </c>
      <c r="D407" s="11">
        <v>65.91</v>
      </c>
      <c r="E407" s="11">
        <v>6</v>
      </c>
      <c r="F407" s="44">
        <v>415.233</v>
      </c>
    </row>
    <row r="408" spans="1:6" x14ac:dyDescent="0.35">
      <c r="A408" s="43" t="s">
        <v>876</v>
      </c>
      <c r="B408" s="11" t="s">
        <v>1933</v>
      </c>
      <c r="C408" s="11" t="s">
        <v>1468</v>
      </c>
      <c r="D408" s="11">
        <v>42.57</v>
      </c>
      <c r="E408" s="11">
        <v>7</v>
      </c>
      <c r="F408" s="44">
        <v>312.8895</v>
      </c>
    </row>
    <row r="409" spans="1:6" x14ac:dyDescent="0.35">
      <c r="A409" s="43" t="s">
        <v>878</v>
      </c>
      <c r="B409" s="11" t="s">
        <v>1934</v>
      </c>
      <c r="C409" s="11" t="s">
        <v>1486</v>
      </c>
      <c r="D409" s="11">
        <v>50.49</v>
      </c>
      <c r="E409" s="11">
        <v>9</v>
      </c>
      <c r="F409" s="44">
        <v>477.13049999999998</v>
      </c>
    </row>
    <row r="410" spans="1:6" x14ac:dyDescent="0.35">
      <c r="A410" s="43" t="s">
        <v>880</v>
      </c>
      <c r="B410" s="11" t="s">
        <v>1935</v>
      </c>
      <c r="C410" s="11" t="s">
        <v>1462</v>
      </c>
      <c r="D410" s="11">
        <v>46.02</v>
      </c>
      <c r="E410" s="11">
        <v>6</v>
      </c>
      <c r="F410" s="44">
        <v>289.92599999999999</v>
      </c>
    </row>
    <row r="411" spans="1:6" x14ac:dyDescent="0.35">
      <c r="A411" s="43" t="s">
        <v>882</v>
      </c>
      <c r="B411" s="11" t="s">
        <v>1936</v>
      </c>
      <c r="C411" s="11" t="s">
        <v>1482</v>
      </c>
      <c r="D411" s="11">
        <v>15.8</v>
      </c>
      <c r="E411" s="11">
        <v>10</v>
      </c>
      <c r="F411" s="44">
        <v>165.9</v>
      </c>
    </row>
    <row r="412" spans="1:6" x14ac:dyDescent="0.35">
      <c r="A412" s="43" t="s">
        <v>884</v>
      </c>
      <c r="B412" s="11" t="s">
        <v>1937</v>
      </c>
      <c r="C412" s="11" t="s">
        <v>1486</v>
      </c>
      <c r="D412" s="11">
        <v>98.66</v>
      </c>
      <c r="E412" s="11">
        <v>9</v>
      </c>
      <c r="F412" s="44">
        <v>932.33699999999999</v>
      </c>
    </row>
    <row r="413" spans="1:6" x14ac:dyDescent="0.35">
      <c r="A413" s="43" t="s">
        <v>886</v>
      </c>
      <c r="B413" s="11" t="s">
        <v>1938</v>
      </c>
      <c r="C413" s="11" t="s">
        <v>1468</v>
      </c>
      <c r="D413" s="11">
        <v>91.98</v>
      </c>
      <c r="E413" s="11">
        <v>1</v>
      </c>
      <c r="F413" s="44">
        <v>96.578999999999994</v>
      </c>
    </row>
    <row r="414" spans="1:6" x14ac:dyDescent="0.35">
      <c r="A414" s="43" t="s">
        <v>888</v>
      </c>
      <c r="B414" s="11" t="s">
        <v>1939</v>
      </c>
      <c r="C414" s="11" t="s">
        <v>1462</v>
      </c>
      <c r="D414" s="11">
        <v>20.89</v>
      </c>
      <c r="E414" s="11">
        <v>2</v>
      </c>
      <c r="F414" s="44">
        <v>43.869</v>
      </c>
    </row>
    <row r="415" spans="1:6" x14ac:dyDescent="0.35">
      <c r="A415" s="43" t="s">
        <v>890</v>
      </c>
      <c r="B415" s="11" t="s">
        <v>1940</v>
      </c>
      <c r="C415" s="11" t="s">
        <v>1468</v>
      </c>
      <c r="D415" s="11">
        <v>15.5</v>
      </c>
      <c r="E415" s="11">
        <v>1</v>
      </c>
      <c r="F415" s="44">
        <v>16.274999999999999</v>
      </c>
    </row>
    <row r="416" spans="1:6" x14ac:dyDescent="0.35">
      <c r="A416" s="43" t="s">
        <v>892</v>
      </c>
      <c r="B416" s="11" t="s">
        <v>1941</v>
      </c>
      <c r="C416" s="11" t="s">
        <v>1462</v>
      </c>
      <c r="D416" s="11">
        <v>96.82</v>
      </c>
      <c r="E416" s="11">
        <v>3</v>
      </c>
      <c r="F416" s="44">
        <v>304.983</v>
      </c>
    </row>
    <row r="417" spans="1:6" x14ac:dyDescent="0.35">
      <c r="A417" s="43" t="s">
        <v>894</v>
      </c>
      <c r="B417" s="11" t="s">
        <v>1942</v>
      </c>
      <c r="C417" s="11" t="s">
        <v>1486</v>
      </c>
      <c r="D417" s="11">
        <v>33.33</v>
      </c>
      <c r="E417" s="11">
        <v>2</v>
      </c>
      <c r="F417" s="44">
        <v>69.992999999999995</v>
      </c>
    </row>
    <row r="418" spans="1:6" x14ac:dyDescent="0.35">
      <c r="A418" s="43" t="s">
        <v>888</v>
      </c>
      <c r="B418" s="11" t="s">
        <v>1943</v>
      </c>
      <c r="C418" s="11" t="s">
        <v>1462</v>
      </c>
      <c r="D418" s="11">
        <v>38.270000000000003</v>
      </c>
      <c r="E418" s="11">
        <v>2</v>
      </c>
      <c r="F418" s="44">
        <v>80.367000000000004</v>
      </c>
    </row>
    <row r="419" spans="1:6" x14ac:dyDescent="0.35">
      <c r="A419" s="43" t="s">
        <v>897</v>
      </c>
      <c r="B419" s="11" t="s">
        <v>1944</v>
      </c>
      <c r="C419" s="11" t="s">
        <v>1482</v>
      </c>
      <c r="D419" s="11">
        <v>33.299999999999997</v>
      </c>
      <c r="E419" s="11">
        <v>9</v>
      </c>
      <c r="F419" s="44">
        <v>314.685</v>
      </c>
    </row>
    <row r="420" spans="1:6" x14ac:dyDescent="0.35">
      <c r="A420" s="43" t="s">
        <v>899</v>
      </c>
      <c r="B420" s="11" t="s">
        <v>1945</v>
      </c>
      <c r="C420" s="11" t="s">
        <v>1482</v>
      </c>
      <c r="D420" s="11">
        <v>81.010000000000005</v>
      </c>
      <c r="E420" s="11">
        <v>3</v>
      </c>
      <c r="F420" s="44">
        <v>255.1815</v>
      </c>
    </row>
    <row r="421" spans="1:6" x14ac:dyDescent="0.35">
      <c r="A421" s="43" t="s">
        <v>592</v>
      </c>
      <c r="B421" s="11" t="s">
        <v>1946</v>
      </c>
      <c r="C421" s="11" t="s">
        <v>1473</v>
      </c>
      <c r="D421" s="11">
        <v>15.8</v>
      </c>
      <c r="E421" s="11">
        <v>3</v>
      </c>
      <c r="F421" s="44">
        <v>49.77</v>
      </c>
    </row>
    <row r="422" spans="1:6" x14ac:dyDescent="0.35">
      <c r="A422" s="43" t="s">
        <v>902</v>
      </c>
      <c r="B422" s="11" t="s">
        <v>1947</v>
      </c>
      <c r="C422" s="11" t="s">
        <v>1462</v>
      </c>
      <c r="D422" s="11">
        <v>34.49</v>
      </c>
      <c r="E422" s="11">
        <v>5</v>
      </c>
      <c r="F422" s="44">
        <v>181.07249999999999</v>
      </c>
    </row>
    <row r="423" spans="1:6" x14ac:dyDescent="0.35">
      <c r="A423" s="43" t="s">
        <v>904</v>
      </c>
      <c r="B423" s="11" t="s">
        <v>1948</v>
      </c>
      <c r="C423" s="11" t="s">
        <v>1486</v>
      </c>
      <c r="D423" s="11">
        <v>84.63</v>
      </c>
      <c r="E423" s="11">
        <v>10</v>
      </c>
      <c r="F423" s="44">
        <v>888.61500000000001</v>
      </c>
    </row>
    <row r="424" spans="1:6" x14ac:dyDescent="0.35">
      <c r="A424" s="43" t="s">
        <v>906</v>
      </c>
      <c r="B424" s="11" t="s">
        <v>1949</v>
      </c>
      <c r="C424" s="11" t="s">
        <v>1482</v>
      </c>
      <c r="D424" s="11">
        <v>36.909999999999997</v>
      </c>
      <c r="E424" s="11">
        <v>7</v>
      </c>
      <c r="F424" s="44">
        <v>271.2885</v>
      </c>
    </row>
    <row r="425" spans="1:6" x14ac:dyDescent="0.35">
      <c r="A425" s="43" t="s">
        <v>908</v>
      </c>
      <c r="B425" s="11" t="s">
        <v>1950</v>
      </c>
      <c r="C425" s="11" t="s">
        <v>1462</v>
      </c>
      <c r="D425" s="11">
        <v>87.08</v>
      </c>
      <c r="E425" s="11">
        <v>7</v>
      </c>
      <c r="F425" s="44">
        <v>640.03800000000001</v>
      </c>
    </row>
    <row r="426" spans="1:6" x14ac:dyDescent="0.35">
      <c r="A426" s="43" t="s">
        <v>910</v>
      </c>
      <c r="B426" s="11" t="s">
        <v>1951</v>
      </c>
      <c r="C426" s="11" t="s">
        <v>1482</v>
      </c>
      <c r="D426" s="11">
        <v>80.08</v>
      </c>
      <c r="E426" s="11">
        <v>3</v>
      </c>
      <c r="F426" s="44">
        <v>252.25200000000001</v>
      </c>
    </row>
    <row r="427" spans="1:6" x14ac:dyDescent="0.35">
      <c r="A427" s="43" t="s">
        <v>912</v>
      </c>
      <c r="B427" s="11" t="s">
        <v>1952</v>
      </c>
      <c r="C427" s="11" t="s">
        <v>1468</v>
      </c>
      <c r="D427" s="11">
        <v>86.13</v>
      </c>
      <c r="E427" s="11">
        <v>2</v>
      </c>
      <c r="F427" s="44">
        <v>180.87299999999999</v>
      </c>
    </row>
    <row r="428" spans="1:6" x14ac:dyDescent="0.35">
      <c r="A428" s="43" t="s">
        <v>914</v>
      </c>
      <c r="B428" s="11" t="s">
        <v>1953</v>
      </c>
      <c r="C428" s="11" t="s">
        <v>1468</v>
      </c>
      <c r="D428" s="11">
        <v>49.92</v>
      </c>
      <c r="E428" s="11">
        <v>2</v>
      </c>
      <c r="F428" s="44">
        <v>104.83199999999999</v>
      </c>
    </row>
    <row r="429" spans="1:6" x14ac:dyDescent="0.35">
      <c r="A429" s="43" t="s">
        <v>916</v>
      </c>
      <c r="B429" s="11" t="s">
        <v>1954</v>
      </c>
      <c r="C429" s="11" t="s">
        <v>1486</v>
      </c>
      <c r="D429" s="11">
        <v>74.66</v>
      </c>
      <c r="E429" s="11">
        <v>4</v>
      </c>
      <c r="F429" s="44">
        <v>313.572</v>
      </c>
    </row>
    <row r="430" spans="1:6" x14ac:dyDescent="0.35">
      <c r="A430" s="43" t="s">
        <v>918</v>
      </c>
      <c r="B430" s="11" t="s">
        <v>1955</v>
      </c>
      <c r="C430" s="11" t="s">
        <v>1486</v>
      </c>
      <c r="D430" s="11">
        <v>26.6</v>
      </c>
      <c r="E430" s="11">
        <v>6</v>
      </c>
      <c r="F430" s="44">
        <v>167.58</v>
      </c>
    </row>
    <row r="431" spans="1:6" x14ac:dyDescent="0.35">
      <c r="A431" s="43" t="s">
        <v>920</v>
      </c>
      <c r="B431" s="11" t="s">
        <v>1956</v>
      </c>
      <c r="C431" s="11" t="s">
        <v>1462</v>
      </c>
      <c r="D431" s="11">
        <v>25.45</v>
      </c>
      <c r="E431" s="11">
        <v>1</v>
      </c>
      <c r="F431" s="44">
        <v>26.7225</v>
      </c>
    </row>
    <row r="432" spans="1:6" x14ac:dyDescent="0.35">
      <c r="A432" s="43" t="s">
        <v>922</v>
      </c>
      <c r="B432" s="11" t="s">
        <v>1957</v>
      </c>
      <c r="C432" s="11" t="s">
        <v>1486</v>
      </c>
      <c r="D432" s="11">
        <v>67.77</v>
      </c>
      <c r="E432" s="11">
        <v>1</v>
      </c>
      <c r="F432" s="44">
        <v>71.158500000000004</v>
      </c>
    </row>
    <row r="433" spans="1:6" x14ac:dyDescent="0.35">
      <c r="A433" s="43" t="s">
        <v>924</v>
      </c>
      <c r="B433" s="11" t="s">
        <v>1958</v>
      </c>
      <c r="C433" s="11" t="s">
        <v>1486</v>
      </c>
      <c r="D433" s="11">
        <v>59.59</v>
      </c>
      <c r="E433" s="11">
        <v>4</v>
      </c>
      <c r="F433" s="44">
        <v>250.27799999999999</v>
      </c>
    </row>
    <row r="434" spans="1:6" x14ac:dyDescent="0.35">
      <c r="A434" s="43" t="s">
        <v>926</v>
      </c>
      <c r="B434" s="11" t="s">
        <v>1959</v>
      </c>
      <c r="C434" s="11" t="s">
        <v>1473</v>
      </c>
      <c r="D434" s="11">
        <v>58.15</v>
      </c>
      <c r="E434" s="11">
        <v>4</v>
      </c>
      <c r="F434" s="44">
        <v>244.23</v>
      </c>
    </row>
    <row r="435" spans="1:6" x14ac:dyDescent="0.35">
      <c r="A435" s="43" t="s">
        <v>928</v>
      </c>
      <c r="B435" s="11" t="s">
        <v>1960</v>
      </c>
      <c r="C435" s="11" t="s">
        <v>1501</v>
      </c>
      <c r="D435" s="11">
        <v>97.48</v>
      </c>
      <c r="E435" s="11">
        <v>9</v>
      </c>
      <c r="F435" s="44">
        <v>921.18600000000004</v>
      </c>
    </row>
    <row r="436" spans="1:6" x14ac:dyDescent="0.35">
      <c r="A436" s="43" t="s">
        <v>930</v>
      </c>
      <c r="B436" s="11" t="s">
        <v>1961</v>
      </c>
      <c r="C436" s="11" t="s">
        <v>1473</v>
      </c>
      <c r="D436" s="11">
        <v>99.96</v>
      </c>
      <c r="E436" s="11">
        <v>7</v>
      </c>
      <c r="F436" s="44">
        <v>734.70600000000002</v>
      </c>
    </row>
    <row r="437" spans="1:6" x14ac:dyDescent="0.35">
      <c r="A437" s="43" t="s">
        <v>932</v>
      </c>
      <c r="B437" s="11" t="s">
        <v>1962</v>
      </c>
      <c r="C437" s="11" t="s">
        <v>1462</v>
      </c>
      <c r="D437" s="11">
        <v>96.37</v>
      </c>
      <c r="E437" s="11">
        <v>7</v>
      </c>
      <c r="F437" s="44">
        <v>708.31949999999995</v>
      </c>
    </row>
    <row r="438" spans="1:6" x14ac:dyDescent="0.35">
      <c r="A438" s="43" t="s">
        <v>934</v>
      </c>
      <c r="B438" s="11" t="s">
        <v>1963</v>
      </c>
      <c r="C438" s="11" t="s">
        <v>1468</v>
      </c>
      <c r="D438" s="11">
        <v>63.71</v>
      </c>
      <c r="E438" s="11">
        <v>5</v>
      </c>
      <c r="F438" s="44">
        <v>334.47750000000002</v>
      </c>
    </row>
    <row r="439" spans="1:6" x14ac:dyDescent="0.35">
      <c r="A439" s="43" t="s">
        <v>936</v>
      </c>
      <c r="B439" s="11" t="s">
        <v>1964</v>
      </c>
      <c r="C439" s="11" t="s">
        <v>1473</v>
      </c>
      <c r="D439" s="11">
        <v>14.76</v>
      </c>
      <c r="E439" s="11">
        <v>2</v>
      </c>
      <c r="F439" s="44">
        <v>30.995999999999999</v>
      </c>
    </row>
    <row r="440" spans="1:6" x14ac:dyDescent="0.35">
      <c r="A440" s="43" t="s">
        <v>938</v>
      </c>
      <c r="B440" s="11" t="s">
        <v>1966</v>
      </c>
      <c r="C440" s="11" t="s">
        <v>1473</v>
      </c>
      <c r="D440" s="11">
        <v>62</v>
      </c>
      <c r="E440" s="11">
        <v>8</v>
      </c>
      <c r="F440" s="44">
        <v>520.79999999999995</v>
      </c>
    </row>
    <row r="441" spans="1:6" x14ac:dyDescent="0.35">
      <c r="A441" s="43" t="s">
        <v>940</v>
      </c>
      <c r="B441" s="11" t="s">
        <v>1967</v>
      </c>
      <c r="C441" s="11" t="s">
        <v>1462</v>
      </c>
      <c r="D441" s="11">
        <v>82.34</v>
      </c>
      <c r="E441" s="11">
        <v>10</v>
      </c>
      <c r="F441" s="44">
        <v>864.57</v>
      </c>
    </row>
    <row r="442" spans="1:6" x14ac:dyDescent="0.35">
      <c r="A442" s="43" t="s">
        <v>942</v>
      </c>
      <c r="B442" s="11" t="s">
        <v>1968</v>
      </c>
      <c r="C442" s="11" t="s">
        <v>1473</v>
      </c>
      <c r="D442" s="11">
        <v>75.37</v>
      </c>
      <c r="E442" s="11">
        <v>8</v>
      </c>
      <c r="F442" s="44">
        <v>633.10799999999995</v>
      </c>
    </row>
    <row r="443" spans="1:6" x14ac:dyDescent="0.35">
      <c r="A443" s="43" t="s">
        <v>944</v>
      </c>
      <c r="B443" s="11" t="s">
        <v>1969</v>
      </c>
      <c r="C443" s="11" t="s">
        <v>1486</v>
      </c>
      <c r="D443" s="11">
        <v>56.56</v>
      </c>
      <c r="E443" s="11">
        <v>5</v>
      </c>
      <c r="F443" s="44">
        <v>296.94</v>
      </c>
    </row>
    <row r="444" spans="1:6" x14ac:dyDescent="0.35">
      <c r="A444" s="43" t="s">
        <v>946</v>
      </c>
      <c r="B444" s="11" t="s">
        <v>1970</v>
      </c>
      <c r="C444" s="11" t="s">
        <v>1501</v>
      </c>
      <c r="D444" s="11">
        <v>76.599999999999994</v>
      </c>
      <c r="E444" s="11">
        <v>10</v>
      </c>
      <c r="F444" s="44">
        <v>804.3</v>
      </c>
    </row>
    <row r="445" spans="1:6" x14ac:dyDescent="0.35">
      <c r="A445" s="43" t="s">
        <v>948</v>
      </c>
      <c r="B445" s="11" t="s">
        <v>1971</v>
      </c>
      <c r="C445" s="11" t="s">
        <v>1462</v>
      </c>
      <c r="D445" s="11">
        <v>58.03</v>
      </c>
      <c r="E445" s="11">
        <v>2</v>
      </c>
      <c r="F445" s="44">
        <v>121.863</v>
      </c>
    </row>
    <row r="446" spans="1:6" x14ac:dyDescent="0.35">
      <c r="A446" s="43" t="s">
        <v>950</v>
      </c>
      <c r="B446" s="11" t="s">
        <v>1972</v>
      </c>
      <c r="C446" s="11" t="s">
        <v>1468</v>
      </c>
      <c r="D446" s="11">
        <v>17.489999999999998</v>
      </c>
      <c r="E446" s="11">
        <v>10</v>
      </c>
      <c r="F446" s="44">
        <v>183.64500000000001</v>
      </c>
    </row>
    <row r="447" spans="1:6" x14ac:dyDescent="0.35">
      <c r="A447" s="43" t="s">
        <v>952</v>
      </c>
      <c r="B447" s="11" t="s">
        <v>1973</v>
      </c>
      <c r="C447" s="11" t="s">
        <v>1462</v>
      </c>
      <c r="D447" s="11">
        <v>60.95</v>
      </c>
      <c r="E447" s="11">
        <v>1</v>
      </c>
      <c r="F447" s="44">
        <v>63.997500000000002</v>
      </c>
    </row>
    <row r="448" spans="1:6" x14ac:dyDescent="0.35">
      <c r="A448" s="43" t="s">
        <v>954</v>
      </c>
      <c r="B448" s="11" t="s">
        <v>1974</v>
      </c>
      <c r="C448" s="11" t="s">
        <v>1473</v>
      </c>
      <c r="D448" s="11">
        <v>40.35</v>
      </c>
      <c r="E448" s="11">
        <v>1</v>
      </c>
      <c r="F448" s="44">
        <v>42.3675</v>
      </c>
    </row>
    <row r="449" spans="1:6" x14ac:dyDescent="0.35">
      <c r="A449" s="43" t="s">
        <v>956</v>
      </c>
      <c r="B449" s="11" t="s">
        <v>1975</v>
      </c>
      <c r="C449" s="11" t="s">
        <v>1482</v>
      </c>
      <c r="D449" s="11">
        <v>97.38</v>
      </c>
      <c r="E449" s="11">
        <v>10</v>
      </c>
      <c r="F449" s="44">
        <v>1022.49</v>
      </c>
    </row>
    <row r="450" spans="1:6" x14ac:dyDescent="0.35">
      <c r="A450" s="43" t="s">
        <v>958</v>
      </c>
      <c r="B450" s="11" t="s">
        <v>1976</v>
      </c>
      <c r="C450" s="11" t="s">
        <v>1486</v>
      </c>
      <c r="D450" s="11">
        <v>31.84</v>
      </c>
      <c r="E450" s="11">
        <v>1</v>
      </c>
      <c r="F450" s="44">
        <v>33.432000000000002</v>
      </c>
    </row>
    <row r="451" spans="1:6" x14ac:dyDescent="0.35">
      <c r="A451" s="43" t="s">
        <v>960</v>
      </c>
      <c r="B451" s="11" t="s">
        <v>1977</v>
      </c>
      <c r="C451" s="11" t="s">
        <v>1482</v>
      </c>
      <c r="D451" s="11">
        <v>65.819999999999993</v>
      </c>
      <c r="E451" s="11">
        <v>1</v>
      </c>
      <c r="F451" s="44">
        <v>69.111000000000004</v>
      </c>
    </row>
    <row r="452" spans="1:6" x14ac:dyDescent="0.35">
      <c r="A452" s="43" t="s">
        <v>962</v>
      </c>
      <c r="B452" s="11" t="s">
        <v>1978</v>
      </c>
      <c r="C452" s="11" t="s">
        <v>1468</v>
      </c>
      <c r="D452" s="11">
        <v>88.34</v>
      </c>
      <c r="E452" s="11">
        <v>7</v>
      </c>
      <c r="F452" s="44">
        <v>649.29899999999998</v>
      </c>
    </row>
    <row r="453" spans="1:6" x14ac:dyDescent="0.35">
      <c r="A453" s="43" t="s">
        <v>964</v>
      </c>
      <c r="B453" s="11" t="s">
        <v>1994</v>
      </c>
      <c r="C453" s="11" t="s">
        <v>1473</v>
      </c>
      <c r="D453" s="11">
        <v>71.38</v>
      </c>
      <c r="E453" s="11">
        <v>10</v>
      </c>
      <c r="F453" s="44">
        <v>749.49</v>
      </c>
    </row>
    <row r="454" spans="1:6" x14ac:dyDescent="0.35">
      <c r="A454" s="43" t="s">
        <v>966</v>
      </c>
      <c r="B454" s="11" t="s">
        <v>1995</v>
      </c>
      <c r="C454" s="11" t="s">
        <v>1501</v>
      </c>
      <c r="D454" s="11">
        <v>93.72</v>
      </c>
      <c r="E454" s="11">
        <v>6</v>
      </c>
      <c r="F454" s="44">
        <v>590.43600000000004</v>
      </c>
    </row>
    <row r="455" spans="1:6" x14ac:dyDescent="0.35">
      <c r="A455" s="43" t="s">
        <v>721</v>
      </c>
      <c r="B455" s="11" t="s">
        <v>1996</v>
      </c>
      <c r="C455" s="11" t="s">
        <v>1473</v>
      </c>
      <c r="D455" s="11">
        <v>68.930000000000007</v>
      </c>
      <c r="E455" s="11">
        <v>7</v>
      </c>
      <c r="F455" s="44">
        <v>506.63549999999998</v>
      </c>
    </row>
    <row r="456" spans="1:6" x14ac:dyDescent="0.35">
      <c r="A456" s="43" t="s">
        <v>969</v>
      </c>
      <c r="B456" s="11" t="s">
        <v>1997</v>
      </c>
      <c r="C456" s="11" t="s">
        <v>1501</v>
      </c>
      <c r="D456" s="11">
        <v>72.61</v>
      </c>
      <c r="E456" s="11">
        <v>6</v>
      </c>
      <c r="F456" s="44">
        <v>457.44299999999998</v>
      </c>
    </row>
    <row r="457" spans="1:6" x14ac:dyDescent="0.35">
      <c r="A457" s="43" t="s">
        <v>971</v>
      </c>
      <c r="B457" s="11" t="s">
        <v>1998</v>
      </c>
      <c r="C457" s="11" t="s">
        <v>1486</v>
      </c>
      <c r="D457" s="11">
        <v>54.67</v>
      </c>
      <c r="E457" s="11">
        <v>3</v>
      </c>
      <c r="F457" s="44">
        <v>172.2105</v>
      </c>
    </row>
    <row r="458" spans="1:6" x14ac:dyDescent="0.35">
      <c r="A458" s="43" t="s">
        <v>973</v>
      </c>
      <c r="B458" s="11" t="s">
        <v>1999</v>
      </c>
      <c r="C458" s="11" t="s">
        <v>1482</v>
      </c>
      <c r="D458" s="11">
        <v>40.299999999999997</v>
      </c>
      <c r="E458" s="11">
        <v>2</v>
      </c>
      <c r="F458" s="44">
        <v>84.63</v>
      </c>
    </row>
    <row r="459" spans="1:6" x14ac:dyDescent="0.35">
      <c r="A459" s="43" t="s">
        <v>975</v>
      </c>
      <c r="B459" s="11" t="s">
        <v>2000</v>
      </c>
      <c r="C459" s="11" t="s">
        <v>1462</v>
      </c>
      <c r="D459" s="11">
        <v>86.04</v>
      </c>
      <c r="E459" s="11">
        <v>5</v>
      </c>
      <c r="F459" s="44">
        <v>451.71</v>
      </c>
    </row>
    <row r="460" spans="1:6" x14ac:dyDescent="0.35">
      <c r="A460" s="43" t="s">
        <v>977</v>
      </c>
      <c r="B460" s="11" t="s">
        <v>2001</v>
      </c>
      <c r="C460" s="11" t="s">
        <v>1473</v>
      </c>
      <c r="D460" s="11">
        <v>87.98</v>
      </c>
      <c r="E460" s="11">
        <v>3</v>
      </c>
      <c r="F460" s="44">
        <v>277.137</v>
      </c>
    </row>
    <row r="461" spans="1:6" x14ac:dyDescent="0.35">
      <c r="A461" s="43" t="s">
        <v>979</v>
      </c>
      <c r="B461" s="11" t="s">
        <v>2002</v>
      </c>
      <c r="C461" s="11" t="s">
        <v>1482</v>
      </c>
      <c r="D461" s="11">
        <v>33.200000000000003</v>
      </c>
      <c r="E461" s="11">
        <v>2</v>
      </c>
      <c r="F461" s="44">
        <v>69.72</v>
      </c>
    </row>
    <row r="462" spans="1:6" x14ac:dyDescent="0.35">
      <c r="A462" s="43" t="s">
        <v>981</v>
      </c>
      <c r="B462" s="11" t="s">
        <v>2003</v>
      </c>
      <c r="C462" s="11" t="s">
        <v>1462</v>
      </c>
      <c r="D462" s="11">
        <v>34.56</v>
      </c>
      <c r="E462" s="11">
        <v>5</v>
      </c>
      <c r="F462" s="44">
        <v>181.44</v>
      </c>
    </row>
    <row r="463" spans="1:6" x14ac:dyDescent="0.35">
      <c r="A463" s="43" t="s">
        <v>983</v>
      </c>
      <c r="B463" s="11" t="s">
        <v>2004</v>
      </c>
      <c r="C463" s="11" t="s">
        <v>1501</v>
      </c>
      <c r="D463" s="11">
        <v>88.63</v>
      </c>
      <c r="E463" s="11">
        <v>3</v>
      </c>
      <c r="F463" s="44">
        <v>279.18450000000001</v>
      </c>
    </row>
    <row r="464" spans="1:6" x14ac:dyDescent="0.35">
      <c r="A464" s="43" t="s">
        <v>985</v>
      </c>
      <c r="B464" s="11" t="s">
        <v>2005</v>
      </c>
      <c r="C464" s="11" t="s">
        <v>1482</v>
      </c>
      <c r="D464" s="11">
        <v>52.59</v>
      </c>
      <c r="E464" s="11">
        <v>8</v>
      </c>
      <c r="F464" s="44">
        <v>441.75599999999997</v>
      </c>
    </row>
    <row r="465" spans="1:6" x14ac:dyDescent="0.35">
      <c r="A465" s="43" t="s">
        <v>987</v>
      </c>
      <c r="B465" s="11" t="s">
        <v>2006</v>
      </c>
      <c r="C465" s="11" t="s">
        <v>1468</v>
      </c>
      <c r="D465" s="11">
        <v>33.520000000000003</v>
      </c>
      <c r="E465" s="11">
        <v>1</v>
      </c>
      <c r="F465" s="44">
        <v>35.195999999999998</v>
      </c>
    </row>
    <row r="466" spans="1:6" x14ac:dyDescent="0.35">
      <c r="A466" s="43" t="s">
        <v>989</v>
      </c>
      <c r="B466" s="11" t="s">
        <v>2007</v>
      </c>
      <c r="C466" s="11" t="s">
        <v>1468</v>
      </c>
      <c r="D466" s="11">
        <v>87.67</v>
      </c>
      <c r="E466" s="11">
        <v>2</v>
      </c>
      <c r="F466" s="44">
        <v>184.107</v>
      </c>
    </row>
    <row r="467" spans="1:6" x14ac:dyDescent="0.35">
      <c r="A467" s="43" t="s">
        <v>991</v>
      </c>
      <c r="B467" s="11" t="s">
        <v>2008</v>
      </c>
      <c r="C467" s="11" t="s">
        <v>1486</v>
      </c>
      <c r="D467" s="11">
        <v>88.36</v>
      </c>
      <c r="E467" s="11">
        <v>5</v>
      </c>
      <c r="F467" s="44">
        <v>463.89</v>
      </c>
    </row>
    <row r="468" spans="1:6" x14ac:dyDescent="0.35">
      <c r="A468" s="43" t="s">
        <v>993</v>
      </c>
      <c r="B468" s="11" t="s">
        <v>2009</v>
      </c>
      <c r="C468" s="11" t="s">
        <v>1473</v>
      </c>
      <c r="D468" s="11">
        <v>24.89</v>
      </c>
      <c r="E468" s="11">
        <v>9</v>
      </c>
      <c r="F468" s="44">
        <v>235.2105</v>
      </c>
    </row>
    <row r="469" spans="1:6" x14ac:dyDescent="0.35">
      <c r="A469" s="43" t="s">
        <v>995</v>
      </c>
      <c r="B469" s="11" t="s">
        <v>2010</v>
      </c>
      <c r="C469" s="11" t="s">
        <v>1468</v>
      </c>
      <c r="D469" s="11">
        <v>94.13</v>
      </c>
      <c r="E469" s="11">
        <v>5</v>
      </c>
      <c r="F469" s="44">
        <v>494.1825</v>
      </c>
    </row>
    <row r="470" spans="1:6" x14ac:dyDescent="0.35">
      <c r="A470" s="43" t="s">
        <v>997</v>
      </c>
      <c r="B470" s="11" t="s">
        <v>2011</v>
      </c>
      <c r="C470" s="11" t="s">
        <v>1501</v>
      </c>
      <c r="D470" s="11">
        <v>78.069999999999993</v>
      </c>
      <c r="E470" s="11">
        <v>9</v>
      </c>
      <c r="F470" s="44">
        <v>737.76149999999996</v>
      </c>
    </row>
    <row r="471" spans="1:6" x14ac:dyDescent="0.35">
      <c r="A471" s="43" t="s">
        <v>999</v>
      </c>
      <c r="B471" s="11" t="s">
        <v>2012</v>
      </c>
      <c r="C471" s="11" t="s">
        <v>1501</v>
      </c>
      <c r="D471" s="11">
        <v>83.78</v>
      </c>
      <c r="E471" s="11">
        <v>8</v>
      </c>
      <c r="F471" s="44">
        <v>703.75199999999995</v>
      </c>
    </row>
    <row r="472" spans="1:6" x14ac:dyDescent="0.35">
      <c r="A472" s="43" t="s">
        <v>341</v>
      </c>
      <c r="B472" s="11" t="s">
        <v>2013</v>
      </c>
      <c r="C472" s="11" t="s">
        <v>1473</v>
      </c>
      <c r="D472" s="11">
        <v>96.58</v>
      </c>
      <c r="E472" s="11">
        <v>2</v>
      </c>
      <c r="F472" s="44">
        <v>202.81800000000001</v>
      </c>
    </row>
    <row r="473" spans="1:6" x14ac:dyDescent="0.35">
      <c r="A473" s="43" t="s">
        <v>1002</v>
      </c>
      <c r="B473" s="11" t="s">
        <v>2014</v>
      </c>
      <c r="C473" s="11" t="s">
        <v>1486</v>
      </c>
      <c r="D473" s="11">
        <v>99.42</v>
      </c>
      <c r="E473" s="11">
        <v>4</v>
      </c>
      <c r="F473" s="44">
        <v>417.56400000000002</v>
      </c>
    </row>
    <row r="474" spans="1:6" x14ac:dyDescent="0.35">
      <c r="A474" s="43" t="s">
        <v>1004</v>
      </c>
      <c r="B474" s="11" t="s">
        <v>2015</v>
      </c>
      <c r="C474" s="11" t="s">
        <v>1501</v>
      </c>
      <c r="D474" s="11">
        <v>68.12</v>
      </c>
      <c r="E474" s="11">
        <v>1</v>
      </c>
      <c r="F474" s="44">
        <v>71.525999999999996</v>
      </c>
    </row>
    <row r="475" spans="1:6" x14ac:dyDescent="0.35">
      <c r="A475" s="43" t="s">
        <v>1006</v>
      </c>
      <c r="B475" s="11" t="s">
        <v>2016</v>
      </c>
      <c r="C475" s="11" t="s">
        <v>1501</v>
      </c>
      <c r="D475" s="11">
        <v>62.62</v>
      </c>
      <c r="E475" s="11">
        <v>5</v>
      </c>
      <c r="F475" s="44">
        <v>328.755</v>
      </c>
    </row>
    <row r="476" spans="1:6" x14ac:dyDescent="0.35">
      <c r="A476" s="43" t="s">
        <v>1008</v>
      </c>
      <c r="B476" s="11" t="s">
        <v>2017</v>
      </c>
      <c r="C476" s="11" t="s">
        <v>1462</v>
      </c>
      <c r="D476" s="11">
        <v>60.88</v>
      </c>
      <c r="E476" s="11">
        <v>9</v>
      </c>
      <c r="F476" s="44">
        <v>575.31600000000003</v>
      </c>
    </row>
    <row r="477" spans="1:6" x14ac:dyDescent="0.35">
      <c r="A477" s="43" t="s">
        <v>1010</v>
      </c>
      <c r="B477" s="11" t="s">
        <v>2018</v>
      </c>
      <c r="C477" s="11" t="s">
        <v>1473</v>
      </c>
      <c r="D477" s="11">
        <v>54.92</v>
      </c>
      <c r="E477" s="11">
        <v>8</v>
      </c>
      <c r="F477" s="44">
        <v>461.32799999999997</v>
      </c>
    </row>
    <row r="478" spans="1:6" x14ac:dyDescent="0.35">
      <c r="A478" s="43" t="s">
        <v>1012</v>
      </c>
      <c r="B478" s="11" t="s">
        <v>2019</v>
      </c>
      <c r="C478" s="11" t="s">
        <v>1482</v>
      </c>
      <c r="D478" s="11">
        <v>30.12</v>
      </c>
      <c r="E478" s="11">
        <v>8</v>
      </c>
      <c r="F478" s="44">
        <v>253.00800000000001</v>
      </c>
    </row>
    <row r="479" spans="1:6" x14ac:dyDescent="0.35">
      <c r="A479" s="43" t="s">
        <v>1014</v>
      </c>
      <c r="B479" s="11" t="s">
        <v>2020</v>
      </c>
      <c r="C479" s="11" t="s">
        <v>1482</v>
      </c>
      <c r="D479" s="11">
        <v>86.72</v>
      </c>
      <c r="E479" s="11">
        <v>1</v>
      </c>
      <c r="F479" s="44">
        <v>91.055999999999997</v>
      </c>
    </row>
    <row r="480" spans="1:6" x14ac:dyDescent="0.35">
      <c r="A480" s="43" t="s">
        <v>1016</v>
      </c>
      <c r="B480" s="11" t="s">
        <v>2021</v>
      </c>
      <c r="C480" s="11" t="s">
        <v>1482</v>
      </c>
      <c r="D480" s="11">
        <v>56.11</v>
      </c>
      <c r="E480" s="11">
        <v>2</v>
      </c>
      <c r="F480" s="44">
        <v>117.831</v>
      </c>
    </row>
    <row r="481" spans="1:6" x14ac:dyDescent="0.35">
      <c r="A481" s="43" t="s">
        <v>1018</v>
      </c>
      <c r="B481" s="11" t="s">
        <v>2022</v>
      </c>
      <c r="C481" s="11" t="s">
        <v>1501</v>
      </c>
      <c r="D481" s="11">
        <v>69.12</v>
      </c>
      <c r="E481" s="11">
        <v>6</v>
      </c>
      <c r="F481" s="44">
        <v>435.45600000000002</v>
      </c>
    </row>
    <row r="482" spans="1:6" x14ac:dyDescent="0.35">
      <c r="A482" s="43" t="s">
        <v>1020</v>
      </c>
      <c r="B482" s="11" t="s">
        <v>2023</v>
      </c>
      <c r="C482" s="11" t="s">
        <v>1486</v>
      </c>
      <c r="D482" s="11">
        <v>98.7</v>
      </c>
      <c r="E482" s="11">
        <v>8</v>
      </c>
      <c r="F482" s="44">
        <v>829.08</v>
      </c>
    </row>
    <row r="483" spans="1:6" x14ac:dyDescent="0.35">
      <c r="A483" s="43" t="s">
        <v>1022</v>
      </c>
      <c r="B483" s="11" t="s">
        <v>2024</v>
      </c>
      <c r="C483" s="11" t="s">
        <v>1473</v>
      </c>
      <c r="D483" s="11">
        <v>15.37</v>
      </c>
      <c r="E483" s="11">
        <v>2</v>
      </c>
      <c r="F483" s="44">
        <v>32.277000000000001</v>
      </c>
    </row>
    <row r="484" spans="1:6" x14ac:dyDescent="0.35">
      <c r="A484" s="43" t="s">
        <v>154</v>
      </c>
      <c r="B484" s="11" t="s">
        <v>2025</v>
      </c>
      <c r="C484" s="11" t="s">
        <v>1462</v>
      </c>
      <c r="D484" s="11">
        <v>93.96</v>
      </c>
      <c r="E484" s="11">
        <v>4</v>
      </c>
      <c r="F484" s="44">
        <v>394.63200000000001</v>
      </c>
    </row>
    <row r="485" spans="1:6" x14ac:dyDescent="0.35">
      <c r="A485" s="43" t="s">
        <v>540</v>
      </c>
      <c r="B485" s="11" t="s">
        <v>2026</v>
      </c>
      <c r="C485" s="11" t="s">
        <v>1473</v>
      </c>
      <c r="D485" s="11">
        <v>56.69</v>
      </c>
      <c r="E485" s="11">
        <v>9</v>
      </c>
      <c r="F485" s="44">
        <v>535.72050000000002</v>
      </c>
    </row>
    <row r="486" spans="1:6" x14ac:dyDescent="0.35">
      <c r="A486" s="43" t="s">
        <v>742</v>
      </c>
      <c r="B486" s="11" t="s">
        <v>2027</v>
      </c>
      <c r="C486" s="11" t="s">
        <v>1486</v>
      </c>
      <c r="D486" s="11">
        <v>20.010000000000002</v>
      </c>
      <c r="E486" s="11">
        <v>9</v>
      </c>
      <c r="F486" s="44">
        <v>189.09450000000001</v>
      </c>
    </row>
    <row r="487" spans="1:6" x14ac:dyDescent="0.35">
      <c r="A487" s="43" t="s">
        <v>1027</v>
      </c>
      <c r="B487" s="11" t="s">
        <v>2028</v>
      </c>
      <c r="C487" s="11" t="s">
        <v>1462</v>
      </c>
      <c r="D487" s="11">
        <v>18.93</v>
      </c>
      <c r="E487" s="11">
        <v>6</v>
      </c>
      <c r="F487" s="44">
        <v>119.259</v>
      </c>
    </row>
    <row r="488" spans="1:6" x14ac:dyDescent="0.35">
      <c r="A488" s="43" t="s">
        <v>1029</v>
      </c>
      <c r="B488" s="11" t="s">
        <v>2029</v>
      </c>
      <c r="C488" s="11" t="s">
        <v>1468</v>
      </c>
      <c r="D488" s="11">
        <v>82.63</v>
      </c>
      <c r="E488" s="11">
        <v>10</v>
      </c>
      <c r="F488" s="44">
        <v>867.61500000000001</v>
      </c>
    </row>
    <row r="489" spans="1:6" x14ac:dyDescent="0.35">
      <c r="A489" s="43" t="s">
        <v>1031</v>
      </c>
      <c r="B489" s="11" t="s">
        <v>2030</v>
      </c>
      <c r="C489" s="11" t="s">
        <v>1486</v>
      </c>
      <c r="D489" s="11">
        <v>91.4</v>
      </c>
      <c r="E489" s="11">
        <v>7</v>
      </c>
      <c r="F489" s="44">
        <v>671.79</v>
      </c>
    </row>
    <row r="490" spans="1:6" x14ac:dyDescent="0.35">
      <c r="A490" s="43" t="s">
        <v>1033</v>
      </c>
      <c r="B490" s="11" t="s">
        <v>2031</v>
      </c>
      <c r="C490" s="11" t="s">
        <v>1486</v>
      </c>
      <c r="D490" s="11">
        <v>44.59</v>
      </c>
      <c r="E490" s="11">
        <v>5</v>
      </c>
      <c r="F490" s="44">
        <v>234.0975</v>
      </c>
    </row>
    <row r="491" spans="1:6" x14ac:dyDescent="0.35">
      <c r="A491" s="43" t="s">
        <v>1035</v>
      </c>
      <c r="B491" s="11" t="s">
        <v>2032</v>
      </c>
      <c r="C491" s="11" t="s">
        <v>1468</v>
      </c>
      <c r="D491" s="11">
        <v>17.87</v>
      </c>
      <c r="E491" s="11">
        <v>4</v>
      </c>
      <c r="F491" s="44">
        <v>75.054000000000002</v>
      </c>
    </row>
    <row r="492" spans="1:6" x14ac:dyDescent="0.35">
      <c r="A492" s="43" t="s">
        <v>1037</v>
      </c>
      <c r="B492" s="11" t="s">
        <v>2033</v>
      </c>
      <c r="C492" s="11" t="s">
        <v>1468</v>
      </c>
      <c r="D492" s="11">
        <v>15.43</v>
      </c>
      <c r="E492" s="11">
        <v>1</v>
      </c>
      <c r="F492" s="44">
        <v>16.201499999999999</v>
      </c>
    </row>
    <row r="493" spans="1:6" x14ac:dyDescent="0.35">
      <c r="A493" s="43" t="s">
        <v>199</v>
      </c>
      <c r="B493" s="11" t="s">
        <v>2034</v>
      </c>
      <c r="C493" s="11" t="s">
        <v>1482</v>
      </c>
      <c r="D493" s="11">
        <v>16.16</v>
      </c>
      <c r="E493" s="11">
        <v>2</v>
      </c>
      <c r="F493" s="44">
        <v>33.936</v>
      </c>
    </row>
    <row r="494" spans="1:6" x14ac:dyDescent="0.35">
      <c r="A494" s="43" t="s">
        <v>1040</v>
      </c>
      <c r="B494" s="11" t="s">
        <v>2035</v>
      </c>
      <c r="C494" s="11" t="s">
        <v>1462</v>
      </c>
      <c r="D494" s="11">
        <v>85.98</v>
      </c>
      <c r="E494" s="11">
        <v>8</v>
      </c>
      <c r="F494" s="44">
        <v>722.23199999999997</v>
      </c>
    </row>
    <row r="495" spans="1:6" x14ac:dyDescent="0.35">
      <c r="A495" s="43" t="s">
        <v>1042</v>
      </c>
      <c r="B495" s="11" t="s">
        <v>2036</v>
      </c>
      <c r="C495" s="11" t="s">
        <v>1482</v>
      </c>
      <c r="D495" s="11">
        <v>44.34</v>
      </c>
      <c r="E495" s="11">
        <v>2</v>
      </c>
      <c r="F495" s="44">
        <v>93.114000000000004</v>
      </c>
    </row>
    <row r="496" spans="1:6" x14ac:dyDescent="0.35">
      <c r="A496" s="43" t="s">
        <v>1044</v>
      </c>
      <c r="B496" s="11" t="s">
        <v>2037</v>
      </c>
      <c r="C496" s="11" t="s">
        <v>1473</v>
      </c>
      <c r="D496" s="11">
        <v>89.6</v>
      </c>
      <c r="E496" s="11">
        <v>8</v>
      </c>
      <c r="F496" s="44">
        <v>752.64</v>
      </c>
    </row>
    <row r="497" spans="1:6" x14ac:dyDescent="0.35">
      <c r="A497" s="43" t="s">
        <v>1046</v>
      </c>
      <c r="B497" s="11" t="s">
        <v>2038</v>
      </c>
      <c r="C497" s="11" t="s">
        <v>1482</v>
      </c>
      <c r="D497" s="11">
        <v>72.349999999999994</v>
      </c>
      <c r="E497" s="11">
        <v>10</v>
      </c>
      <c r="F497" s="44">
        <v>759.67499999999995</v>
      </c>
    </row>
    <row r="498" spans="1:6" x14ac:dyDescent="0.35">
      <c r="A498" s="43" t="s">
        <v>1048</v>
      </c>
      <c r="B498" s="11" t="s">
        <v>2039</v>
      </c>
      <c r="C498" s="11" t="s">
        <v>1462</v>
      </c>
      <c r="D498" s="11">
        <v>30.61</v>
      </c>
      <c r="E498" s="11">
        <v>6</v>
      </c>
      <c r="F498" s="44">
        <v>192.84299999999999</v>
      </c>
    </row>
    <row r="499" spans="1:6" x14ac:dyDescent="0.35">
      <c r="A499" s="43" t="s">
        <v>1050</v>
      </c>
      <c r="B499" s="11" t="s">
        <v>2040</v>
      </c>
      <c r="C499" s="11" t="s">
        <v>1501</v>
      </c>
      <c r="D499" s="11">
        <v>24.74</v>
      </c>
      <c r="E499" s="11">
        <v>3</v>
      </c>
      <c r="F499" s="44">
        <v>77.930999999999997</v>
      </c>
    </row>
    <row r="500" spans="1:6" x14ac:dyDescent="0.35">
      <c r="A500" s="43" t="s">
        <v>1052</v>
      </c>
      <c r="B500" s="11" t="s">
        <v>2041</v>
      </c>
      <c r="C500" s="11" t="s">
        <v>1482</v>
      </c>
      <c r="D500" s="11">
        <v>55.73</v>
      </c>
      <c r="E500" s="11">
        <v>6</v>
      </c>
      <c r="F500" s="44">
        <v>351.09899999999999</v>
      </c>
    </row>
    <row r="501" spans="1:6" x14ac:dyDescent="0.35">
      <c r="A501" s="43" t="s">
        <v>1054</v>
      </c>
      <c r="B501" s="11" t="s">
        <v>2042</v>
      </c>
      <c r="C501" s="11" t="s">
        <v>1501</v>
      </c>
      <c r="D501" s="11">
        <v>55.07</v>
      </c>
      <c r="E501" s="11">
        <v>9</v>
      </c>
      <c r="F501" s="44">
        <v>520.41150000000005</v>
      </c>
    </row>
    <row r="502" spans="1:6" x14ac:dyDescent="0.35">
      <c r="A502" s="43" t="s">
        <v>1056</v>
      </c>
      <c r="B502" s="11" t="s">
        <v>2043</v>
      </c>
      <c r="C502" s="11" t="s">
        <v>1501</v>
      </c>
      <c r="D502" s="11">
        <v>15.81</v>
      </c>
      <c r="E502" s="11">
        <v>10</v>
      </c>
      <c r="F502" s="44">
        <v>166.005</v>
      </c>
    </row>
    <row r="503" spans="1:6" x14ac:dyDescent="0.35">
      <c r="A503" s="43" t="s">
        <v>1058</v>
      </c>
      <c r="B503" s="11" t="s">
        <v>2044</v>
      </c>
      <c r="C503" s="11" t="s">
        <v>1473</v>
      </c>
      <c r="D503" s="11">
        <v>75.739999999999995</v>
      </c>
      <c r="E503" s="11">
        <v>4</v>
      </c>
      <c r="F503" s="44">
        <v>318.108</v>
      </c>
    </row>
    <row r="504" spans="1:6" x14ac:dyDescent="0.35">
      <c r="A504" s="43" t="s">
        <v>1060</v>
      </c>
      <c r="B504" s="11" t="s">
        <v>2045</v>
      </c>
      <c r="C504" s="11" t="s">
        <v>1473</v>
      </c>
      <c r="D504" s="11">
        <v>15.87</v>
      </c>
      <c r="E504" s="11">
        <v>10</v>
      </c>
      <c r="F504" s="44">
        <v>166.63499999999999</v>
      </c>
    </row>
    <row r="505" spans="1:6" x14ac:dyDescent="0.35">
      <c r="A505" s="43" t="s">
        <v>1062</v>
      </c>
      <c r="B505" s="11" t="s">
        <v>2046</v>
      </c>
      <c r="C505" s="11" t="s">
        <v>1473</v>
      </c>
      <c r="D505" s="11">
        <v>33.47</v>
      </c>
      <c r="E505" s="11">
        <v>2</v>
      </c>
      <c r="F505" s="44">
        <v>70.287000000000006</v>
      </c>
    </row>
    <row r="506" spans="1:6" x14ac:dyDescent="0.35">
      <c r="A506" s="43" t="s">
        <v>1064</v>
      </c>
      <c r="B506" s="11" t="s">
        <v>2047</v>
      </c>
      <c r="C506" s="11" t="s">
        <v>1468</v>
      </c>
      <c r="D506" s="11">
        <v>97.61</v>
      </c>
      <c r="E506" s="11">
        <v>6</v>
      </c>
      <c r="F506" s="44">
        <v>614.94299999999998</v>
      </c>
    </row>
    <row r="507" spans="1:6" x14ac:dyDescent="0.35">
      <c r="A507" s="43" t="s">
        <v>1066</v>
      </c>
      <c r="B507" s="11" t="s">
        <v>2048</v>
      </c>
      <c r="C507" s="11" t="s">
        <v>1501</v>
      </c>
      <c r="D507" s="11">
        <v>78.77</v>
      </c>
      <c r="E507" s="11">
        <v>10</v>
      </c>
      <c r="F507" s="44">
        <v>827.08500000000004</v>
      </c>
    </row>
    <row r="508" spans="1:6" x14ac:dyDescent="0.35">
      <c r="A508" s="43" t="s">
        <v>1068</v>
      </c>
      <c r="B508" s="11" t="s">
        <v>2049</v>
      </c>
      <c r="C508" s="11" t="s">
        <v>1473</v>
      </c>
      <c r="D508" s="11">
        <v>18.329999999999998</v>
      </c>
      <c r="E508" s="11">
        <v>1</v>
      </c>
      <c r="F508" s="44">
        <v>19.246500000000001</v>
      </c>
    </row>
    <row r="509" spans="1:6" x14ac:dyDescent="0.35">
      <c r="A509" s="43" t="s">
        <v>1070</v>
      </c>
      <c r="B509" s="11" t="s">
        <v>2050</v>
      </c>
      <c r="C509" s="11" t="s">
        <v>1486</v>
      </c>
      <c r="D509" s="11">
        <v>89.48</v>
      </c>
      <c r="E509" s="11">
        <v>10</v>
      </c>
      <c r="F509" s="44">
        <v>939.54</v>
      </c>
    </row>
    <row r="510" spans="1:6" x14ac:dyDescent="0.35">
      <c r="A510" s="43" t="s">
        <v>1072</v>
      </c>
      <c r="B510" s="11" t="s">
        <v>2051</v>
      </c>
      <c r="C510" s="11" t="s">
        <v>1468</v>
      </c>
      <c r="D510" s="11">
        <v>62.12</v>
      </c>
      <c r="E510" s="11">
        <v>10</v>
      </c>
      <c r="F510" s="44">
        <v>652.26</v>
      </c>
    </row>
    <row r="511" spans="1:6" x14ac:dyDescent="0.35">
      <c r="A511" s="43" t="s">
        <v>1074</v>
      </c>
      <c r="B511" s="11" t="s">
        <v>2052</v>
      </c>
      <c r="C511" s="11" t="s">
        <v>1486</v>
      </c>
      <c r="D511" s="11">
        <v>48.52</v>
      </c>
      <c r="E511" s="11">
        <v>3</v>
      </c>
      <c r="F511" s="44">
        <v>152.83799999999999</v>
      </c>
    </row>
    <row r="512" spans="1:6" x14ac:dyDescent="0.35">
      <c r="A512" s="45" t="s">
        <v>1076</v>
      </c>
      <c r="B512" s="46" t="s">
        <v>2053</v>
      </c>
      <c r="C512" s="46" t="s">
        <v>1462</v>
      </c>
      <c r="D512" s="46">
        <v>75.91</v>
      </c>
      <c r="E512" s="46">
        <v>6</v>
      </c>
      <c r="F512" s="47">
        <v>478.233</v>
      </c>
    </row>
    <row r="513" spans="1:1" x14ac:dyDescent="0.35">
      <c r="A513" s="5"/>
    </row>
    <row r="514" spans="1:1" x14ac:dyDescent="0.35">
      <c r="A514" s="5"/>
    </row>
    <row r="515" spans="1:1" x14ac:dyDescent="0.35">
      <c r="A515" s="5"/>
    </row>
    <row r="516" spans="1:1" x14ac:dyDescent="0.35">
      <c r="A516" s="5"/>
    </row>
    <row r="517" spans="1:1" x14ac:dyDescent="0.35">
      <c r="A517" s="5"/>
    </row>
    <row r="518" spans="1:1" x14ac:dyDescent="0.35">
      <c r="A518" s="5"/>
    </row>
    <row r="519" spans="1:1" x14ac:dyDescent="0.35">
      <c r="A519" s="5"/>
    </row>
    <row r="520" spans="1:1" x14ac:dyDescent="0.35">
      <c r="A520" s="5"/>
    </row>
    <row r="521" spans="1:1" x14ac:dyDescent="0.35">
      <c r="A521" s="5"/>
    </row>
    <row r="522" spans="1:1" x14ac:dyDescent="0.35">
      <c r="A522" s="5"/>
    </row>
    <row r="523" spans="1:1" x14ac:dyDescent="0.35">
      <c r="A523" s="5"/>
    </row>
    <row r="524" spans="1:1" x14ac:dyDescent="0.35">
      <c r="A524" s="5"/>
    </row>
    <row r="525" spans="1:1" x14ac:dyDescent="0.35">
      <c r="A525" s="5"/>
    </row>
  </sheetData>
  <mergeCells count="6">
    <mergeCell ref="H15:J15"/>
    <mergeCell ref="M4:N4"/>
    <mergeCell ref="H2:J2"/>
    <mergeCell ref="G3:L3"/>
    <mergeCell ref="H8:K8"/>
    <mergeCell ref="H9:I9"/>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C36B5-1460-49D3-A6C7-428D9BF5B437}">
  <sheetPr codeName="Sheet7"/>
  <dimension ref="A1:AG521"/>
  <sheetViews>
    <sheetView tabSelected="1" topLeftCell="P1" workbookViewId="0">
      <selection activeCell="Y11" sqref="Y11"/>
    </sheetView>
  </sheetViews>
  <sheetFormatPr defaultRowHeight="14.5" x14ac:dyDescent="0.35"/>
  <cols>
    <col min="1" max="1" width="11.08984375" bestFit="1" customWidth="1"/>
    <col min="2" max="2" width="6.6328125" bestFit="1" customWidth="1"/>
    <col min="3" max="3" width="9.54296875" bestFit="1" customWidth="1"/>
    <col min="4" max="4" width="13.26953125" bestFit="1" customWidth="1"/>
    <col min="6" max="6" width="18.90625" bestFit="1" customWidth="1"/>
    <col min="10" max="10" width="9.90625" bestFit="1" customWidth="1"/>
    <col min="11" max="11" width="10.08984375" bestFit="1" customWidth="1"/>
    <col min="13" max="13" width="9.90625" bestFit="1" customWidth="1"/>
    <col min="15" max="15" width="22" bestFit="1" customWidth="1"/>
    <col min="16" max="16" width="13.36328125" style="5" bestFit="1" customWidth="1"/>
    <col min="25" max="25" width="18.90625" bestFit="1" customWidth="1"/>
    <col min="29" max="29" width="18.90625" bestFit="1" customWidth="1"/>
    <col min="30" max="30" width="13.26953125" bestFit="1" customWidth="1"/>
    <col min="33" max="33" width="10.1796875" customWidth="1"/>
  </cols>
  <sheetData>
    <row r="1" spans="1:33" x14ac:dyDescent="0.35">
      <c r="A1" s="29" t="s">
        <v>1979</v>
      </c>
      <c r="B1" s="30" t="s">
        <v>1980</v>
      </c>
      <c r="C1" s="30" t="s">
        <v>12</v>
      </c>
      <c r="D1" s="30" t="s">
        <v>1981</v>
      </c>
      <c r="E1" s="30" t="s">
        <v>5</v>
      </c>
      <c r="F1" s="30" t="s">
        <v>1982</v>
      </c>
      <c r="G1" s="30" t="s">
        <v>1983</v>
      </c>
      <c r="H1" s="30" t="s">
        <v>1984</v>
      </c>
      <c r="I1" s="30" t="s">
        <v>1985</v>
      </c>
      <c r="J1" s="30" t="s">
        <v>1986</v>
      </c>
      <c r="K1" s="31" t="s">
        <v>1987</v>
      </c>
      <c r="L1" s="30" t="s">
        <v>1988</v>
      </c>
      <c r="M1" s="30" t="s">
        <v>1989</v>
      </c>
      <c r="N1" s="32" t="s">
        <v>1991</v>
      </c>
      <c r="O1" s="30" t="s">
        <v>1992</v>
      </c>
      <c r="P1" s="33" t="s">
        <v>1993</v>
      </c>
      <c r="Q1" s="34" t="s">
        <v>1990</v>
      </c>
    </row>
    <row r="2" spans="1:33" x14ac:dyDescent="0.35">
      <c r="A2" s="21" t="s">
        <v>1458</v>
      </c>
      <c r="B2" s="22" t="s">
        <v>1459</v>
      </c>
      <c r="C2" s="22" t="s">
        <v>1460</v>
      </c>
      <c r="D2" s="22" t="s">
        <v>1461</v>
      </c>
      <c r="E2" s="22" t="s">
        <v>19</v>
      </c>
      <c r="F2" s="22" t="s">
        <v>1462</v>
      </c>
      <c r="G2" s="22">
        <v>66.06</v>
      </c>
      <c r="H2" s="22">
        <v>6</v>
      </c>
      <c r="I2" s="22">
        <v>19.818000000000001</v>
      </c>
      <c r="J2" s="23">
        <v>416.178</v>
      </c>
      <c r="K2" s="24" t="s">
        <v>1463</v>
      </c>
      <c r="L2" s="25">
        <v>0.43611111111111112</v>
      </c>
      <c r="M2" s="22" t="s">
        <v>1464</v>
      </c>
      <c r="N2" s="26">
        <v>396.36</v>
      </c>
      <c r="O2" s="27">
        <f t="shared" ref="O2:O65" si="0">4.761904762/100</f>
        <v>4.761904762E-2</v>
      </c>
      <c r="P2" s="23">
        <v>19.818000000000001</v>
      </c>
      <c r="Q2" s="28">
        <v>7.3</v>
      </c>
    </row>
    <row r="3" spans="1:33" x14ac:dyDescent="0.35">
      <c r="A3" s="21" t="s">
        <v>1465</v>
      </c>
      <c r="B3" s="22" t="s">
        <v>1466</v>
      </c>
      <c r="C3" s="22" t="s">
        <v>1467</v>
      </c>
      <c r="D3" s="22" t="s">
        <v>1461</v>
      </c>
      <c r="E3" s="22" t="s">
        <v>27</v>
      </c>
      <c r="F3" s="22" t="s">
        <v>1468</v>
      </c>
      <c r="G3" s="22">
        <v>57.27</v>
      </c>
      <c r="H3" s="22">
        <v>3</v>
      </c>
      <c r="I3" s="22">
        <v>8.5905000000000005</v>
      </c>
      <c r="J3" s="23">
        <v>180.40049999999999</v>
      </c>
      <c r="K3" s="24">
        <v>43710</v>
      </c>
      <c r="L3" s="25">
        <v>0.85486111111111107</v>
      </c>
      <c r="M3" s="22" t="s">
        <v>1469</v>
      </c>
      <c r="N3" s="26">
        <v>171.81</v>
      </c>
      <c r="O3" s="27">
        <f t="shared" si="0"/>
        <v>4.761904762E-2</v>
      </c>
      <c r="P3" s="23">
        <v>8.5905000000000005</v>
      </c>
      <c r="Q3" s="28">
        <v>6.5</v>
      </c>
    </row>
    <row r="4" spans="1:33" x14ac:dyDescent="0.35">
      <c r="A4" s="21" t="s">
        <v>1470</v>
      </c>
      <c r="B4" s="22" t="s">
        <v>1466</v>
      </c>
      <c r="C4" s="22" t="s">
        <v>1467</v>
      </c>
      <c r="D4" s="22" t="s">
        <v>1461</v>
      </c>
      <c r="E4" s="22" t="s">
        <v>19</v>
      </c>
      <c r="F4" s="22" t="s">
        <v>1468</v>
      </c>
      <c r="G4" s="22">
        <v>54.31</v>
      </c>
      <c r="H4" s="22">
        <v>9</v>
      </c>
      <c r="I4" s="22">
        <v>24.439499999999999</v>
      </c>
      <c r="J4" s="66">
        <v>513.22950000000003</v>
      </c>
      <c r="K4" s="24" t="s">
        <v>1471</v>
      </c>
      <c r="L4" s="25">
        <v>0.45069444444444445</v>
      </c>
      <c r="M4" s="22" t="s">
        <v>1464</v>
      </c>
      <c r="N4" s="26">
        <v>488.79</v>
      </c>
      <c r="O4" s="27">
        <f t="shared" si="0"/>
        <v>4.761904762E-2</v>
      </c>
      <c r="P4" s="23">
        <v>24.439499999999999</v>
      </c>
      <c r="Q4" s="28">
        <v>8.9</v>
      </c>
    </row>
    <row r="5" spans="1:33" x14ac:dyDescent="0.35">
      <c r="A5" s="21" t="s">
        <v>1472</v>
      </c>
      <c r="B5" s="22" t="s">
        <v>1466</v>
      </c>
      <c r="C5" s="22" t="s">
        <v>1467</v>
      </c>
      <c r="D5" s="22" t="s">
        <v>1461</v>
      </c>
      <c r="E5" s="22" t="s">
        <v>19</v>
      </c>
      <c r="F5" s="22" t="s">
        <v>1473</v>
      </c>
      <c r="G5" s="22">
        <v>58.24</v>
      </c>
      <c r="H5" s="22">
        <v>9</v>
      </c>
      <c r="I5" s="22">
        <v>26.207999999999998</v>
      </c>
      <c r="J5" s="66">
        <v>550.36800000000005</v>
      </c>
      <c r="K5" s="24">
        <v>43587</v>
      </c>
      <c r="L5" s="25">
        <v>0.52361111111111114</v>
      </c>
      <c r="M5" s="22" t="s">
        <v>1464</v>
      </c>
      <c r="N5" s="26">
        <v>524.16</v>
      </c>
      <c r="O5" s="27">
        <f t="shared" si="0"/>
        <v>4.761904762E-2</v>
      </c>
      <c r="P5" s="23">
        <v>26.207999999999998</v>
      </c>
      <c r="Q5" s="28">
        <v>9.6999999999999993</v>
      </c>
      <c r="S5" s="73" t="s">
        <v>2093</v>
      </c>
      <c r="T5" s="73"/>
      <c r="U5" s="73"/>
      <c r="V5" s="73"/>
      <c r="W5" s="73"/>
      <c r="Y5" s="73" t="s">
        <v>2094</v>
      </c>
      <c r="Z5" s="73"/>
      <c r="AA5" s="73"/>
      <c r="AC5" s="74" t="s">
        <v>2095</v>
      </c>
      <c r="AD5" s="74"/>
      <c r="AE5" s="74"/>
      <c r="AF5" s="74"/>
      <c r="AG5" s="74"/>
    </row>
    <row r="6" spans="1:33" x14ac:dyDescent="0.35">
      <c r="A6" s="21" t="s">
        <v>1474</v>
      </c>
      <c r="B6" s="22" t="s">
        <v>1475</v>
      </c>
      <c r="C6" s="22" t="s">
        <v>1476</v>
      </c>
      <c r="D6" s="22" t="s">
        <v>1461</v>
      </c>
      <c r="E6" s="22" t="s">
        <v>27</v>
      </c>
      <c r="F6" s="22" t="s">
        <v>1462</v>
      </c>
      <c r="G6" s="22">
        <v>22.21</v>
      </c>
      <c r="H6" s="22">
        <v>6</v>
      </c>
      <c r="I6" s="22">
        <v>6.6630000000000003</v>
      </c>
      <c r="J6" s="23">
        <v>139.923</v>
      </c>
      <c r="K6" s="24">
        <v>43649</v>
      </c>
      <c r="L6" s="25">
        <v>0.43263888888888891</v>
      </c>
      <c r="M6" s="22" t="s">
        <v>1477</v>
      </c>
      <c r="N6" s="26">
        <v>133.26</v>
      </c>
      <c r="O6" s="27">
        <f t="shared" si="0"/>
        <v>4.761904762E-2</v>
      </c>
      <c r="P6" s="23">
        <v>6.6630000000000003</v>
      </c>
      <c r="Q6" s="28">
        <v>8.6</v>
      </c>
    </row>
    <row r="7" spans="1:33" x14ac:dyDescent="0.35">
      <c r="A7" s="21" t="s">
        <v>1478</v>
      </c>
      <c r="B7" s="22" t="s">
        <v>1459</v>
      </c>
      <c r="C7" s="22" t="s">
        <v>1460</v>
      </c>
      <c r="D7" s="22" t="s">
        <v>1479</v>
      </c>
      <c r="E7" s="22" t="s">
        <v>27</v>
      </c>
      <c r="F7" s="22" t="s">
        <v>1462</v>
      </c>
      <c r="G7" s="22">
        <v>19.32</v>
      </c>
      <c r="H7" s="22">
        <v>7</v>
      </c>
      <c r="I7" s="22">
        <v>6.7619999999999996</v>
      </c>
      <c r="J7" s="23">
        <v>142.00200000000001</v>
      </c>
      <c r="K7" s="24" t="s">
        <v>1480</v>
      </c>
      <c r="L7" s="25">
        <v>0.78541666666666665</v>
      </c>
      <c r="M7" s="22" t="s">
        <v>1464</v>
      </c>
      <c r="N7" s="26">
        <v>135.24</v>
      </c>
      <c r="O7" s="27">
        <f t="shared" si="0"/>
        <v>4.761904762E-2</v>
      </c>
      <c r="P7" s="23">
        <v>6.7619999999999996</v>
      </c>
      <c r="Q7" s="28">
        <v>6.9</v>
      </c>
    </row>
    <row r="8" spans="1:33" x14ac:dyDescent="0.35">
      <c r="A8" s="21" t="s">
        <v>1481</v>
      </c>
      <c r="B8" s="22" t="s">
        <v>1466</v>
      </c>
      <c r="C8" s="22" t="s">
        <v>1467</v>
      </c>
      <c r="D8" s="22" t="s">
        <v>1461</v>
      </c>
      <c r="E8" s="22" t="s">
        <v>27</v>
      </c>
      <c r="F8" s="22" t="s">
        <v>1482</v>
      </c>
      <c r="G8" s="22">
        <v>37.479999999999997</v>
      </c>
      <c r="H8" s="22">
        <v>3</v>
      </c>
      <c r="I8" s="22">
        <v>5.6219999999999999</v>
      </c>
      <c r="J8" s="23">
        <v>118.062</v>
      </c>
      <c r="K8" s="24" t="s">
        <v>1483</v>
      </c>
      <c r="L8" s="25">
        <v>0.57291666666666663</v>
      </c>
      <c r="M8" s="22" t="s">
        <v>1477</v>
      </c>
      <c r="N8" s="26">
        <v>112.44</v>
      </c>
      <c r="O8" s="27">
        <f t="shared" si="0"/>
        <v>4.761904762E-2</v>
      </c>
      <c r="P8" s="23">
        <v>5.6219999999999999</v>
      </c>
      <c r="Q8" s="28">
        <v>7.7</v>
      </c>
    </row>
    <row r="9" spans="1:33" x14ac:dyDescent="0.35">
      <c r="A9" s="21" t="s">
        <v>1484</v>
      </c>
      <c r="B9" s="22" t="s">
        <v>1466</v>
      </c>
      <c r="C9" s="22" t="s">
        <v>1467</v>
      </c>
      <c r="D9" s="22" t="s">
        <v>1479</v>
      </c>
      <c r="E9" s="22" t="s">
        <v>19</v>
      </c>
      <c r="F9" s="22" t="s">
        <v>1468</v>
      </c>
      <c r="G9" s="22">
        <v>72.040000000000006</v>
      </c>
      <c r="H9" s="22">
        <v>2</v>
      </c>
      <c r="I9" s="22">
        <v>7.2039999999999997</v>
      </c>
      <c r="J9" s="23">
        <v>151.28399999999999</v>
      </c>
      <c r="K9" s="24">
        <v>43557</v>
      </c>
      <c r="L9" s="25">
        <v>0.81805555555555554</v>
      </c>
      <c r="M9" s="22" t="s">
        <v>1464</v>
      </c>
      <c r="N9" s="26">
        <v>144.08000000000001</v>
      </c>
      <c r="O9" s="27">
        <f t="shared" si="0"/>
        <v>4.761904762E-2</v>
      </c>
      <c r="P9" s="23">
        <v>7.2039999999999997</v>
      </c>
      <c r="Q9" s="28">
        <v>9.5</v>
      </c>
    </row>
    <row r="10" spans="1:33" x14ac:dyDescent="0.35">
      <c r="A10" s="21" t="s">
        <v>1485</v>
      </c>
      <c r="B10" s="22" t="s">
        <v>1475</v>
      </c>
      <c r="C10" s="22" t="s">
        <v>1476</v>
      </c>
      <c r="D10" s="22" t="s">
        <v>1479</v>
      </c>
      <c r="E10" s="22" t="s">
        <v>19</v>
      </c>
      <c r="F10" s="22" t="s">
        <v>1486</v>
      </c>
      <c r="G10" s="22">
        <v>98.52</v>
      </c>
      <c r="H10" s="22">
        <v>10</v>
      </c>
      <c r="I10" s="22">
        <v>49.26</v>
      </c>
      <c r="J10" s="66">
        <v>1034.46</v>
      </c>
      <c r="K10" s="24" t="s">
        <v>1487</v>
      </c>
      <c r="L10" s="25">
        <v>0.84930555555555554</v>
      </c>
      <c r="M10" s="22" t="s">
        <v>1469</v>
      </c>
      <c r="N10" s="26">
        <v>985.2</v>
      </c>
      <c r="O10" s="27">
        <f t="shared" si="0"/>
        <v>4.761904762E-2</v>
      </c>
      <c r="P10" s="23">
        <v>49.26</v>
      </c>
      <c r="Q10" s="28">
        <v>4.5</v>
      </c>
      <c r="AC10" s="67" t="s">
        <v>2096</v>
      </c>
      <c r="AD10" s="67" t="s">
        <v>2097</v>
      </c>
    </row>
    <row r="11" spans="1:33" x14ac:dyDescent="0.35">
      <c r="A11" s="21" t="s">
        <v>1488</v>
      </c>
      <c r="B11" s="22" t="s">
        <v>1459</v>
      </c>
      <c r="C11" s="22" t="s">
        <v>1460</v>
      </c>
      <c r="D11" s="22" t="s">
        <v>1479</v>
      </c>
      <c r="E11" s="22" t="s">
        <v>27</v>
      </c>
      <c r="F11" s="22" t="s">
        <v>1486</v>
      </c>
      <c r="G11" s="22">
        <v>41.66</v>
      </c>
      <c r="H11" s="22">
        <v>6</v>
      </c>
      <c r="I11" s="22">
        <v>12.497999999999999</v>
      </c>
      <c r="J11" s="23">
        <v>262.45800000000003</v>
      </c>
      <c r="K11" s="24">
        <v>43497</v>
      </c>
      <c r="L11" s="25">
        <v>0.64166666666666672</v>
      </c>
      <c r="M11" s="22" t="s">
        <v>1469</v>
      </c>
      <c r="N11" s="26">
        <v>249.96</v>
      </c>
      <c r="O11" s="27">
        <f t="shared" si="0"/>
        <v>4.761904762E-2</v>
      </c>
      <c r="P11" s="23">
        <v>12.497999999999999</v>
      </c>
      <c r="Q11" s="28">
        <v>5.6</v>
      </c>
      <c r="Y11" s="5" t="s">
        <v>1462</v>
      </c>
      <c r="Z11" s="5">
        <v>6</v>
      </c>
      <c r="AC11" s="5" t="s">
        <v>1462</v>
      </c>
      <c r="AD11" s="5">
        <v>6.8172413793103468</v>
      </c>
    </row>
    <row r="12" spans="1:33" x14ac:dyDescent="0.35">
      <c r="A12" s="21" t="s">
        <v>1489</v>
      </c>
      <c r="B12" s="22" t="s">
        <v>1459</v>
      </c>
      <c r="C12" s="22" t="s">
        <v>1460</v>
      </c>
      <c r="D12" s="22" t="s">
        <v>1479</v>
      </c>
      <c r="E12" s="22" t="s">
        <v>19</v>
      </c>
      <c r="F12" s="22" t="s">
        <v>1482</v>
      </c>
      <c r="G12" s="22">
        <v>72.42</v>
      </c>
      <c r="H12" s="22">
        <v>3</v>
      </c>
      <c r="I12" s="22">
        <v>10.863</v>
      </c>
      <c r="J12" s="23">
        <v>228.12299999999999</v>
      </c>
      <c r="K12" s="24" t="s">
        <v>1490</v>
      </c>
      <c r="L12" s="25">
        <v>0.70416666666666672</v>
      </c>
      <c r="M12" s="22" t="s">
        <v>1469</v>
      </c>
      <c r="N12" s="26">
        <v>217.26</v>
      </c>
      <c r="O12" s="27">
        <f t="shared" si="0"/>
        <v>4.761904762E-2</v>
      </c>
      <c r="P12" s="23">
        <v>10.863</v>
      </c>
      <c r="Q12" s="28">
        <v>8.1999999999999993</v>
      </c>
      <c r="Y12" s="5" t="s">
        <v>1468</v>
      </c>
      <c r="Z12" s="5">
        <v>3</v>
      </c>
      <c r="AC12" s="5" t="s">
        <v>1468</v>
      </c>
      <c r="AD12" s="5">
        <v>6.8793478260869572</v>
      </c>
    </row>
    <row r="13" spans="1:33" x14ac:dyDescent="0.35">
      <c r="A13" s="21" t="s">
        <v>1491</v>
      </c>
      <c r="B13" s="22" t="s">
        <v>1466</v>
      </c>
      <c r="C13" s="22" t="s">
        <v>1467</v>
      </c>
      <c r="D13" s="22" t="s">
        <v>1461</v>
      </c>
      <c r="E13" s="22" t="s">
        <v>27</v>
      </c>
      <c r="F13" s="22" t="s">
        <v>1462</v>
      </c>
      <c r="G13" s="22">
        <v>21.58</v>
      </c>
      <c r="H13" s="22">
        <v>9</v>
      </c>
      <c r="I13" s="22">
        <v>9.7110000000000003</v>
      </c>
      <c r="J13" s="23">
        <v>203.93100000000001</v>
      </c>
      <c r="K13" s="24" t="s">
        <v>1492</v>
      </c>
      <c r="L13" s="25">
        <v>0.52222222222222225</v>
      </c>
      <c r="M13" s="22" t="s">
        <v>1464</v>
      </c>
      <c r="N13" s="26">
        <v>194.22</v>
      </c>
      <c r="O13" s="27">
        <f t="shared" si="0"/>
        <v>4.761904762E-2</v>
      </c>
      <c r="P13" s="23">
        <v>9.7110000000000003</v>
      </c>
      <c r="Q13" s="28">
        <v>7.3</v>
      </c>
      <c r="Y13" s="5" t="s">
        <v>1468</v>
      </c>
      <c r="Z13" s="5">
        <v>9</v>
      </c>
      <c r="AC13" s="5" t="s">
        <v>1473</v>
      </c>
      <c r="AD13" s="5">
        <v>6.7867469879518083</v>
      </c>
    </row>
    <row r="14" spans="1:33" x14ac:dyDescent="0.35">
      <c r="A14" s="21" t="s">
        <v>1493</v>
      </c>
      <c r="B14" s="22" t="s">
        <v>1475</v>
      </c>
      <c r="C14" s="22" t="s">
        <v>1476</v>
      </c>
      <c r="D14" s="22" t="s">
        <v>1461</v>
      </c>
      <c r="E14" s="22" t="s">
        <v>27</v>
      </c>
      <c r="F14" s="22" t="s">
        <v>1486</v>
      </c>
      <c r="G14" s="22">
        <v>89.2</v>
      </c>
      <c r="H14" s="22">
        <v>10</v>
      </c>
      <c r="I14" s="22">
        <v>44.6</v>
      </c>
      <c r="J14" s="66">
        <v>936.6</v>
      </c>
      <c r="K14" s="24">
        <v>43771</v>
      </c>
      <c r="L14" s="25">
        <v>0.65416666666666667</v>
      </c>
      <c r="M14" s="22" t="s">
        <v>1477</v>
      </c>
      <c r="N14" s="26">
        <v>892</v>
      </c>
      <c r="O14" s="27">
        <f t="shared" si="0"/>
        <v>4.761904762E-2</v>
      </c>
      <c r="P14" s="23">
        <v>44.6</v>
      </c>
      <c r="Q14" s="28">
        <v>4.4000000000000004</v>
      </c>
      <c r="Y14" s="5" t="s">
        <v>1473</v>
      </c>
      <c r="Z14" s="5">
        <v>9</v>
      </c>
      <c r="AC14" s="5" t="s">
        <v>1482</v>
      </c>
      <c r="AD14" s="5">
        <v>6.6506493506493491</v>
      </c>
    </row>
    <row r="15" spans="1:33" x14ac:dyDescent="0.35">
      <c r="A15" s="21" t="s">
        <v>1494</v>
      </c>
      <c r="B15" s="22" t="s">
        <v>1466</v>
      </c>
      <c r="C15" s="22" t="s">
        <v>1467</v>
      </c>
      <c r="D15" s="22" t="s">
        <v>1461</v>
      </c>
      <c r="E15" s="22" t="s">
        <v>19</v>
      </c>
      <c r="F15" s="22" t="s">
        <v>1462</v>
      </c>
      <c r="G15" s="22">
        <v>42.42</v>
      </c>
      <c r="H15" s="22">
        <v>8</v>
      </c>
      <c r="I15" s="22">
        <v>16.968</v>
      </c>
      <c r="J15" s="23">
        <v>356.32799999999997</v>
      </c>
      <c r="K15" s="24" t="s">
        <v>1487</v>
      </c>
      <c r="L15" s="25">
        <v>0.58194444444444449</v>
      </c>
      <c r="M15" s="22" t="s">
        <v>1469</v>
      </c>
      <c r="N15" s="26">
        <v>339.36</v>
      </c>
      <c r="O15" s="27">
        <f t="shared" si="0"/>
        <v>4.761904762E-2</v>
      </c>
      <c r="P15" s="23">
        <v>16.968</v>
      </c>
      <c r="Q15" s="28">
        <v>5.7</v>
      </c>
      <c r="Y15" s="5" t="s">
        <v>1462</v>
      </c>
      <c r="Z15" s="5">
        <v>6</v>
      </c>
      <c r="AC15" s="5" t="s">
        <v>1486</v>
      </c>
      <c r="AD15" s="5">
        <v>6.934065934065937</v>
      </c>
    </row>
    <row r="16" spans="1:33" x14ac:dyDescent="0.35">
      <c r="A16" s="21" t="s">
        <v>1495</v>
      </c>
      <c r="B16" s="22" t="s">
        <v>1459</v>
      </c>
      <c r="C16" s="22" t="s">
        <v>1460</v>
      </c>
      <c r="D16" s="22" t="s">
        <v>1479</v>
      </c>
      <c r="E16" s="22" t="s">
        <v>27</v>
      </c>
      <c r="F16" s="22" t="s">
        <v>1462</v>
      </c>
      <c r="G16" s="22">
        <v>74.510000000000005</v>
      </c>
      <c r="H16" s="22">
        <v>6</v>
      </c>
      <c r="I16" s="22">
        <v>22.353000000000002</v>
      </c>
      <c r="J16" s="23">
        <v>469.41300000000001</v>
      </c>
      <c r="K16" s="24" t="s">
        <v>1496</v>
      </c>
      <c r="L16" s="25">
        <v>0.63055555555555554</v>
      </c>
      <c r="M16" s="22" t="s">
        <v>1469</v>
      </c>
      <c r="N16" s="26">
        <v>447.06</v>
      </c>
      <c r="O16" s="27">
        <f t="shared" si="0"/>
        <v>4.761904762E-2</v>
      </c>
      <c r="P16" s="23">
        <v>22.353000000000002</v>
      </c>
      <c r="Q16" s="28">
        <v>5</v>
      </c>
      <c r="Y16" s="5" t="s">
        <v>1462</v>
      </c>
      <c r="Z16" s="5">
        <v>7</v>
      </c>
      <c r="AC16" s="5" t="s">
        <v>1501</v>
      </c>
      <c r="AD16" s="5">
        <v>6.7740740740740746</v>
      </c>
    </row>
    <row r="17" spans="1:26" x14ac:dyDescent="0.35">
      <c r="A17" s="21" t="s">
        <v>1497</v>
      </c>
      <c r="B17" s="22" t="s">
        <v>1466</v>
      </c>
      <c r="C17" s="22" t="s">
        <v>1467</v>
      </c>
      <c r="D17" s="22" t="s">
        <v>1461</v>
      </c>
      <c r="E17" s="22" t="s">
        <v>27</v>
      </c>
      <c r="F17" s="22" t="s">
        <v>1468</v>
      </c>
      <c r="G17" s="22">
        <v>99.25</v>
      </c>
      <c r="H17" s="22">
        <v>2</v>
      </c>
      <c r="I17" s="22">
        <v>9.9250000000000007</v>
      </c>
      <c r="J17" s="23">
        <v>208.42500000000001</v>
      </c>
      <c r="K17" s="24" t="s">
        <v>1496</v>
      </c>
      <c r="L17" s="25">
        <v>0.54305555555555551</v>
      </c>
      <c r="M17" s="22" t="s">
        <v>1464</v>
      </c>
      <c r="N17" s="26">
        <v>198.5</v>
      </c>
      <c r="O17" s="27">
        <f t="shared" si="0"/>
        <v>4.761904762E-2</v>
      </c>
      <c r="P17" s="23">
        <v>9.9250000000000007</v>
      </c>
      <c r="Q17" s="28">
        <v>9</v>
      </c>
      <c r="Y17" s="5" t="s">
        <v>1482</v>
      </c>
      <c r="Z17" s="5">
        <v>3</v>
      </c>
    </row>
    <row r="18" spans="1:26" x14ac:dyDescent="0.35">
      <c r="A18" s="21" t="s">
        <v>1498</v>
      </c>
      <c r="B18" s="22" t="s">
        <v>1459</v>
      </c>
      <c r="C18" s="22" t="s">
        <v>1460</v>
      </c>
      <c r="D18" s="22" t="s">
        <v>1461</v>
      </c>
      <c r="E18" s="22" t="s">
        <v>19</v>
      </c>
      <c r="F18" s="22" t="s">
        <v>1486</v>
      </c>
      <c r="G18" s="22">
        <v>81.209999999999994</v>
      </c>
      <c r="H18" s="22">
        <v>10</v>
      </c>
      <c r="I18" s="22">
        <v>40.604999999999997</v>
      </c>
      <c r="J18" s="66">
        <v>852.70500000000004</v>
      </c>
      <c r="K18" s="24" t="s">
        <v>1499</v>
      </c>
      <c r="L18" s="25">
        <v>0.54236111111111107</v>
      </c>
      <c r="M18" s="22" t="s">
        <v>1477</v>
      </c>
      <c r="N18" s="26">
        <v>812.1</v>
      </c>
      <c r="O18" s="27">
        <f t="shared" si="0"/>
        <v>4.761904762E-2</v>
      </c>
      <c r="P18" s="23">
        <v>40.604999999999997</v>
      </c>
      <c r="Q18" s="28">
        <v>6.3</v>
      </c>
      <c r="Y18" s="5" t="s">
        <v>1468</v>
      </c>
      <c r="Z18" s="5">
        <v>2</v>
      </c>
    </row>
    <row r="19" spans="1:26" x14ac:dyDescent="0.35">
      <c r="A19" s="21" t="s">
        <v>1500</v>
      </c>
      <c r="B19" s="22" t="s">
        <v>1475</v>
      </c>
      <c r="C19" s="22" t="s">
        <v>1476</v>
      </c>
      <c r="D19" s="22" t="s">
        <v>1461</v>
      </c>
      <c r="E19" s="22" t="s">
        <v>19</v>
      </c>
      <c r="F19" s="22" t="s">
        <v>1501</v>
      </c>
      <c r="G19" s="22">
        <v>49.33</v>
      </c>
      <c r="H19" s="22">
        <v>10</v>
      </c>
      <c r="I19" s="22">
        <v>24.664999999999999</v>
      </c>
      <c r="J19" s="66">
        <v>517.96500000000003</v>
      </c>
      <c r="K19" s="24">
        <v>43526</v>
      </c>
      <c r="L19" s="25">
        <v>0.69444444444444442</v>
      </c>
      <c r="M19" s="22" t="s">
        <v>1477</v>
      </c>
      <c r="N19" s="26">
        <v>493.3</v>
      </c>
      <c r="O19" s="27">
        <f t="shared" si="0"/>
        <v>4.761904762E-2</v>
      </c>
      <c r="P19" s="23">
        <v>24.664999999999999</v>
      </c>
      <c r="Q19" s="28">
        <v>9.4</v>
      </c>
      <c r="Y19" s="5" t="s">
        <v>1486</v>
      </c>
      <c r="Z19" s="5">
        <v>10</v>
      </c>
    </row>
    <row r="20" spans="1:26" x14ac:dyDescent="0.35">
      <c r="A20" s="21" t="s">
        <v>1502</v>
      </c>
      <c r="B20" s="22" t="s">
        <v>1459</v>
      </c>
      <c r="C20" s="22" t="s">
        <v>1460</v>
      </c>
      <c r="D20" s="22" t="s">
        <v>1461</v>
      </c>
      <c r="E20" s="22" t="s">
        <v>19</v>
      </c>
      <c r="F20" s="22" t="s">
        <v>1468</v>
      </c>
      <c r="G20" s="22">
        <v>65.739999999999995</v>
      </c>
      <c r="H20" s="22">
        <v>9</v>
      </c>
      <c r="I20" s="22">
        <v>29.582999999999998</v>
      </c>
      <c r="J20" s="66">
        <v>621.24300000000005</v>
      </c>
      <c r="K20" s="24">
        <v>43466</v>
      </c>
      <c r="L20" s="25">
        <v>0.57986111111111116</v>
      </c>
      <c r="M20" s="22" t="s">
        <v>1464</v>
      </c>
      <c r="N20" s="26">
        <v>591.66</v>
      </c>
      <c r="O20" s="27">
        <f t="shared" si="0"/>
        <v>4.761904762E-2</v>
      </c>
      <c r="P20" s="23">
        <v>29.582999999999998</v>
      </c>
      <c r="Q20" s="28">
        <v>7.7</v>
      </c>
      <c r="Y20" s="5" t="s">
        <v>1486</v>
      </c>
      <c r="Z20" s="5">
        <v>6</v>
      </c>
    </row>
    <row r="21" spans="1:26" x14ac:dyDescent="0.35">
      <c r="A21" s="21" t="s">
        <v>1503</v>
      </c>
      <c r="B21" s="22" t="s">
        <v>1466</v>
      </c>
      <c r="C21" s="22" t="s">
        <v>1467</v>
      </c>
      <c r="D21" s="22" t="s">
        <v>1461</v>
      </c>
      <c r="E21" s="22" t="s">
        <v>19</v>
      </c>
      <c r="F21" s="22" t="s">
        <v>1468</v>
      </c>
      <c r="G21" s="22">
        <v>79.86</v>
      </c>
      <c r="H21" s="22">
        <v>7</v>
      </c>
      <c r="I21" s="22">
        <v>27.951000000000001</v>
      </c>
      <c r="J21" s="66">
        <v>586.971</v>
      </c>
      <c r="K21" s="24">
        <v>43739</v>
      </c>
      <c r="L21" s="25">
        <v>0.43958333333333333</v>
      </c>
      <c r="M21" s="22" t="s">
        <v>1477</v>
      </c>
      <c r="N21" s="26">
        <v>559.02</v>
      </c>
      <c r="O21" s="27">
        <f t="shared" si="0"/>
        <v>4.761904762E-2</v>
      </c>
      <c r="P21" s="23">
        <v>27.951000000000001</v>
      </c>
      <c r="Q21" s="28">
        <v>5.5</v>
      </c>
      <c r="Y21" s="5" t="s">
        <v>1482</v>
      </c>
      <c r="Z21" s="5">
        <v>3</v>
      </c>
    </row>
    <row r="22" spans="1:26" x14ac:dyDescent="0.35">
      <c r="A22" s="21" t="s">
        <v>1504</v>
      </c>
      <c r="B22" s="22" t="s">
        <v>1475</v>
      </c>
      <c r="C22" s="22" t="s">
        <v>1476</v>
      </c>
      <c r="D22" s="22" t="s">
        <v>1461</v>
      </c>
      <c r="E22" s="22" t="s">
        <v>19</v>
      </c>
      <c r="F22" s="22" t="s">
        <v>1501</v>
      </c>
      <c r="G22" s="22">
        <v>73.98</v>
      </c>
      <c r="H22" s="22">
        <v>7</v>
      </c>
      <c r="I22" s="22">
        <v>25.893000000000001</v>
      </c>
      <c r="J22" s="66">
        <v>543.75300000000004</v>
      </c>
      <c r="K22" s="24">
        <v>43499</v>
      </c>
      <c r="L22" s="25">
        <v>0.6958333333333333</v>
      </c>
      <c r="M22" s="22" t="s">
        <v>1469</v>
      </c>
      <c r="N22" s="26">
        <v>517.86</v>
      </c>
      <c r="O22" s="27">
        <f t="shared" si="0"/>
        <v>4.761904762E-2</v>
      </c>
      <c r="P22" s="23">
        <v>25.893000000000001</v>
      </c>
      <c r="Q22" s="28">
        <v>4.0999999999999996</v>
      </c>
      <c r="Y22" s="5" t="s">
        <v>1462</v>
      </c>
      <c r="Z22" s="5">
        <v>9</v>
      </c>
    </row>
    <row r="23" spans="1:26" x14ac:dyDescent="0.35">
      <c r="A23" s="21" t="s">
        <v>1505</v>
      </c>
      <c r="B23" s="22" t="s">
        <v>1466</v>
      </c>
      <c r="C23" s="22" t="s">
        <v>1467</v>
      </c>
      <c r="D23" s="22" t="s">
        <v>1479</v>
      </c>
      <c r="E23" s="22" t="s">
        <v>19</v>
      </c>
      <c r="F23" s="22" t="s">
        <v>1482</v>
      </c>
      <c r="G23" s="22">
        <v>82.04</v>
      </c>
      <c r="H23" s="22">
        <v>5</v>
      </c>
      <c r="I23" s="22">
        <v>20.51</v>
      </c>
      <c r="J23" s="23">
        <v>430.71</v>
      </c>
      <c r="K23" s="24" t="s">
        <v>1506</v>
      </c>
      <c r="L23" s="25">
        <v>0.71944444444444444</v>
      </c>
      <c r="M23" s="22" t="s">
        <v>1477</v>
      </c>
      <c r="N23" s="26">
        <v>410.2</v>
      </c>
      <c r="O23" s="27">
        <f t="shared" si="0"/>
        <v>4.761904762E-2</v>
      </c>
      <c r="P23" s="23">
        <v>20.51</v>
      </c>
      <c r="Q23" s="28">
        <v>7.6</v>
      </c>
      <c r="Y23" s="5" t="s">
        <v>1486</v>
      </c>
      <c r="Z23" s="5">
        <v>10</v>
      </c>
    </row>
    <row r="24" spans="1:26" x14ac:dyDescent="0.35">
      <c r="A24" s="21" t="s">
        <v>1507</v>
      </c>
      <c r="B24" s="22" t="s">
        <v>1466</v>
      </c>
      <c r="C24" s="22" t="s">
        <v>1467</v>
      </c>
      <c r="D24" s="22" t="s">
        <v>1479</v>
      </c>
      <c r="E24" s="22" t="s">
        <v>27</v>
      </c>
      <c r="F24" s="22" t="s">
        <v>1501</v>
      </c>
      <c r="G24" s="22">
        <v>26.67</v>
      </c>
      <c r="H24" s="22">
        <v>10</v>
      </c>
      <c r="I24" s="22">
        <v>13.335000000000001</v>
      </c>
      <c r="J24" s="23">
        <v>280.03500000000003</v>
      </c>
      <c r="K24" s="24" t="s">
        <v>1508</v>
      </c>
      <c r="L24" s="25">
        <v>0.49166666666666664</v>
      </c>
      <c r="M24" s="22" t="s">
        <v>1464</v>
      </c>
      <c r="N24" s="26">
        <v>266.7</v>
      </c>
      <c r="O24" s="27">
        <f t="shared" si="0"/>
        <v>4.761904762E-2</v>
      </c>
      <c r="P24" s="23">
        <v>13.335000000000001</v>
      </c>
      <c r="Q24" s="28">
        <v>8.6</v>
      </c>
      <c r="Y24" s="5" t="s">
        <v>1462</v>
      </c>
      <c r="Z24" s="5">
        <v>8</v>
      </c>
    </row>
    <row r="25" spans="1:26" x14ac:dyDescent="0.35">
      <c r="A25" s="21" t="s">
        <v>1509</v>
      </c>
      <c r="B25" s="22" t="s">
        <v>1459</v>
      </c>
      <c r="C25" s="22" t="s">
        <v>1460</v>
      </c>
      <c r="D25" s="22" t="s">
        <v>1479</v>
      </c>
      <c r="E25" s="22" t="s">
        <v>27</v>
      </c>
      <c r="F25" s="22" t="s">
        <v>1486</v>
      </c>
      <c r="G25" s="22">
        <v>10.130000000000001</v>
      </c>
      <c r="H25" s="22">
        <v>7</v>
      </c>
      <c r="I25" s="22">
        <v>3.5455000000000001</v>
      </c>
      <c r="J25" s="23">
        <v>74.455500000000001</v>
      </c>
      <c r="K25" s="24">
        <v>43741</v>
      </c>
      <c r="L25" s="25">
        <v>0.81597222222222221</v>
      </c>
      <c r="M25" s="22" t="s">
        <v>1469</v>
      </c>
      <c r="N25" s="26">
        <v>70.91</v>
      </c>
      <c r="O25" s="27">
        <f t="shared" si="0"/>
        <v>4.761904762E-2</v>
      </c>
      <c r="P25" s="23">
        <v>3.5455000000000001</v>
      </c>
      <c r="Q25" s="28">
        <v>8.3000000000000007</v>
      </c>
      <c r="Y25" s="5" t="s">
        <v>1462</v>
      </c>
      <c r="Z25" s="5">
        <v>6</v>
      </c>
    </row>
    <row r="26" spans="1:26" x14ac:dyDescent="0.35">
      <c r="A26" s="21" t="s">
        <v>1510</v>
      </c>
      <c r="B26" s="22" t="s">
        <v>1466</v>
      </c>
      <c r="C26" s="22" t="s">
        <v>1467</v>
      </c>
      <c r="D26" s="22" t="s">
        <v>1461</v>
      </c>
      <c r="E26" s="22" t="s">
        <v>27</v>
      </c>
      <c r="F26" s="22" t="s">
        <v>1486</v>
      </c>
      <c r="G26" s="22">
        <v>72.39</v>
      </c>
      <c r="H26" s="22">
        <v>2</v>
      </c>
      <c r="I26" s="22">
        <v>7.2389999999999999</v>
      </c>
      <c r="J26" s="23">
        <v>152.01900000000001</v>
      </c>
      <c r="K26" s="24" t="s">
        <v>1511</v>
      </c>
      <c r="L26" s="25">
        <v>0.82986111111111116</v>
      </c>
      <c r="M26" s="22" t="s">
        <v>1477</v>
      </c>
      <c r="N26" s="26">
        <v>144.78</v>
      </c>
      <c r="O26" s="27">
        <f t="shared" si="0"/>
        <v>4.761904762E-2</v>
      </c>
      <c r="P26" s="23">
        <v>7.2389999999999999</v>
      </c>
      <c r="Q26" s="28">
        <v>8.1</v>
      </c>
      <c r="Y26" s="5" t="s">
        <v>1468</v>
      </c>
      <c r="Z26" s="5">
        <v>2</v>
      </c>
    </row>
    <row r="27" spans="1:26" x14ac:dyDescent="0.35">
      <c r="A27" s="21" t="s">
        <v>1512</v>
      </c>
      <c r="B27" s="22" t="s">
        <v>1459</v>
      </c>
      <c r="C27" s="22" t="s">
        <v>1460</v>
      </c>
      <c r="D27" s="22" t="s">
        <v>1461</v>
      </c>
      <c r="E27" s="22" t="s">
        <v>27</v>
      </c>
      <c r="F27" s="22" t="s">
        <v>1501</v>
      </c>
      <c r="G27" s="22">
        <v>85.91</v>
      </c>
      <c r="H27" s="22">
        <v>5</v>
      </c>
      <c r="I27" s="22">
        <v>21.477499999999999</v>
      </c>
      <c r="J27" s="23">
        <v>451.02749999999997</v>
      </c>
      <c r="K27" s="24" t="s">
        <v>1513</v>
      </c>
      <c r="L27" s="25">
        <v>0.60624999999999996</v>
      </c>
      <c r="M27" s="22" t="s">
        <v>1477</v>
      </c>
      <c r="N27" s="26">
        <v>429.55</v>
      </c>
      <c r="O27" s="27">
        <f t="shared" si="0"/>
        <v>4.761904762E-2</v>
      </c>
      <c r="P27" s="23">
        <v>21.477499999999999</v>
      </c>
      <c r="Q27" s="28">
        <v>8.6</v>
      </c>
      <c r="Y27" s="5" t="s">
        <v>1486</v>
      </c>
      <c r="Z27" s="5">
        <v>10</v>
      </c>
    </row>
    <row r="28" spans="1:26" x14ac:dyDescent="0.35">
      <c r="A28" s="21" t="s">
        <v>1514</v>
      </c>
      <c r="B28" s="22" t="s">
        <v>1466</v>
      </c>
      <c r="C28" s="22" t="s">
        <v>1467</v>
      </c>
      <c r="D28" s="22" t="s">
        <v>1479</v>
      </c>
      <c r="E28" s="22" t="s">
        <v>27</v>
      </c>
      <c r="F28" s="22" t="s">
        <v>1468</v>
      </c>
      <c r="G28" s="22">
        <v>81.31</v>
      </c>
      <c r="H28" s="22">
        <v>7</v>
      </c>
      <c r="I28" s="22">
        <v>28.458500000000001</v>
      </c>
      <c r="J28" s="66">
        <v>597.62850000000003</v>
      </c>
      <c r="K28" s="24">
        <v>43468</v>
      </c>
      <c r="L28" s="25">
        <v>0.8256944444444444</v>
      </c>
      <c r="M28" s="22" t="s">
        <v>1469</v>
      </c>
      <c r="N28" s="26">
        <v>569.16999999999996</v>
      </c>
      <c r="O28" s="27">
        <f t="shared" si="0"/>
        <v>4.761904762E-2</v>
      </c>
      <c r="P28" s="23">
        <v>28.458500000000001</v>
      </c>
      <c r="Q28" s="28">
        <v>6.3</v>
      </c>
      <c r="Y28" s="5" t="s">
        <v>1501</v>
      </c>
      <c r="Z28" s="5">
        <v>10</v>
      </c>
    </row>
    <row r="29" spans="1:26" x14ac:dyDescent="0.35">
      <c r="A29" s="21" t="s">
        <v>1515</v>
      </c>
      <c r="B29" s="22" t="s">
        <v>1466</v>
      </c>
      <c r="C29" s="22" t="s">
        <v>1467</v>
      </c>
      <c r="D29" s="22" t="s">
        <v>1461</v>
      </c>
      <c r="E29" s="22" t="s">
        <v>27</v>
      </c>
      <c r="F29" s="22" t="s">
        <v>1486</v>
      </c>
      <c r="G29" s="22">
        <v>60.3</v>
      </c>
      <c r="H29" s="22">
        <v>4</v>
      </c>
      <c r="I29" s="22">
        <v>12.06</v>
      </c>
      <c r="J29" s="23">
        <v>253.26</v>
      </c>
      <c r="K29" s="24" t="s">
        <v>1516</v>
      </c>
      <c r="L29" s="25">
        <v>0.77986111111111112</v>
      </c>
      <c r="M29" s="22" t="s">
        <v>1464</v>
      </c>
      <c r="N29" s="26">
        <v>241.2</v>
      </c>
      <c r="O29" s="27">
        <f t="shared" si="0"/>
        <v>4.761904762E-2</v>
      </c>
      <c r="P29" s="23">
        <v>12.06</v>
      </c>
      <c r="Q29" s="28">
        <v>5.8</v>
      </c>
      <c r="Y29" s="5" t="s">
        <v>1468</v>
      </c>
      <c r="Z29" s="5">
        <v>9</v>
      </c>
    </row>
    <row r="30" spans="1:26" x14ac:dyDescent="0.35">
      <c r="A30" s="21" t="s">
        <v>1517</v>
      </c>
      <c r="B30" s="22" t="s">
        <v>1475</v>
      </c>
      <c r="C30" s="22" t="s">
        <v>1476</v>
      </c>
      <c r="D30" s="22" t="s">
        <v>1461</v>
      </c>
      <c r="E30" s="22" t="s">
        <v>27</v>
      </c>
      <c r="F30" s="22" t="s">
        <v>1486</v>
      </c>
      <c r="G30" s="22">
        <v>31.77</v>
      </c>
      <c r="H30" s="22">
        <v>4</v>
      </c>
      <c r="I30" s="22">
        <v>6.3540000000000001</v>
      </c>
      <c r="J30" s="23">
        <v>133.434</v>
      </c>
      <c r="K30" s="24" t="s">
        <v>1518</v>
      </c>
      <c r="L30" s="25">
        <v>0.61319444444444449</v>
      </c>
      <c r="M30" s="22" t="s">
        <v>1469</v>
      </c>
      <c r="N30" s="26">
        <v>127.08</v>
      </c>
      <c r="O30" s="27">
        <f t="shared" si="0"/>
        <v>4.761904762E-2</v>
      </c>
      <c r="P30" s="23">
        <v>6.3540000000000001</v>
      </c>
      <c r="Q30" s="28">
        <v>6.2</v>
      </c>
      <c r="Y30" s="5" t="s">
        <v>1468</v>
      </c>
      <c r="Z30" s="5">
        <v>7</v>
      </c>
    </row>
    <row r="31" spans="1:26" x14ac:dyDescent="0.35">
      <c r="A31" s="21" t="s">
        <v>1519</v>
      </c>
      <c r="B31" s="22" t="s">
        <v>1459</v>
      </c>
      <c r="C31" s="22" t="s">
        <v>1460</v>
      </c>
      <c r="D31" s="22" t="s">
        <v>1461</v>
      </c>
      <c r="E31" s="22" t="s">
        <v>19</v>
      </c>
      <c r="F31" s="22" t="s">
        <v>1473</v>
      </c>
      <c r="G31" s="22">
        <v>64.27</v>
      </c>
      <c r="H31" s="22">
        <v>4</v>
      </c>
      <c r="I31" s="22">
        <v>12.853999999999999</v>
      </c>
      <c r="J31" s="23">
        <v>269.93400000000003</v>
      </c>
      <c r="K31" s="24" t="s">
        <v>1520</v>
      </c>
      <c r="L31" s="25">
        <v>0.57916666666666672</v>
      </c>
      <c r="M31" s="22" t="s">
        <v>1464</v>
      </c>
      <c r="N31" s="26">
        <v>257.08</v>
      </c>
      <c r="O31" s="27">
        <f t="shared" si="0"/>
        <v>4.761904762E-2</v>
      </c>
      <c r="P31" s="23">
        <v>12.853999999999999</v>
      </c>
      <c r="Q31" s="28">
        <v>7.7</v>
      </c>
      <c r="Y31" s="5" t="s">
        <v>1501</v>
      </c>
      <c r="Z31" s="5">
        <v>7</v>
      </c>
    </row>
    <row r="32" spans="1:26" x14ac:dyDescent="0.35">
      <c r="A32" s="21" t="s">
        <v>1521</v>
      </c>
      <c r="B32" s="22" t="s">
        <v>1466</v>
      </c>
      <c r="C32" s="22" t="s">
        <v>1467</v>
      </c>
      <c r="D32" s="22" t="s">
        <v>1461</v>
      </c>
      <c r="E32" s="22" t="s">
        <v>27</v>
      </c>
      <c r="F32" s="22" t="s">
        <v>1473</v>
      </c>
      <c r="G32" s="22">
        <v>69.510000000000005</v>
      </c>
      <c r="H32" s="22">
        <v>2</v>
      </c>
      <c r="I32" s="22">
        <v>6.9509999999999996</v>
      </c>
      <c r="J32" s="23">
        <v>145.971</v>
      </c>
      <c r="K32" s="24">
        <v>43468</v>
      </c>
      <c r="L32" s="25">
        <v>0.51041666666666663</v>
      </c>
      <c r="M32" s="22" t="s">
        <v>1469</v>
      </c>
      <c r="N32" s="26">
        <v>139.02000000000001</v>
      </c>
      <c r="O32" s="27">
        <f t="shared" si="0"/>
        <v>4.761904762E-2</v>
      </c>
      <c r="P32" s="23">
        <v>6.9509999999999996</v>
      </c>
      <c r="Q32" s="28">
        <v>8.1</v>
      </c>
      <c r="Y32" s="5" t="s">
        <v>1482</v>
      </c>
      <c r="Z32" s="5">
        <v>5</v>
      </c>
    </row>
    <row r="33" spans="1:26" x14ac:dyDescent="0.35">
      <c r="A33" s="21" t="s">
        <v>1522</v>
      </c>
      <c r="B33" s="22" t="s">
        <v>1475</v>
      </c>
      <c r="C33" s="22" t="s">
        <v>1476</v>
      </c>
      <c r="D33" s="22" t="s">
        <v>1461</v>
      </c>
      <c r="E33" s="22" t="s">
        <v>27</v>
      </c>
      <c r="F33" s="22" t="s">
        <v>1486</v>
      </c>
      <c r="G33" s="22">
        <v>27.22</v>
      </c>
      <c r="H33" s="22">
        <v>3</v>
      </c>
      <c r="I33" s="22">
        <v>4.0830000000000002</v>
      </c>
      <c r="J33" s="23">
        <v>85.742999999999995</v>
      </c>
      <c r="K33" s="24">
        <v>43647</v>
      </c>
      <c r="L33" s="25">
        <v>0.52569444444444446</v>
      </c>
      <c r="M33" s="22" t="s">
        <v>1464</v>
      </c>
      <c r="N33" s="26">
        <v>81.66</v>
      </c>
      <c r="O33" s="27">
        <f t="shared" si="0"/>
        <v>4.761904762E-2</v>
      </c>
      <c r="P33" s="23">
        <v>4.0830000000000002</v>
      </c>
      <c r="Q33" s="28">
        <v>7.3</v>
      </c>
      <c r="Y33" s="5" t="s">
        <v>1501</v>
      </c>
      <c r="Z33" s="5">
        <v>10</v>
      </c>
    </row>
    <row r="34" spans="1:26" x14ac:dyDescent="0.35">
      <c r="A34" s="21" t="s">
        <v>1523</v>
      </c>
      <c r="B34" s="22" t="s">
        <v>1459</v>
      </c>
      <c r="C34" s="22" t="s">
        <v>1460</v>
      </c>
      <c r="D34" s="22" t="s">
        <v>1479</v>
      </c>
      <c r="E34" s="22" t="s">
        <v>19</v>
      </c>
      <c r="F34" s="22" t="s">
        <v>1473</v>
      </c>
      <c r="G34" s="22">
        <v>77.680000000000007</v>
      </c>
      <c r="H34" s="22">
        <v>4</v>
      </c>
      <c r="I34" s="22">
        <v>15.536</v>
      </c>
      <c r="J34" s="23">
        <v>326.25599999999997</v>
      </c>
      <c r="K34" s="24">
        <v>43467</v>
      </c>
      <c r="L34" s="25">
        <v>0.82916666666666672</v>
      </c>
      <c r="M34" s="22" t="s">
        <v>1464</v>
      </c>
      <c r="N34" s="26">
        <v>310.72000000000003</v>
      </c>
      <c r="O34" s="27">
        <f t="shared" si="0"/>
        <v>4.761904762E-2</v>
      </c>
      <c r="P34" s="23">
        <v>15.536</v>
      </c>
      <c r="Q34" s="28">
        <v>8.4</v>
      </c>
      <c r="Y34" s="5" t="s">
        <v>1486</v>
      </c>
      <c r="Z34" s="5">
        <v>7</v>
      </c>
    </row>
    <row r="35" spans="1:26" x14ac:dyDescent="0.35">
      <c r="A35" s="21" t="s">
        <v>1524</v>
      </c>
      <c r="B35" s="22" t="s">
        <v>1475</v>
      </c>
      <c r="C35" s="22" t="s">
        <v>1476</v>
      </c>
      <c r="D35" s="22" t="s">
        <v>1479</v>
      </c>
      <c r="E35" s="22" t="s">
        <v>19</v>
      </c>
      <c r="F35" s="22" t="s">
        <v>1468</v>
      </c>
      <c r="G35" s="22">
        <v>92.98</v>
      </c>
      <c r="H35" s="22">
        <v>2</v>
      </c>
      <c r="I35" s="22">
        <v>9.298</v>
      </c>
      <c r="J35" s="23">
        <v>195.25800000000001</v>
      </c>
      <c r="K35" s="24" t="s">
        <v>1525</v>
      </c>
      <c r="L35" s="25">
        <v>0.62916666666666665</v>
      </c>
      <c r="M35" s="22" t="s">
        <v>1477</v>
      </c>
      <c r="N35" s="26">
        <v>185.96</v>
      </c>
      <c r="O35" s="27">
        <f t="shared" si="0"/>
        <v>4.761904762E-2</v>
      </c>
      <c r="P35" s="23">
        <v>9.298</v>
      </c>
      <c r="Q35" s="28">
        <v>8</v>
      </c>
      <c r="Y35" s="5" t="s">
        <v>1486</v>
      </c>
      <c r="Z35" s="5">
        <v>2</v>
      </c>
    </row>
    <row r="36" spans="1:26" x14ac:dyDescent="0.35">
      <c r="A36" s="21" t="s">
        <v>1526</v>
      </c>
      <c r="B36" s="22" t="s">
        <v>1466</v>
      </c>
      <c r="C36" s="22" t="s">
        <v>1467</v>
      </c>
      <c r="D36" s="22" t="s">
        <v>1479</v>
      </c>
      <c r="E36" s="22" t="s">
        <v>19</v>
      </c>
      <c r="F36" s="22" t="s">
        <v>1468</v>
      </c>
      <c r="G36" s="22">
        <v>18.079999999999998</v>
      </c>
      <c r="H36" s="22">
        <v>4</v>
      </c>
      <c r="I36" s="22">
        <v>3.6160000000000001</v>
      </c>
      <c r="J36" s="23">
        <v>75.936000000000007</v>
      </c>
      <c r="K36" s="24" t="s">
        <v>1518</v>
      </c>
      <c r="L36" s="25">
        <v>0.75208333333333333</v>
      </c>
      <c r="M36" s="22" t="s">
        <v>1477</v>
      </c>
      <c r="N36" s="26">
        <v>72.319999999999993</v>
      </c>
      <c r="O36" s="27">
        <f t="shared" si="0"/>
        <v>4.761904762E-2</v>
      </c>
      <c r="P36" s="23">
        <v>3.6160000000000001</v>
      </c>
      <c r="Q36" s="28">
        <v>9.5</v>
      </c>
      <c r="Y36" s="5" t="s">
        <v>1501</v>
      </c>
      <c r="Z36" s="5">
        <v>5</v>
      </c>
    </row>
    <row r="37" spans="1:26" x14ac:dyDescent="0.35">
      <c r="A37" s="21" t="s">
        <v>1527</v>
      </c>
      <c r="B37" s="22" t="s">
        <v>1466</v>
      </c>
      <c r="C37" s="22" t="s">
        <v>1467</v>
      </c>
      <c r="D37" s="22" t="s">
        <v>1461</v>
      </c>
      <c r="E37" s="22" t="s">
        <v>27</v>
      </c>
      <c r="F37" s="22" t="s">
        <v>1501</v>
      </c>
      <c r="G37" s="22">
        <v>63.06</v>
      </c>
      <c r="H37" s="22">
        <v>3</v>
      </c>
      <c r="I37" s="22">
        <v>9.4589999999999996</v>
      </c>
      <c r="J37" s="23">
        <v>198.63900000000001</v>
      </c>
      <c r="K37" s="24" t="s">
        <v>1528</v>
      </c>
      <c r="L37" s="25">
        <v>0.66527777777777775</v>
      </c>
      <c r="M37" s="22" t="s">
        <v>1469</v>
      </c>
      <c r="N37" s="26">
        <v>189.18</v>
      </c>
      <c r="O37" s="27">
        <f t="shared" si="0"/>
        <v>4.761904762E-2</v>
      </c>
      <c r="P37" s="23">
        <v>9.4589999999999996</v>
      </c>
      <c r="Q37" s="28">
        <v>7</v>
      </c>
      <c r="Y37" s="5" t="s">
        <v>1468</v>
      </c>
      <c r="Z37" s="5">
        <v>7</v>
      </c>
    </row>
    <row r="38" spans="1:26" x14ac:dyDescent="0.35">
      <c r="A38" s="21" t="s">
        <v>1529</v>
      </c>
      <c r="B38" s="22" t="s">
        <v>1459</v>
      </c>
      <c r="C38" s="22" t="s">
        <v>1460</v>
      </c>
      <c r="D38" s="22" t="s">
        <v>1461</v>
      </c>
      <c r="E38" s="22" t="s">
        <v>27</v>
      </c>
      <c r="F38" s="22" t="s">
        <v>1473</v>
      </c>
      <c r="G38" s="22">
        <v>51.71</v>
      </c>
      <c r="H38" s="22">
        <v>4</v>
      </c>
      <c r="I38" s="22">
        <v>10.342000000000001</v>
      </c>
      <c r="J38" s="23">
        <v>217.18199999999999</v>
      </c>
      <c r="K38" s="24">
        <v>43711</v>
      </c>
      <c r="L38" s="25">
        <v>0.57847222222222228</v>
      </c>
      <c r="M38" s="22" t="s">
        <v>1477</v>
      </c>
      <c r="N38" s="26">
        <v>206.84</v>
      </c>
      <c r="O38" s="27">
        <f t="shared" si="0"/>
        <v>4.761904762E-2</v>
      </c>
      <c r="P38" s="23">
        <v>10.342000000000001</v>
      </c>
      <c r="Q38" s="28">
        <v>9.8000000000000007</v>
      </c>
      <c r="Y38" s="5" t="s">
        <v>1486</v>
      </c>
      <c r="Z38" s="5">
        <v>4</v>
      </c>
    </row>
    <row r="39" spans="1:26" x14ac:dyDescent="0.35">
      <c r="A39" s="21" t="s">
        <v>1530</v>
      </c>
      <c r="B39" s="22" t="s">
        <v>1459</v>
      </c>
      <c r="C39" s="22" t="s">
        <v>1460</v>
      </c>
      <c r="D39" s="22" t="s">
        <v>1461</v>
      </c>
      <c r="E39" s="22" t="s">
        <v>19</v>
      </c>
      <c r="F39" s="22" t="s">
        <v>1486</v>
      </c>
      <c r="G39" s="22">
        <v>52.34</v>
      </c>
      <c r="H39" s="22">
        <v>3</v>
      </c>
      <c r="I39" s="22">
        <v>7.851</v>
      </c>
      <c r="J39" s="23">
        <v>164.87100000000001</v>
      </c>
      <c r="K39" s="24" t="s">
        <v>1531</v>
      </c>
      <c r="L39" s="25">
        <v>0.5854166666666667</v>
      </c>
      <c r="M39" s="22" t="s">
        <v>1464</v>
      </c>
      <c r="N39" s="26">
        <v>157.02000000000001</v>
      </c>
      <c r="O39" s="27">
        <f t="shared" si="0"/>
        <v>4.761904762E-2</v>
      </c>
      <c r="P39" s="23">
        <v>7.851</v>
      </c>
      <c r="Q39" s="28">
        <v>9.1999999999999993</v>
      </c>
      <c r="Y39" s="5" t="s">
        <v>1486</v>
      </c>
      <c r="Z39" s="5">
        <v>4</v>
      </c>
    </row>
    <row r="40" spans="1:26" x14ac:dyDescent="0.35">
      <c r="A40" s="21" t="s">
        <v>1532</v>
      </c>
      <c r="B40" s="22" t="s">
        <v>1459</v>
      </c>
      <c r="C40" s="22" t="s">
        <v>1460</v>
      </c>
      <c r="D40" s="22" t="s">
        <v>1461</v>
      </c>
      <c r="E40" s="22" t="s">
        <v>19</v>
      </c>
      <c r="F40" s="22" t="s">
        <v>1501</v>
      </c>
      <c r="G40" s="22">
        <v>43.06</v>
      </c>
      <c r="H40" s="22">
        <v>5</v>
      </c>
      <c r="I40" s="22">
        <v>10.765000000000001</v>
      </c>
      <c r="J40" s="23">
        <v>226.065</v>
      </c>
      <c r="K40" s="24">
        <v>43557</v>
      </c>
      <c r="L40" s="25">
        <v>0.69305555555555554</v>
      </c>
      <c r="M40" s="22" t="s">
        <v>1469</v>
      </c>
      <c r="N40" s="26">
        <v>215.3</v>
      </c>
      <c r="O40" s="27">
        <f t="shared" si="0"/>
        <v>4.761904762E-2</v>
      </c>
      <c r="P40" s="23">
        <v>10.765000000000001</v>
      </c>
      <c r="Q40" s="28">
        <v>7.7</v>
      </c>
      <c r="Y40" s="5" t="s">
        <v>1473</v>
      </c>
      <c r="Z40" s="5">
        <v>4</v>
      </c>
    </row>
    <row r="41" spans="1:26" x14ac:dyDescent="0.35">
      <c r="A41" s="21" t="s">
        <v>1533</v>
      </c>
      <c r="B41" s="22" t="s">
        <v>1475</v>
      </c>
      <c r="C41" s="22" t="s">
        <v>1476</v>
      </c>
      <c r="D41" s="22" t="s">
        <v>1461</v>
      </c>
      <c r="E41" s="22" t="s">
        <v>27</v>
      </c>
      <c r="F41" s="22" t="s">
        <v>1468</v>
      </c>
      <c r="G41" s="22">
        <v>59.61</v>
      </c>
      <c r="H41" s="22">
        <v>10</v>
      </c>
      <c r="I41" s="22">
        <v>29.805</v>
      </c>
      <c r="J41" s="66">
        <v>625.90499999999997</v>
      </c>
      <c r="K41" s="24" t="s">
        <v>1492</v>
      </c>
      <c r="L41" s="25">
        <v>0.46319444444444446</v>
      </c>
      <c r="M41" s="22" t="s">
        <v>1464</v>
      </c>
      <c r="N41" s="26">
        <v>596.1</v>
      </c>
      <c r="O41" s="27">
        <f t="shared" si="0"/>
        <v>4.761904762E-2</v>
      </c>
      <c r="P41" s="23">
        <v>29.805</v>
      </c>
      <c r="Q41" s="28">
        <v>5.3</v>
      </c>
      <c r="Y41" s="5" t="s">
        <v>1473</v>
      </c>
      <c r="Z41" s="5">
        <v>2</v>
      </c>
    </row>
    <row r="42" spans="1:26" x14ac:dyDescent="0.35">
      <c r="A42" s="21" t="s">
        <v>1534</v>
      </c>
      <c r="B42" s="22" t="s">
        <v>1459</v>
      </c>
      <c r="C42" s="22" t="s">
        <v>1460</v>
      </c>
      <c r="D42" s="22" t="s">
        <v>1461</v>
      </c>
      <c r="E42" s="22" t="s">
        <v>27</v>
      </c>
      <c r="F42" s="22" t="s">
        <v>1473</v>
      </c>
      <c r="G42" s="22">
        <v>14.62</v>
      </c>
      <c r="H42" s="22">
        <v>5</v>
      </c>
      <c r="I42" s="22">
        <v>3.6549999999999998</v>
      </c>
      <c r="J42" s="23">
        <v>76.754999999999995</v>
      </c>
      <c r="K42" s="24">
        <v>43558</v>
      </c>
      <c r="L42" s="25">
        <v>0.51597222222222228</v>
      </c>
      <c r="M42" s="22" t="s">
        <v>1464</v>
      </c>
      <c r="N42" s="26">
        <v>73.099999999999994</v>
      </c>
      <c r="O42" s="27">
        <f t="shared" si="0"/>
        <v>4.761904762E-2</v>
      </c>
      <c r="P42" s="23">
        <v>3.6549999999999998</v>
      </c>
      <c r="Q42" s="28">
        <v>4.4000000000000004</v>
      </c>
      <c r="Y42" s="5" t="s">
        <v>1486</v>
      </c>
      <c r="Z42" s="5">
        <v>3</v>
      </c>
    </row>
    <row r="43" spans="1:26" x14ac:dyDescent="0.35">
      <c r="A43" s="21" t="s">
        <v>1535</v>
      </c>
      <c r="B43" s="22" t="s">
        <v>1475</v>
      </c>
      <c r="C43" s="22" t="s">
        <v>1476</v>
      </c>
      <c r="D43" s="22" t="s">
        <v>1479</v>
      </c>
      <c r="E43" s="22" t="s">
        <v>27</v>
      </c>
      <c r="F43" s="22" t="s">
        <v>1473</v>
      </c>
      <c r="G43" s="22">
        <v>46.53</v>
      </c>
      <c r="H43" s="22">
        <v>6</v>
      </c>
      <c r="I43" s="22">
        <v>13.959</v>
      </c>
      <c r="J43" s="23">
        <v>293.13900000000001</v>
      </c>
      <c r="K43" s="24">
        <v>43527</v>
      </c>
      <c r="L43" s="25">
        <v>0.45416666666666666</v>
      </c>
      <c r="M43" s="22" t="s">
        <v>1477</v>
      </c>
      <c r="N43" s="26">
        <v>279.18</v>
      </c>
      <c r="O43" s="27">
        <f t="shared" si="0"/>
        <v>4.761904762E-2</v>
      </c>
      <c r="P43" s="23">
        <v>13.959</v>
      </c>
      <c r="Q43" s="28">
        <v>4.3</v>
      </c>
      <c r="Y43" s="5" t="s">
        <v>1473</v>
      </c>
      <c r="Z43" s="5">
        <v>4</v>
      </c>
    </row>
    <row r="44" spans="1:26" x14ac:dyDescent="0.35">
      <c r="A44" s="21" t="s">
        <v>1536</v>
      </c>
      <c r="B44" s="22" t="s">
        <v>1475</v>
      </c>
      <c r="C44" s="22" t="s">
        <v>1476</v>
      </c>
      <c r="D44" s="22" t="s">
        <v>1479</v>
      </c>
      <c r="E44" s="22" t="s">
        <v>19</v>
      </c>
      <c r="F44" s="22" t="s">
        <v>1482</v>
      </c>
      <c r="G44" s="22">
        <v>24.24</v>
      </c>
      <c r="H44" s="22">
        <v>7</v>
      </c>
      <c r="I44" s="22">
        <v>8.484</v>
      </c>
      <c r="J44" s="23">
        <v>178.16399999999999</v>
      </c>
      <c r="K44" s="24" t="s">
        <v>1537</v>
      </c>
      <c r="L44" s="25">
        <v>0.73472222222222228</v>
      </c>
      <c r="M44" s="22" t="s">
        <v>1469</v>
      </c>
      <c r="N44" s="26">
        <v>169.68</v>
      </c>
      <c r="O44" s="27">
        <f t="shared" si="0"/>
        <v>4.761904762E-2</v>
      </c>
      <c r="P44" s="23">
        <v>8.484</v>
      </c>
      <c r="Q44" s="28">
        <v>9.4</v>
      </c>
      <c r="Y44" s="5" t="s">
        <v>1468</v>
      </c>
      <c r="Z44" s="5">
        <v>2</v>
      </c>
    </row>
    <row r="45" spans="1:26" x14ac:dyDescent="0.35">
      <c r="A45" s="21" t="s">
        <v>1538</v>
      </c>
      <c r="B45" s="22" t="s">
        <v>1459</v>
      </c>
      <c r="C45" s="22" t="s">
        <v>1460</v>
      </c>
      <c r="D45" s="22" t="s">
        <v>1479</v>
      </c>
      <c r="E45" s="22" t="s">
        <v>19</v>
      </c>
      <c r="F45" s="22" t="s">
        <v>1501</v>
      </c>
      <c r="G45" s="22">
        <v>45.58</v>
      </c>
      <c r="H45" s="22">
        <v>1</v>
      </c>
      <c r="I45" s="22">
        <v>2.2789999999999999</v>
      </c>
      <c r="J45" s="23">
        <v>47.859000000000002</v>
      </c>
      <c r="K45" s="24">
        <v>43648</v>
      </c>
      <c r="L45" s="25">
        <v>0.59236111111111112</v>
      </c>
      <c r="M45" s="22" t="s">
        <v>1464</v>
      </c>
      <c r="N45" s="26">
        <v>45.58</v>
      </c>
      <c r="O45" s="27">
        <f t="shared" si="0"/>
        <v>4.761904762E-2</v>
      </c>
      <c r="P45" s="23">
        <v>2.2789999999999999</v>
      </c>
      <c r="Q45" s="28">
        <v>9.8000000000000007</v>
      </c>
      <c r="Y45" s="5" t="s">
        <v>1468</v>
      </c>
      <c r="Z45" s="5">
        <v>4</v>
      </c>
    </row>
    <row r="46" spans="1:26" x14ac:dyDescent="0.35">
      <c r="A46" s="21" t="s">
        <v>1539</v>
      </c>
      <c r="B46" s="22" t="s">
        <v>1459</v>
      </c>
      <c r="C46" s="22" t="s">
        <v>1460</v>
      </c>
      <c r="D46" s="22" t="s">
        <v>1479</v>
      </c>
      <c r="E46" s="22" t="s">
        <v>19</v>
      </c>
      <c r="F46" s="22" t="s">
        <v>1501</v>
      </c>
      <c r="G46" s="22">
        <v>75.2</v>
      </c>
      <c r="H46" s="22">
        <v>3</v>
      </c>
      <c r="I46" s="22">
        <v>11.28</v>
      </c>
      <c r="J46" s="23">
        <v>236.88</v>
      </c>
      <c r="K46" s="24">
        <v>43587</v>
      </c>
      <c r="L46" s="25">
        <v>0.49375000000000002</v>
      </c>
      <c r="M46" s="22" t="s">
        <v>1469</v>
      </c>
      <c r="N46" s="26">
        <v>225.6</v>
      </c>
      <c r="O46" s="27">
        <f t="shared" si="0"/>
        <v>4.761904762E-2</v>
      </c>
      <c r="P46" s="23">
        <v>11.28</v>
      </c>
      <c r="Q46" s="28">
        <v>4.8</v>
      </c>
      <c r="Y46" s="5" t="s">
        <v>1501</v>
      </c>
      <c r="Z46" s="5">
        <v>3</v>
      </c>
    </row>
    <row r="47" spans="1:26" x14ac:dyDescent="0.35">
      <c r="A47" s="21" t="s">
        <v>1540</v>
      </c>
      <c r="B47" s="22" t="s">
        <v>1466</v>
      </c>
      <c r="C47" s="22" t="s">
        <v>1467</v>
      </c>
      <c r="D47" s="22" t="s">
        <v>1479</v>
      </c>
      <c r="E47" s="22" t="s">
        <v>27</v>
      </c>
      <c r="F47" s="22" t="s">
        <v>1501</v>
      </c>
      <c r="G47" s="22">
        <v>96.8</v>
      </c>
      <c r="H47" s="22">
        <v>3</v>
      </c>
      <c r="I47" s="22">
        <v>14.52</v>
      </c>
      <c r="J47" s="23">
        <v>304.92</v>
      </c>
      <c r="K47" s="24" t="s">
        <v>1541</v>
      </c>
      <c r="L47" s="25">
        <v>0.54513888888888884</v>
      </c>
      <c r="M47" s="22" t="s">
        <v>1464</v>
      </c>
      <c r="N47" s="26">
        <v>290.39999999999998</v>
      </c>
      <c r="O47" s="27">
        <f t="shared" si="0"/>
        <v>4.761904762E-2</v>
      </c>
      <c r="P47" s="23">
        <v>14.52</v>
      </c>
      <c r="Q47" s="28">
        <v>5.3</v>
      </c>
      <c r="Y47" s="5" t="s">
        <v>1473</v>
      </c>
      <c r="Z47" s="5">
        <v>4</v>
      </c>
    </row>
    <row r="48" spans="1:26" x14ac:dyDescent="0.35">
      <c r="A48" s="21" t="s">
        <v>1542</v>
      </c>
      <c r="B48" s="22" t="s">
        <v>1466</v>
      </c>
      <c r="C48" s="22" t="s">
        <v>1467</v>
      </c>
      <c r="D48" s="22" t="s">
        <v>1461</v>
      </c>
      <c r="E48" s="22" t="s">
        <v>27</v>
      </c>
      <c r="F48" s="22" t="s">
        <v>1473</v>
      </c>
      <c r="G48" s="22">
        <v>14.82</v>
      </c>
      <c r="H48" s="22">
        <v>3</v>
      </c>
      <c r="I48" s="22">
        <v>2.2229999999999999</v>
      </c>
      <c r="J48" s="23">
        <v>46.683</v>
      </c>
      <c r="K48" s="24">
        <v>43468</v>
      </c>
      <c r="L48" s="25">
        <v>0.47916666666666669</v>
      </c>
      <c r="M48" s="22" t="s">
        <v>1477</v>
      </c>
      <c r="N48" s="26">
        <v>44.46</v>
      </c>
      <c r="O48" s="27">
        <f t="shared" si="0"/>
        <v>4.761904762E-2</v>
      </c>
      <c r="P48" s="23">
        <v>2.2229999999999999</v>
      </c>
      <c r="Q48" s="28">
        <v>8.6999999999999993</v>
      </c>
      <c r="Y48" s="5" t="s">
        <v>1486</v>
      </c>
      <c r="Z48" s="5">
        <v>3</v>
      </c>
    </row>
    <row r="49" spans="1:26" x14ac:dyDescent="0.35">
      <c r="A49" s="21" t="s">
        <v>1543</v>
      </c>
      <c r="B49" s="22" t="s">
        <v>1459</v>
      </c>
      <c r="C49" s="22" t="s">
        <v>1460</v>
      </c>
      <c r="D49" s="22" t="s">
        <v>1461</v>
      </c>
      <c r="E49" s="22" t="s">
        <v>27</v>
      </c>
      <c r="F49" s="22" t="s">
        <v>1486</v>
      </c>
      <c r="G49" s="22">
        <v>52.2</v>
      </c>
      <c r="H49" s="22">
        <v>3</v>
      </c>
      <c r="I49" s="22">
        <v>7.83</v>
      </c>
      <c r="J49" s="23">
        <v>164.43</v>
      </c>
      <c r="K49" s="24" t="s">
        <v>1544</v>
      </c>
      <c r="L49" s="25">
        <v>0.5625</v>
      </c>
      <c r="M49" s="22" t="s">
        <v>1477</v>
      </c>
      <c r="N49" s="26">
        <v>156.6</v>
      </c>
      <c r="O49" s="27">
        <f t="shared" si="0"/>
        <v>4.761904762E-2</v>
      </c>
      <c r="P49" s="23">
        <v>7.83</v>
      </c>
      <c r="Q49" s="28">
        <v>9.5</v>
      </c>
      <c r="Y49" s="5" t="s">
        <v>1501</v>
      </c>
      <c r="Z49" s="5">
        <v>5</v>
      </c>
    </row>
    <row r="50" spans="1:26" x14ac:dyDescent="0.35">
      <c r="A50" s="21" t="s">
        <v>1545</v>
      </c>
      <c r="B50" s="22" t="s">
        <v>1475</v>
      </c>
      <c r="C50" s="22" t="s">
        <v>1476</v>
      </c>
      <c r="D50" s="22" t="s">
        <v>1461</v>
      </c>
      <c r="E50" s="22" t="s">
        <v>19</v>
      </c>
      <c r="F50" s="22" t="s">
        <v>1501</v>
      </c>
      <c r="G50" s="22">
        <v>46.66</v>
      </c>
      <c r="H50" s="22">
        <v>9</v>
      </c>
      <c r="I50" s="22">
        <v>20.997</v>
      </c>
      <c r="J50" s="23">
        <v>440.93700000000001</v>
      </c>
      <c r="K50" s="24" t="s">
        <v>1546</v>
      </c>
      <c r="L50" s="25">
        <v>0.7993055555555556</v>
      </c>
      <c r="M50" s="22" t="s">
        <v>1469</v>
      </c>
      <c r="N50" s="26">
        <v>419.94</v>
      </c>
      <c r="O50" s="27">
        <f t="shared" si="0"/>
        <v>4.761904762E-2</v>
      </c>
      <c r="P50" s="23">
        <v>20.997</v>
      </c>
      <c r="Q50" s="28">
        <v>5.3</v>
      </c>
      <c r="Y50" s="5" t="s">
        <v>1468</v>
      </c>
      <c r="Z50" s="5">
        <v>10</v>
      </c>
    </row>
    <row r="51" spans="1:26" x14ac:dyDescent="0.35">
      <c r="A51" s="21" t="s">
        <v>1547</v>
      </c>
      <c r="B51" s="22" t="s">
        <v>1475</v>
      </c>
      <c r="C51" s="22" t="s">
        <v>1476</v>
      </c>
      <c r="D51" s="22" t="s">
        <v>1461</v>
      </c>
      <c r="E51" s="22" t="s">
        <v>19</v>
      </c>
      <c r="F51" s="22" t="s">
        <v>1468</v>
      </c>
      <c r="G51" s="22">
        <v>36.85</v>
      </c>
      <c r="H51" s="22">
        <v>5</v>
      </c>
      <c r="I51" s="22">
        <v>9.2125000000000004</v>
      </c>
      <c r="J51" s="23">
        <v>193.46250000000001</v>
      </c>
      <c r="K51" s="24" t="s">
        <v>1548</v>
      </c>
      <c r="L51" s="25">
        <v>0.78680555555555554</v>
      </c>
      <c r="M51" s="22" t="s">
        <v>1464</v>
      </c>
      <c r="N51" s="26">
        <v>184.25</v>
      </c>
      <c r="O51" s="27">
        <f t="shared" si="0"/>
        <v>4.761904762E-2</v>
      </c>
      <c r="P51" s="23">
        <v>9.2125000000000004</v>
      </c>
      <c r="Q51" s="28">
        <v>9.1999999999999993</v>
      </c>
      <c r="Y51" s="5" t="s">
        <v>1473</v>
      </c>
      <c r="Z51" s="5">
        <v>5</v>
      </c>
    </row>
    <row r="52" spans="1:26" x14ac:dyDescent="0.35">
      <c r="A52" s="21" t="s">
        <v>1549</v>
      </c>
      <c r="B52" s="22" t="s">
        <v>1459</v>
      </c>
      <c r="C52" s="22" t="s">
        <v>1460</v>
      </c>
      <c r="D52" s="22" t="s">
        <v>1479</v>
      </c>
      <c r="E52" s="22" t="s">
        <v>19</v>
      </c>
      <c r="F52" s="22" t="s">
        <v>1482</v>
      </c>
      <c r="G52" s="22">
        <v>70.319999999999993</v>
      </c>
      <c r="H52" s="22">
        <v>2</v>
      </c>
      <c r="I52" s="22">
        <v>7.032</v>
      </c>
      <c r="J52" s="23">
        <v>147.672</v>
      </c>
      <c r="K52" s="24" t="s">
        <v>1550</v>
      </c>
      <c r="L52" s="25">
        <v>0.59861111111111109</v>
      </c>
      <c r="M52" s="22" t="s">
        <v>1469</v>
      </c>
      <c r="N52" s="26">
        <v>140.63999999999999</v>
      </c>
      <c r="O52" s="27">
        <f t="shared" si="0"/>
        <v>4.761904762E-2</v>
      </c>
      <c r="P52" s="23">
        <v>7.032</v>
      </c>
      <c r="Q52" s="28">
        <v>9.6</v>
      </c>
      <c r="Y52" s="5" t="s">
        <v>1473</v>
      </c>
      <c r="Z52" s="5">
        <v>6</v>
      </c>
    </row>
    <row r="53" spans="1:26" x14ac:dyDescent="0.35">
      <c r="A53" s="21" t="s">
        <v>1551</v>
      </c>
      <c r="B53" s="22" t="s">
        <v>1475</v>
      </c>
      <c r="C53" s="22" t="s">
        <v>1476</v>
      </c>
      <c r="D53" s="22" t="s">
        <v>1461</v>
      </c>
      <c r="E53" s="22" t="s">
        <v>27</v>
      </c>
      <c r="F53" s="22" t="s">
        <v>1462</v>
      </c>
      <c r="G53" s="22">
        <v>83.08</v>
      </c>
      <c r="H53" s="22">
        <v>1</v>
      </c>
      <c r="I53" s="22">
        <v>4.1539999999999999</v>
      </c>
      <c r="J53" s="23">
        <v>87.233999999999995</v>
      </c>
      <c r="K53" s="24" t="s">
        <v>1463</v>
      </c>
      <c r="L53" s="25">
        <v>0.71944444444444444</v>
      </c>
      <c r="M53" s="22" t="s">
        <v>1469</v>
      </c>
      <c r="N53" s="26">
        <v>83.08</v>
      </c>
      <c r="O53" s="27">
        <f t="shared" si="0"/>
        <v>4.761904762E-2</v>
      </c>
      <c r="P53" s="23">
        <v>4.1539999999999999</v>
      </c>
      <c r="Q53" s="28">
        <v>6.4</v>
      </c>
      <c r="Y53" s="5" t="s">
        <v>1482</v>
      </c>
      <c r="Z53" s="5">
        <v>7</v>
      </c>
    </row>
    <row r="54" spans="1:26" x14ac:dyDescent="0.35">
      <c r="A54" s="21" t="s">
        <v>1552</v>
      </c>
      <c r="B54" s="22" t="s">
        <v>1475</v>
      </c>
      <c r="C54" s="22" t="s">
        <v>1476</v>
      </c>
      <c r="D54" s="22" t="s">
        <v>1461</v>
      </c>
      <c r="E54" s="22" t="s">
        <v>19</v>
      </c>
      <c r="F54" s="22" t="s">
        <v>1468</v>
      </c>
      <c r="G54" s="22">
        <v>64.989999999999995</v>
      </c>
      <c r="H54" s="22">
        <v>1</v>
      </c>
      <c r="I54" s="22">
        <v>3.2494999999999998</v>
      </c>
      <c r="J54" s="23">
        <v>68.239500000000007</v>
      </c>
      <c r="K54" s="24" t="s">
        <v>1548</v>
      </c>
      <c r="L54" s="25">
        <v>0.42083333333333334</v>
      </c>
      <c r="M54" s="22" t="s">
        <v>1477</v>
      </c>
      <c r="N54" s="26">
        <v>64.989999999999995</v>
      </c>
      <c r="O54" s="27">
        <f t="shared" si="0"/>
        <v>4.761904762E-2</v>
      </c>
      <c r="P54" s="23">
        <v>3.2494999999999998</v>
      </c>
      <c r="Q54" s="28">
        <v>4.5</v>
      </c>
      <c r="Y54" s="5" t="s">
        <v>1501</v>
      </c>
      <c r="Z54" s="5">
        <v>1</v>
      </c>
    </row>
    <row r="55" spans="1:26" x14ac:dyDescent="0.35">
      <c r="A55" s="21" t="s">
        <v>1553</v>
      </c>
      <c r="B55" s="22" t="s">
        <v>1475</v>
      </c>
      <c r="C55" s="22" t="s">
        <v>1476</v>
      </c>
      <c r="D55" s="22" t="s">
        <v>1461</v>
      </c>
      <c r="E55" s="22" t="s">
        <v>27</v>
      </c>
      <c r="F55" s="22" t="s">
        <v>1486</v>
      </c>
      <c r="G55" s="22">
        <v>77.56</v>
      </c>
      <c r="H55" s="22">
        <v>10</v>
      </c>
      <c r="I55" s="22">
        <v>38.78</v>
      </c>
      <c r="J55" s="66">
        <v>814.38</v>
      </c>
      <c r="K55" s="24" t="s">
        <v>1492</v>
      </c>
      <c r="L55" s="25">
        <v>0.85763888888888884</v>
      </c>
      <c r="M55" s="22" t="s">
        <v>1469</v>
      </c>
      <c r="N55" s="26">
        <v>775.6</v>
      </c>
      <c r="O55" s="27">
        <f t="shared" si="0"/>
        <v>4.761904762E-2</v>
      </c>
      <c r="P55" s="23">
        <v>38.78</v>
      </c>
      <c r="Q55" s="28">
        <v>6.9</v>
      </c>
      <c r="Y55" s="5" t="s">
        <v>1501</v>
      </c>
      <c r="Z55" s="5">
        <v>3</v>
      </c>
    </row>
    <row r="56" spans="1:26" x14ac:dyDescent="0.35">
      <c r="A56" s="21" t="s">
        <v>1554</v>
      </c>
      <c r="B56" s="22" t="s">
        <v>1466</v>
      </c>
      <c r="C56" s="22" t="s">
        <v>1467</v>
      </c>
      <c r="D56" s="22" t="s">
        <v>1461</v>
      </c>
      <c r="E56" s="22" t="s">
        <v>19</v>
      </c>
      <c r="F56" s="22" t="s">
        <v>1501</v>
      </c>
      <c r="G56" s="22">
        <v>54.51</v>
      </c>
      <c r="H56" s="22">
        <v>6</v>
      </c>
      <c r="I56" s="22">
        <v>16.353000000000002</v>
      </c>
      <c r="J56" s="23">
        <v>343.41300000000001</v>
      </c>
      <c r="K56" s="24" t="s">
        <v>1555</v>
      </c>
      <c r="L56" s="25">
        <v>0.57916666666666672</v>
      </c>
      <c r="M56" s="22" t="s">
        <v>1469</v>
      </c>
      <c r="N56" s="26">
        <v>327.06</v>
      </c>
      <c r="O56" s="27">
        <f t="shared" si="0"/>
        <v>4.761904762E-2</v>
      </c>
      <c r="P56" s="23">
        <v>16.353000000000002</v>
      </c>
      <c r="Q56" s="28">
        <v>7.8</v>
      </c>
      <c r="Y56" s="5" t="s">
        <v>1501</v>
      </c>
      <c r="Z56" s="5">
        <v>3</v>
      </c>
    </row>
    <row r="57" spans="1:26" x14ac:dyDescent="0.35">
      <c r="A57" s="21" t="s">
        <v>1556</v>
      </c>
      <c r="B57" s="22" t="s">
        <v>1475</v>
      </c>
      <c r="C57" s="22" t="s">
        <v>1476</v>
      </c>
      <c r="D57" s="22" t="s">
        <v>1479</v>
      </c>
      <c r="E57" s="22" t="s">
        <v>19</v>
      </c>
      <c r="F57" s="22" t="s">
        <v>1468</v>
      </c>
      <c r="G57" s="22">
        <v>51.89</v>
      </c>
      <c r="H57" s="22">
        <v>7</v>
      </c>
      <c r="I57" s="22">
        <v>18.1615</v>
      </c>
      <c r="J57" s="23">
        <v>381.39150000000001</v>
      </c>
      <c r="K57" s="24">
        <v>43678</v>
      </c>
      <c r="L57" s="25">
        <v>0.83888888888888891</v>
      </c>
      <c r="M57" s="22" t="s">
        <v>1464</v>
      </c>
      <c r="N57" s="26">
        <v>363.23</v>
      </c>
      <c r="O57" s="27">
        <f t="shared" si="0"/>
        <v>4.761904762E-2</v>
      </c>
      <c r="P57" s="23">
        <v>18.1615</v>
      </c>
      <c r="Q57" s="28">
        <v>4.5</v>
      </c>
      <c r="Y57" s="5" t="s">
        <v>1473</v>
      </c>
      <c r="Z57" s="5">
        <v>3</v>
      </c>
    </row>
    <row r="58" spans="1:26" x14ac:dyDescent="0.35">
      <c r="A58" s="21" t="s">
        <v>1557</v>
      </c>
      <c r="B58" s="22" t="s">
        <v>1466</v>
      </c>
      <c r="C58" s="22" t="s">
        <v>1467</v>
      </c>
      <c r="D58" s="22" t="s">
        <v>1461</v>
      </c>
      <c r="E58" s="22" t="s">
        <v>27</v>
      </c>
      <c r="F58" s="22" t="s">
        <v>1482</v>
      </c>
      <c r="G58" s="22">
        <v>31.75</v>
      </c>
      <c r="H58" s="22">
        <v>4</v>
      </c>
      <c r="I58" s="22">
        <v>6.35</v>
      </c>
      <c r="J58" s="23">
        <v>133.35</v>
      </c>
      <c r="K58" s="24">
        <v>43679</v>
      </c>
      <c r="L58" s="25">
        <v>0.6430555555555556</v>
      </c>
      <c r="M58" s="22" t="s">
        <v>1464</v>
      </c>
      <c r="N58" s="26">
        <v>127</v>
      </c>
      <c r="O58" s="27">
        <f t="shared" si="0"/>
        <v>4.761904762E-2</v>
      </c>
      <c r="P58" s="23">
        <v>6.35</v>
      </c>
      <c r="Q58" s="28">
        <v>8.6</v>
      </c>
      <c r="Y58" s="5" t="s">
        <v>1486</v>
      </c>
      <c r="Z58" s="5">
        <v>3</v>
      </c>
    </row>
    <row r="59" spans="1:26" x14ac:dyDescent="0.35">
      <c r="A59" s="21" t="s">
        <v>1558</v>
      </c>
      <c r="B59" s="22" t="s">
        <v>1459</v>
      </c>
      <c r="C59" s="22" t="s">
        <v>1460</v>
      </c>
      <c r="D59" s="22" t="s">
        <v>1479</v>
      </c>
      <c r="E59" s="22" t="s">
        <v>19</v>
      </c>
      <c r="F59" s="22" t="s">
        <v>1468</v>
      </c>
      <c r="G59" s="22">
        <v>53.65</v>
      </c>
      <c r="H59" s="22">
        <v>7</v>
      </c>
      <c r="I59" s="22">
        <v>18.7775</v>
      </c>
      <c r="J59" s="23">
        <v>394.32749999999999</v>
      </c>
      <c r="K59" s="24">
        <v>43740</v>
      </c>
      <c r="L59" s="25">
        <v>0.53888888888888886</v>
      </c>
      <c r="M59" s="22" t="s">
        <v>1469</v>
      </c>
      <c r="N59" s="26">
        <v>375.55</v>
      </c>
      <c r="O59" s="27">
        <f t="shared" si="0"/>
        <v>4.761904762E-2</v>
      </c>
      <c r="P59" s="23">
        <v>18.7775</v>
      </c>
      <c r="Q59" s="28">
        <v>5.2</v>
      </c>
      <c r="Y59" s="5" t="s">
        <v>1501</v>
      </c>
      <c r="Z59" s="5">
        <v>9</v>
      </c>
    </row>
    <row r="60" spans="1:26" x14ac:dyDescent="0.35">
      <c r="A60" s="21" t="s">
        <v>1559</v>
      </c>
      <c r="B60" s="22" t="s">
        <v>1475</v>
      </c>
      <c r="C60" s="22" t="s">
        <v>1476</v>
      </c>
      <c r="D60" s="22" t="s">
        <v>1479</v>
      </c>
      <c r="E60" s="22" t="s">
        <v>19</v>
      </c>
      <c r="F60" s="22" t="s">
        <v>1486</v>
      </c>
      <c r="G60" s="22">
        <v>49.79</v>
      </c>
      <c r="H60" s="22">
        <v>4</v>
      </c>
      <c r="I60" s="22">
        <v>9.9580000000000002</v>
      </c>
      <c r="J60" s="23">
        <v>209.11799999999999</v>
      </c>
      <c r="K60" s="24" t="s">
        <v>1560</v>
      </c>
      <c r="L60" s="25">
        <v>0.80277777777777781</v>
      </c>
      <c r="M60" s="22" t="s">
        <v>1477</v>
      </c>
      <c r="N60" s="26">
        <v>199.16</v>
      </c>
      <c r="O60" s="27">
        <f t="shared" si="0"/>
        <v>4.761904762E-2</v>
      </c>
      <c r="P60" s="23">
        <v>9.9580000000000002</v>
      </c>
      <c r="Q60" s="28">
        <v>6.4</v>
      </c>
      <c r="Y60" s="5" t="s">
        <v>1468</v>
      </c>
      <c r="Z60" s="5">
        <v>5</v>
      </c>
    </row>
    <row r="61" spans="1:26" x14ac:dyDescent="0.35">
      <c r="A61" s="21" t="s">
        <v>1561</v>
      </c>
      <c r="B61" s="22" t="s">
        <v>1459</v>
      </c>
      <c r="C61" s="22" t="s">
        <v>1460</v>
      </c>
      <c r="D61" s="22" t="s">
        <v>1461</v>
      </c>
      <c r="E61" s="22" t="s">
        <v>27</v>
      </c>
      <c r="F61" s="22" t="s">
        <v>1468</v>
      </c>
      <c r="G61" s="22">
        <v>30.61</v>
      </c>
      <c r="H61" s="22">
        <v>1</v>
      </c>
      <c r="I61" s="22">
        <v>1.5305</v>
      </c>
      <c r="J61" s="23">
        <v>32.140500000000003</v>
      </c>
      <c r="K61" s="24" t="s">
        <v>1463</v>
      </c>
      <c r="L61" s="25">
        <v>0.51388888888888884</v>
      </c>
      <c r="M61" s="22" t="s">
        <v>1469</v>
      </c>
      <c r="N61" s="26">
        <v>30.61</v>
      </c>
      <c r="O61" s="27">
        <f t="shared" si="0"/>
        <v>4.761904762E-2</v>
      </c>
      <c r="P61" s="23">
        <v>1.5305</v>
      </c>
      <c r="Q61" s="28">
        <v>5.2</v>
      </c>
      <c r="Y61" s="5" t="s">
        <v>1482</v>
      </c>
      <c r="Z61" s="5">
        <v>2</v>
      </c>
    </row>
    <row r="62" spans="1:26" x14ac:dyDescent="0.35">
      <c r="A62" s="21" t="s">
        <v>1562</v>
      </c>
      <c r="B62" s="22" t="s">
        <v>1466</v>
      </c>
      <c r="C62" s="22" t="s">
        <v>1467</v>
      </c>
      <c r="D62" s="22" t="s">
        <v>1479</v>
      </c>
      <c r="E62" s="22" t="s">
        <v>27</v>
      </c>
      <c r="F62" s="22" t="s">
        <v>1486</v>
      </c>
      <c r="G62" s="22">
        <v>57.89</v>
      </c>
      <c r="H62" s="22">
        <v>2</v>
      </c>
      <c r="I62" s="22">
        <v>5.7889999999999997</v>
      </c>
      <c r="J62" s="23">
        <v>121.569</v>
      </c>
      <c r="K62" s="24" t="s">
        <v>1499</v>
      </c>
      <c r="L62" s="25">
        <v>0.44236111111111109</v>
      </c>
      <c r="M62" s="22" t="s">
        <v>1469</v>
      </c>
      <c r="N62" s="26">
        <v>115.78</v>
      </c>
      <c r="O62" s="27">
        <f t="shared" si="0"/>
        <v>4.761904762E-2</v>
      </c>
      <c r="P62" s="23">
        <v>5.7889999999999997</v>
      </c>
      <c r="Q62" s="28">
        <v>8.9</v>
      </c>
      <c r="Y62" s="5" t="s">
        <v>1462</v>
      </c>
      <c r="Z62" s="5">
        <v>1</v>
      </c>
    </row>
    <row r="63" spans="1:26" x14ac:dyDescent="0.35">
      <c r="A63" s="21" t="s">
        <v>1563</v>
      </c>
      <c r="B63" s="22" t="s">
        <v>1459</v>
      </c>
      <c r="C63" s="22" t="s">
        <v>1460</v>
      </c>
      <c r="D63" s="22" t="s">
        <v>1461</v>
      </c>
      <c r="E63" s="22" t="s">
        <v>19</v>
      </c>
      <c r="F63" s="22" t="s">
        <v>1462</v>
      </c>
      <c r="G63" s="22">
        <v>28.96</v>
      </c>
      <c r="H63" s="22">
        <v>1</v>
      </c>
      <c r="I63" s="22">
        <v>1.448</v>
      </c>
      <c r="J63" s="23">
        <v>30.408000000000001</v>
      </c>
      <c r="K63" s="24">
        <v>43648</v>
      </c>
      <c r="L63" s="25">
        <v>0.42916666666666664</v>
      </c>
      <c r="M63" s="22" t="s">
        <v>1477</v>
      </c>
      <c r="N63" s="26">
        <v>28.96</v>
      </c>
      <c r="O63" s="27">
        <f t="shared" si="0"/>
        <v>4.761904762E-2</v>
      </c>
      <c r="P63" s="23">
        <v>1.448</v>
      </c>
      <c r="Q63" s="28">
        <v>6.2</v>
      </c>
      <c r="Y63" s="5" t="s">
        <v>1468</v>
      </c>
      <c r="Z63" s="5">
        <v>1</v>
      </c>
    </row>
    <row r="64" spans="1:26" x14ac:dyDescent="0.35">
      <c r="A64" s="21" t="s">
        <v>1564</v>
      </c>
      <c r="B64" s="22" t="s">
        <v>1475</v>
      </c>
      <c r="C64" s="22" t="s">
        <v>1476</v>
      </c>
      <c r="D64" s="22" t="s">
        <v>1479</v>
      </c>
      <c r="E64" s="22" t="s">
        <v>19</v>
      </c>
      <c r="F64" s="22" t="s">
        <v>1486</v>
      </c>
      <c r="G64" s="22">
        <v>98.97</v>
      </c>
      <c r="H64" s="22">
        <v>9</v>
      </c>
      <c r="I64" s="22">
        <v>44.536499999999997</v>
      </c>
      <c r="J64" s="66">
        <v>935.26649999999995</v>
      </c>
      <c r="K64" s="24">
        <v>43711</v>
      </c>
      <c r="L64" s="25">
        <v>0.47430555555555554</v>
      </c>
      <c r="M64" s="22" t="s">
        <v>1464</v>
      </c>
      <c r="N64" s="26">
        <v>890.73</v>
      </c>
      <c r="O64" s="27">
        <f t="shared" si="0"/>
        <v>4.761904762E-2</v>
      </c>
      <c r="P64" s="23">
        <v>44.536499999999997</v>
      </c>
      <c r="Q64" s="28">
        <v>6.7</v>
      </c>
      <c r="Y64" s="5" t="s">
        <v>1486</v>
      </c>
      <c r="Z64" s="5">
        <v>10</v>
      </c>
    </row>
    <row r="65" spans="1:26" x14ac:dyDescent="0.35">
      <c r="A65" s="21" t="s">
        <v>1565</v>
      </c>
      <c r="B65" s="22" t="s">
        <v>1466</v>
      </c>
      <c r="C65" s="22" t="s">
        <v>1467</v>
      </c>
      <c r="D65" s="22" t="s">
        <v>1479</v>
      </c>
      <c r="E65" s="22" t="s">
        <v>27</v>
      </c>
      <c r="F65" s="22" t="s">
        <v>1468</v>
      </c>
      <c r="G65" s="22">
        <v>93.22</v>
      </c>
      <c r="H65" s="22">
        <v>3</v>
      </c>
      <c r="I65" s="22">
        <v>13.983000000000001</v>
      </c>
      <c r="J65" s="23">
        <v>293.64299999999997</v>
      </c>
      <c r="K65" s="24" t="s">
        <v>1566</v>
      </c>
      <c r="L65" s="25">
        <v>0.48958333333333331</v>
      </c>
      <c r="M65" s="22" t="s">
        <v>1464</v>
      </c>
      <c r="N65" s="26">
        <v>279.66000000000003</v>
      </c>
      <c r="O65" s="27">
        <f t="shared" si="0"/>
        <v>4.761904762E-2</v>
      </c>
      <c r="P65" s="23">
        <v>13.983000000000001</v>
      </c>
      <c r="Q65" s="28">
        <v>7.2</v>
      </c>
      <c r="Y65" s="5" t="s">
        <v>1501</v>
      </c>
      <c r="Z65" s="5">
        <v>6</v>
      </c>
    </row>
    <row r="66" spans="1:26" x14ac:dyDescent="0.35">
      <c r="A66" s="21" t="s">
        <v>1567</v>
      </c>
      <c r="B66" s="22" t="s">
        <v>1475</v>
      </c>
      <c r="C66" s="22" t="s">
        <v>1476</v>
      </c>
      <c r="D66" s="22" t="s">
        <v>1479</v>
      </c>
      <c r="E66" s="22" t="s">
        <v>27</v>
      </c>
      <c r="F66" s="22" t="s">
        <v>1501</v>
      </c>
      <c r="G66" s="22">
        <v>80.930000000000007</v>
      </c>
      <c r="H66" s="22">
        <v>1</v>
      </c>
      <c r="I66" s="22">
        <v>4.0465</v>
      </c>
      <c r="J66" s="23">
        <v>84.976500000000001</v>
      </c>
      <c r="K66" s="24" t="s">
        <v>1528</v>
      </c>
      <c r="L66" s="25">
        <v>0.67222222222222228</v>
      </c>
      <c r="M66" s="22" t="s">
        <v>1477</v>
      </c>
      <c r="N66" s="26">
        <v>80.930000000000007</v>
      </c>
      <c r="O66" s="27">
        <f t="shared" ref="O66:O129" si="1">4.761904762/100</f>
        <v>4.761904762E-2</v>
      </c>
      <c r="P66" s="23">
        <v>4.0465</v>
      </c>
      <c r="Q66" s="28">
        <v>9</v>
      </c>
      <c r="Y66" s="5" t="s">
        <v>1468</v>
      </c>
      <c r="Z66" s="5">
        <v>7</v>
      </c>
    </row>
    <row r="67" spans="1:26" x14ac:dyDescent="0.35">
      <c r="A67" s="21" t="s">
        <v>1568</v>
      </c>
      <c r="B67" s="22" t="s">
        <v>1459</v>
      </c>
      <c r="C67" s="22" t="s">
        <v>1460</v>
      </c>
      <c r="D67" s="22" t="s">
        <v>1479</v>
      </c>
      <c r="E67" s="22" t="s">
        <v>27</v>
      </c>
      <c r="F67" s="22" t="s">
        <v>1486</v>
      </c>
      <c r="G67" s="22">
        <v>67.45</v>
      </c>
      <c r="H67" s="22">
        <v>10</v>
      </c>
      <c r="I67" s="22">
        <v>33.725000000000001</v>
      </c>
      <c r="J67" s="66">
        <v>708.22500000000002</v>
      </c>
      <c r="K67" s="24">
        <v>43526</v>
      </c>
      <c r="L67" s="25">
        <v>0.47569444444444442</v>
      </c>
      <c r="M67" s="22" t="s">
        <v>1469</v>
      </c>
      <c r="N67" s="26">
        <v>674.5</v>
      </c>
      <c r="O67" s="27">
        <f t="shared" si="1"/>
        <v>4.761904762E-2</v>
      </c>
      <c r="P67" s="23">
        <v>33.725000000000001</v>
      </c>
      <c r="Q67" s="28">
        <v>4.2</v>
      </c>
      <c r="Y67" s="5" t="s">
        <v>1482</v>
      </c>
      <c r="Z67" s="5">
        <v>4</v>
      </c>
    </row>
    <row r="68" spans="1:26" x14ac:dyDescent="0.35">
      <c r="A68" s="21" t="s">
        <v>1569</v>
      </c>
      <c r="B68" s="22" t="s">
        <v>1459</v>
      </c>
      <c r="C68" s="22" t="s">
        <v>1460</v>
      </c>
      <c r="D68" s="22" t="s">
        <v>1479</v>
      </c>
      <c r="E68" s="22" t="s">
        <v>19</v>
      </c>
      <c r="F68" s="22" t="s">
        <v>1501</v>
      </c>
      <c r="G68" s="22">
        <v>38.72</v>
      </c>
      <c r="H68" s="22">
        <v>9</v>
      </c>
      <c r="I68" s="22">
        <v>17.423999999999999</v>
      </c>
      <c r="J68" s="23">
        <v>365.904</v>
      </c>
      <c r="K68" s="24" t="s">
        <v>1496</v>
      </c>
      <c r="L68" s="25">
        <v>0.51666666666666672</v>
      </c>
      <c r="M68" s="22" t="s">
        <v>1469</v>
      </c>
      <c r="N68" s="26">
        <v>348.48</v>
      </c>
      <c r="O68" s="27">
        <f t="shared" si="1"/>
        <v>4.761904762E-2</v>
      </c>
      <c r="P68" s="23">
        <v>17.423999999999999</v>
      </c>
      <c r="Q68" s="28">
        <v>4.2</v>
      </c>
      <c r="Y68" s="5" t="s">
        <v>1468</v>
      </c>
      <c r="Z68" s="5">
        <v>7</v>
      </c>
    </row>
    <row r="69" spans="1:26" x14ac:dyDescent="0.35">
      <c r="A69" s="21" t="s">
        <v>1570</v>
      </c>
      <c r="B69" s="22" t="s">
        <v>1466</v>
      </c>
      <c r="C69" s="22" t="s">
        <v>1467</v>
      </c>
      <c r="D69" s="22" t="s">
        <v>1479</v>
      </c>
      <c r="E69" s="22" t="s">
        <v>27</v>
      </c>
      <c r="F69" s="22" t="s">
        <v>1501</v>
      </c>
      <c r="G69" s="22">
        <v>72.599999999999994</v>
      </c>
      <c r="H69" s="22">
        <v>6</v>
      </c>
      <c r="I69" s="22">
        <v>21.78</v>
      </c>
      <c r="J69" s="23">
        <v>457.38</v>
      </c>
      <c r="K69" s="24" t="s">
        <v>1511</v>
      </c>
      <c r="L69" s="25">
        <v>0.82708333333333328</v>
      </c>
      <c r="M69" s="22" t="s">
        <v>1464</v>
      </c>
      <c r="N69" s="26">
        <v>435.6</v>
      </c>
      <c r="O69" s="27">
        <f t="shared" si="1"/>
        <v>4.761904762E-2</v>
      </c>
      <c r="P69" s="23">
        <v>21.78</v>
      </c>
      <c r="Q69" s="28">
        <v>6.9</v>
      </c>
      <c r="Y69" s="5" t="s">
        <v>1486</v>
      </c>
      <c r="Z69" s="5">
        <v>4</v>
      </c>
    </row>
    <row r="70" spans="1:26" x14ac:dyDescent="0.35">
      <c r="A70" s="21" t="s">
        <v>1571</v>
      </c>
      <c r="B70" s="22" t="s">
        <v>1475</v>
      </c>
      <c r="C70" s="22" t="s">
        <v>1476</v>
      </c>
      <c r="D70" s="22" t="s">
        <v>1479</v>
      </c>
      <c r="E70" s="22" t="s">
        <v>27</v>
      </c>
      <c r="F70" s="22" t="s">
        <v>1462</v>
      </c>
      <c r="G70" s="22">
        <v>87.91</v>
      </c>
      <c r="H70" s="22">
        <v>5</v>
      </c>
      <c r="I70" s="22">
        <v>21.977499999999999</v>
      </c>
      <c r="J70" s="23">
        <v>461.52749999999997</v>
      </c>
      <c r="K70" s="24" t="s">
        <v>1492</v>
      </c>
      <c r="L70" s="25">
        <v>0.75694444444444442</v>
      </c>
      <c r="M70" s="22" t="s">
        <v>1469</v>
      </c>
      <c r="N70" s="26">
        <v>439.55</v>
      </c>
      <c r="O70" s="27">
        <f t="shared" si="1"/>
        <v>4.761904762E-2</v>
      </c>
      <c r="P70" s="23">
        <v>21.977499999999999</v>
      </c>
      <c r="Q70" s="28">
        <v>4.4000000000000004</v>
      </c>
      <c r="Y70" s="5" t="s">
        <v>1468</v>
      </c>
      <c r="Z70" s="5">
        <v>1</v>
      </c>
    </row>
    <row r="71" spans="1:26" x14ac:dyDescent="0.35">
      <c r="A71" s="21" t="s">
        <v>1572</v>
      </c>
      <c r="B71" s="22" t="s">
        <v>1459</v>
      </c>
      <c r="C71" s="22" t="s">
        <v>1460</v>
      </c>
      <c r="D71" s="22" t="s">
        <v>1479</v>
      </c>
      <c r="E71" s="22" t="s">
        <v>27</v>
      </c>
      <c r="F71" s="22" t="s">
        <v>1486</v>
      </c>
      <c r="G71" s="22">
        <v>98.53</v>
      </c>
      <c r="H71" s="22">
        <v>6</v>
      </c>
      <c r="I71" s="22">
        <v>29.559000000000001</v>
      </c>
      <c r="J71" s="66">
        <v>620.73900000000003</v>
      </c>
      <c r="K71" s="24" t="s">
        <v>1463</v>
      </c>
      <c r="L71" s="25">
        <v>0.47361111111111109</v>
      </c>
      <c r="M71" s="22" t="s">
        <v>1477</v>
      </c>
      <c r="N71" s="26">
        <v>591.17999999999995</v>
      </c>
      <c r="O71" s="27">
        <f t="shared" si="1"/>
        <v>4.761904762E-2</v>
      </c>
      <c r="P71" s="23">
        <v>29.559000000000001</v>
      </c>
      <c r="Q71" s="28">
        <v>4</v>
      </c>
      <c r="Y71" s="5" t="s">
        <v>1486</v>
      </c>
      <c r="Z71" s="5">
        <v>2</v>
      </c>
    </row>
    <row r="72" spans="1:26" x14ac:dyDescent="0.35">
      <c r="A72" s="21" t="s">
        <v>1573</v>
      </c>
      <c r="B72" s="22" t="s">
        <v>1475</v>
      </c>
      <c r="C72" s="22" t="s">
        <v>1476</v>
      </c>
      <c r="D72" s="22" t="s">
        <v>1479</v>
      </c>
      <c r="E72" s="22" t="s">
        <v>19</v>
      </c>
      <c r="F72" s="22" t="s">
        <v>1468</v>
      </c>
      <c r="G72" s="22">
        <v>43.46</v>
      </c>
      <c r="H72" s="22">
        <v>6</v>
      </c>
      <c r="I72" s="22">
        <v>13.038</v>
      </c>
      <c r="J72" s="23">
        <v>273.798</v>
      </c>
      <c r="K72" s="24">
        <v>43648</v>
      </c>
      <c r="L72" s="25">
        <v>0.74652777777777779</v>
      </c>
      <c r="M72" s="22" t="s">
        <v>1469</v>
      </c>
      <c r="N72" s="26">
        <v>260.76</v>
      </c>
      <c r="O72" s="27">
        <f t="shared" si="1"/>
        <v>4.761904762E-2</v>
      </c>
      <c r="P72" s="23">
        <v>13.038</v>
      </c>
      <c r="Q72" s="28">
        <v>8.5</v>
      </c>
      <c r="Y72" s="5" t="s">
        <v>1462</v>
      </c>
      <c r="Z72" s="5">
        <v>1</v>
      </c>
    </row>
    <row r="73" spans="1:26" x14ac:dyDescent="0.35">
      <c r="A73" s="21" t="s">
        <v>1574</v>
      </c>
      <c r="B73" s="22" t="s">
        <v>1459</v>
      </c>
      <c r="C73" s="22" t="s">
        <v>1460</v>
      </c>
      <c r="D73" s="22" t="s">
        <v>1461</v>
      </c>
      <c r="E73" s="22" t="s">
        <v>19</v>
      </c>
      <c r="F73" s="22" t="s">
        <v>1486</v>
      </c>
      <c r="G73" s="22">
        <v>71.680000000000007</v>
      </c>
      <c r="H73" s="22">
        <v>3</v>
      </c>
      <c r="I73" s="22">
        <v>10.752000000000001</v>
      </c>
      <c r="J73" s="23">
        <v>225.792</v>
      </c>
      <c r="K73" s="24" t="s">
        <v>1560</v>
      </c>
      <c r="L73" s="25">
        <v>0.64583333333333337</v>
      </c>
      <c r="M73" s="22" t="s">
        <v>1477</v>
      </c>
      <c r="N73" s="26">
        <v>215.04</v>
      </c>
      <c r="O73" s="27">
        <f t="shared" si="1"/>
        <v>4.761904762E-2</v>
      </c>
      <c r="P73" s="23">
        <v>10.752000000000001</v>
      </c>
      <c r="Q73" s="28">
        <v>9.1999999999999993</v>
      </c>
      <c r="Y73" s="5" t="s">
        <v>1486</v>
      </c>
      <c r="Z73" s="5">
        <v>9</v>
      </c>
    </row>
    <row r="74" spans="1:26" x14ac:dyDescent="0.35">
      <c r="A74" s="21" t="s">
        <v>1575</v>
      </c>
      <c r="B74" s="22" t="s">
        <v>1459</v>
      </c>
      <c r="C74" s="22" t="s">
        <v>1460</v>
      </c>
      <c r="D74" s="22" t="s">
        <v>1479</v>
      </c>
      <c r="E74" s="22" t="s">
        <v>19</v>
      </c>
      <c r="F74" s="22" t="s">
        <v>1486</v>
      </c>
      <c r="G74" s="22">
        <v>91.61</v>
      </c>
      <c r="H74" s="22">
        <v>1</v>
      </c>
      <c r="I74" s="22">
        <v>4.5804999999999998</v>
      </c>
      <c r="J74" s="23">
        <v>96.1905</v>
      </c>
      <c r="K74" s="24" t="s">
        <v>1496</v>
      </c>
      <c r="L74" s="25">
        <v>0.82222222222222219</v>
      </c>
      <c r="M74" s="22" t="s">
        <v>1464</v>
      </c>
      <c r="N74" s="26">
        <v>91.61</v>
      </c>
      <c r="O74" s="27">
        <f t="shared" si="1"/>
        <v>4.761904762E-2</v>
      </c>
      <c r="P74" s="23">
        <v>4.5804999999999998</v>
      </c>
      <c r="Q74" s="28">
        <v>9.8000000000000007</v>
      </c>
      <c r="Y74" s="5" t="s">
        <v>1468</v>
      </c>
      <c r="Z74" s="5">
        <v>3</v>
      </c>
    </row>
    <row r="75" spans="1:26" x14ac:dyDescent="0.35">
      <c r="A75" s="21" t="s">
        <v>1576</v>
      </c>
      <c r="B75" s="22" t="s">
        <v>1466</v>
      </c>
      <c r="C75" s="22" t="s">
        <v>1467</v>
      </c>
      <c r="D75" s="22" t="s">
        <v>1479</v>
      </c>
      <c r="E75" s="22" t="s">
        <v>19</v>
      </c>
      <c r="F75" s="22" t="s">
        <v>1482</v>
      </c>
      <c r="G75" s="22">
        <v>94.59</v>
      </c>
      <c r="H75" s="22">
        <v>7</v>
      </c>
      <c r="I75" s="22">
        <v>33.106499999999997</v>
      </c>
      <c r="J75" s="66">
        <v>695.23649999999998</v>
      </c>
      <c r="K75" s="24" t="s">
        <v>1499</v>
      </c>
      <c r="L75" s="25">
        <v>0.64375000000000004</v>
      </c>
      <c r="M75" s="22" t="s">
        <v>1477</v>
      </c>
      <c r="N75" s="26">
        <v>662.13</v>
      </c>
      <c r="O75" s="27">
        <f t="shared" si="1"/>
        <v>4.761904762E-2</v>
      </c>
      <c r="P75" s="23">
        <v>33.106499999999997</v>
      </c>
      <c r="Q75" s="28">
        <v>4.9000000000000004</v>
      </c>
      <c r="Y75" s="5" t="s">
        <v>1501</v>
      </c>
      <c r="Z75" s="5">
        <v>1</v>
      </c>
    </row>
    <row r="76" spans="1:26" x14ac:dyDescent="0.35">
      <c r="A76" s="21" t="s">
        <v>1577</v>
      </c>
      <c r="B76" s="22" t="s">
        <v>1466</v>
      </c>
      <c r="C76" s="22" t="s">
        <v>1467</v>
      </c>
      <c r="D76" s="22" t="s">
        <v>1461</v>
      </c>
      <c r="E76" s="22" t="s">
        <v>19</v>
      </c>
      <c r="F76" s="22" t="s">
        <v>1468</v>
      </c>
      <c r="G76" s="22">
        <v>83.25</v>
      </c>
      <c r="H76" s="22">
        <v>10</v>
      </c>
      <c r="I76" s="22">
        <v>41.625</v>
      </c>
      <c r="J76" s="66">
        <v>874.125</v>
      </c>
      <c r="K76" s="24">
        <v>43800</v>
      </c>
      <c r="L76" s="25">
        <v>0.47569444444444442</v>
      </c>
      <c r="M76" s="22" t="s">
        <v>1477</v>
      </c>
      <c r="N76" s="26">
        <v>832.5</v>
      </c>
      <c r="O76" s="27">
        <f t="shared" si="1"/>
        <v>4.761904762E-2</v>
      </c>
      <c r="P76" s="23">
        <v>41.625</v>
      </c>
      <c r="Q76" s="28">
        <v>4.4000000000000004</v>
      </c>
      <c r="Y76" s="5" t="s">
        <v>1486</v>
      </c>
      <c r="Z76" s="5">
        <v>10</v>
      </c>
    </row>
    <row r="77" spans="1:26" x14ac:dyDescent="0.35">
      <c r="A77" s="21" t="s">
        <v>1578</v>
      </c>
      <c r="B77" s="22" t="s">
        <v>1466</v>
      </c>
      <c r="C77" s="22" t="s">
        <v>1467</v>
      </c>
      <c r="D77" s="22" t="s">
        <v>1479</v>
      </c>
      <c r="E77" s="22" t="s">
        <v>27</v>
      </c>
      <c r="F77" s="22" t="s">
        <v>1468</v>
      </c>
      <c r="G77" s="22">
        <v>91.35</v>
      </c>
      <c r="H77" s="22">
        <v>1</v>
      </c>
      <c r="I77" s="22">
        <v>4.5674999999999999</v>
      </c>
      <c r="J77" s="23">
        <v>95.917500000000004</v>
      </c>
      <c r="K77" s="24" t="s">
        <v>1579</v>
      </c>
      <c r="L77" s="25">
        <v>0.65416666666666667</v>
      </c>
      <c r="M77" s="22" t="s">
        <v>1464</v>
      </c>
      <c r="N77" s="26">
        <v>91.35</v>
      </c>
      <c r="O77" s="27">
        <f t="shared" si="1"/>
        <v>4.761904762E-2</v>
      </c>
      <c r="P77" s="23">
        <v>4.5674999999999999</v>
      </c>
      <c r="Q77" s="28">
        <v>6.8</v>
      </c>
      <c r="Y77" s="5" t="s">
        <v>1501</v>
      </c>
      <c r="Z77" s="5">
        <v>9</v>
      </c>
    </row>
    <row r="78" spans="1:26" x14ac:dyDescent="0.35">
      <c r="A78" s="21" t="s">
        <v>1580</v>
      </c>
      <c r="B78" s="22" t="s">
        <v>1466</v>
      </c>
      <c r="C78" s="22" t="s">
        <v>1467</v>
      </c>
      <c r="D78" s="22" t="s">
        <v>1479</v>
      </c>
      <c r="E78" s="22" t="s">
        <v>19</v>
      </c>
      <c r="F78" s="22" t="s">
        <v>1486</v>
      </c>
      <c r="G78" s="22">
        <v>78.88</v>
      </c>
      <c r="H78" s="22">
        <v>2</v>
      </c>
      <c r="I78" s="22">
        <v>7.8879999999999999</v>
      </c>
      <c r="J78" s="23">
        <v>165.648</v>
      </c>
      <c r="K78" s="24" t="s">
        <v>1548</v>
      </c>
      <c r="L78" s="25">
        <v>0.6694444444444444</v>
      </c>
      <c r="M78" s="22" t="s">
        <v>1464</v>
      </c>
      <c r="N78" s="26">
        <v>157.76</v>
      </c>
      <c r="O78" s="27">
        <f t="shared" si="1"/>
        <v>4.761904762E-2</v>
      </c>
      <c r="P78" s="23">
        <v>7.8879999999999999</v>
      </c>
      <c r="Q78" s="28">
        <v>9.1</v>
      </c>
      <c r="Y78" s="5" t="s">
        <v>1501</v>
      </c>
      <c r="Z78" s="5">
        <v>6</v>
      </c>
    </row>
    <row r="79" spans="1:26" x14ac:dyDescent="0.35">
      <c r="A79" s="21" t="s">
        <v>1581</v>
      </c>
      <c r="B79" s="22" t="s">
        <v>1459</v>
      </c>
      <c r="C79" s="22" t="s">
        <v>1460</v>
      </c>
      <c r="D79" s="22" t="s">
        <v>1461</v>
      </c>
      <c r="E79" s="22" t="s">
        <v>27</v>
      </c>
      <c r="F79" s="22" t="s">
        <v>1501</v>
      </c>
      <c r="G79" s="22">
        <v>60.87</v>
      </c>
      <c r="H79" s="22">
        <v>2</v>
      </c>
      <c r="I79" s="22">
        <v>6.0869999999999997</v>
      </c>
      <c r="J79" s="23">
        <v>127.827</v>
      </c>
      <c r="K79" s="24">
        <v>43711</v>
      </c>
      <c r="L79" s="25">
        <v>0.52569444444444446</v>
      </c>
      <c r="M79" s="22" t="s">
        <v>1469</v>
      </c>
      <c r="N79" s="26">
        <v>121.74</v>
      </c>
      <c r="O79" s="27">
        <f t="shared" si="1"/>
        <v>4.761904762E-2</v>
      </c>
      <c r="P79" s="23">
        <v>6.0869999999999997</v>
      </c>
      <c r="Q79" s="28">
        <v>8.6999999999999993</v>
      </c>
      <c r="Y79" s="5" t="s">
        <v>1462</v>
      </c>
      <c r="Z79" s="5">
        <v>5</v>
      </c>
    </row>
    <row r="80" spans="1:26" x14ac:dyDescent="0.35">
      <c r="A80" s="21" t="s">
        <v>1582</v>
      </c>
      <c r="B80" s="22" t="s">
        <v>1466</v>
      </c>
      <c r="C80" s="22" t="s">
        <v>1467</v>
      </c>
      <c r="D80" s="22" t="s">
        <v>1479</v>
      </c>
      <c r="E80" s="22" t="s">
        <v>27</v>
      </c>
      <c r="F80" s="22" t="s">
        <v>1473</v>
      </c>
      <c r="G80" s="22">
        <v>82.58</v>
      </c>
      <c r="H80" s="22">
        <v>10</v>
      </c>
      <c r="I80" s="22">
        <v>41.29</v>
      </c>
      <c r="J80" s="66">
        <v>867.09</v>
      </c>
      <c r="K80" s="24" t="s">
        <v>1492</v>
      </c>
      <c r="L80" s="25">
        <v>0.6118055555555556</v>
      </c>
      <c r="M80" s="22" t="s">
        <v>1464</v>
      </c>
      <c r="N80" s="26">
        <v>825.8</v>
      </c>
      <c r="O80" s="27">
        <f t="shared" si="1"/>
        <v>4.761904762E-2</v>
      </c>
      <c r="P80" s="23">
        <v>41.29</v>
      </c>
      <c r="Q80" s="28">
        <v>5</v>
      </c>
      <c r="Y80" s="5" t="s">
        <v>1486</v>
      </c>
      <c r="Z80" s="5">
        <v>6</v>
      </c>
    </row>
    <row r="81" spans="1:26" x14ac:dyDescent="0.35">
      <c r="A81" s="21" t="s">
        <v>1583</v>
      </c>
      <c r="B81" s="22" t="s">
        <v>1459</v>
      </c>
      <c r="C81" s="22" t="s">
        <v>1460</v>
      </c>
      <c r="D81" s="22" t="s">
        <v>1479</v>
      </c>
      <c r="E81" s="22" t="s">
        <v>27</v>
      </c>
      <c r="F81" s="22" t="s">
        <v>1482</v>
      </c>
      <c r="G81" s="22">
        <v>53.3</v>
      </c>
      <c r="H81" s="22">
        <v>3</v>
      </c>
      <c r="I81" s="22">
        <v>7.9950000000000001</v>
      </c>
      <c r="J81" s="23">
        <v>167.89500000000001</v>
      </c>
      <c r="K81" s="24" t="s">
        <v>1584</v>
      </c>
      <c r="L81" s="25">
        <v>0.59652777777777777</v>
      </c>
      <c r="M81" s="22" t="s">
        <v>1469</v>
      </c>
      <c r="N81" s="26">
        <v>159.9</v>
      </c>
      <c r="O81" s="27">
        <f t="shared" si="1"/>
        <v>4.761904762E-2</v>
      </c>
      <c r="P81" s="23">
        <v>7.9950000000000001</v>
      </c>
      <c r="Q81" s="28">
        <v>7.5</v>
      </c>
      <c r="Y81" s="5" t="s">
        <v>1468</v>
      </c>
      <c r="Z81" s="5">
        <v>6</v>
      </c>
    </row>
    <row r="82" spans="1:26" x14ac:dyDescent="0.35">
      <c r="A82" s="21" t="s">
        <v>1585</v>
      </c>
      <c r="B82" s="22" t="s">
        <v>1459</v>
      </c>
      <c r="C82" s="22" t="s">
        <v>1460</v>
      </c>
      <c r="D82" s="22" t="s">
        <v>1461</v>
      </c>
      <c r="E82" s="22" t="s">
        <v>19</v>
      </c>
      <c r="F82" s="22" t="s">
        <v>1468</v>
      </c>
      <c r="G82" s="22">
        <v>12.09</v>
      </c>
      <c r="H82" s="22">
        <v>1</v>
      </c>
      <c r="I82" s="22">
        <v>0.60450000000000004</v>
      </c>
      <c r="J82" s="23">
        <v>12.6945</v>
      </c>
      <c r="K82" s="24" t="s">
        <v>1548</v>
      </c>
      <c r="L82" s="25">
        <v>0.7631944444444444</v>
      </c>
      <c r="M82" s="22" t="s">
        <v>1477</v>
      </c>
      <c r="N82" s="26">
        <v>12.09</v>
      </c>
      <c r="O82" s="27">
        <f t="shared" si="1"/>
        <v>4.761904762E-2</v>
      </c>
      <c r="P82" s="23">
        <v>0.60450000000000004</v>
      </c>
      <c r="Q82" s="28">
        <v>8.1999999999999993</v>
      </c>
      <c r="Y82" s="5" t="s">
        <v>1486</v>
      </c>
      <c r="Z82" s="5">
        <v>3</v>
      </c>
    </row>
    <row r="83" spans="1:26" x14ac:dyDescent="0.35">
      <c r="A83" s="21" t="s">
        <v>1586</v>
      </c>
      <c r="B83" s="22" t="s">
        <v>1459</v>
      </c>
      <c r="C83" s="22" t="s">
        <v>1460</v>
      </c>
      <c r="D83" s="22" t="s">
        <v>1461</v>
      </c>
      <c r="E83" s="22" t="s">
        <v>27</v>
      </c>
      <c r="F83" s="22" t="s">
        <v>1501</v>
      </c>
      <c r="G83" s="22">
        <v>64.19</v>
      </c>
      <c r="H83" s="22">
        <v>10</v>
      </c>
      <c r="I83" s="22">
        <v>32.094999999999999</v>
      </c>
      <c r="J83" s="66">
        <v>673.995</v>
      </c>
      <c r="K83" s="24" t="s">
        <v>1528</v>
      </c>
      <c r="L83" s="25">
        <v>0.58888888888888891</v>
      </c>
      <c r="M83" s="22" t="s">
        <v>1477</v>
      </c>
      <c r="N83" s="26">
        <v>641.9</v>
      </c>
      <c r="O83" s="27">
        <f t="shared" si="1"/>
        <v>4.761904762E-2</v>
      </c>
      <c r="P83" s="23">
        <v>32.094999999999999</v>
      </c>
      <c r="Q83" s="28">
        <v>6.7</v>
      </c>
      <c r="Y83" s="5" t="s">
        <v>1486</v>
      </c>
      <c r="Z83" s="5">
        <v>1</v>
      </c>
    </row>
    <row r="84" spans="1:26" x14ac:dyDescent="0.35">
      <c r="A84" s="21" t="s">
        <v>1587</v>
      </c>
      <c r="B84" s="22" t="s">
        <v>1459</v>
      </c>
      <c r="C84" s="22" t="s">
        <v>1460</v>
      </c>
      <c r="D84" s="22" t="s">
        <v>1461</v>
      </c>
      <c r="E84" s="22" t="s">
        <v>27</v>
      </c>
      <c r="F84" s="22" t="s">
        <v>1462</v>
      </c>
      <c r="G84" s="22">
        <v>78.31</v>
      </c>
      <c r="H84" s="22">
        <v>3</v>
      </c>
      <c r="I84" s="22">
        <v>11.746499999999999</v>
      </c>
      <c r="J84" s="23">
        <v>246.6765</v>
      </c>
      <c r="K84" s="24">
        <v>43588</v>
      </c>
      <c r="L84" s="25">
        <v>0.69305555555555554</v>
      </c>
      <c r="M84" s="22" t="s">
        <v>1469</v>
      </c>
      <c r="N84" s="26">
        <v>234.93</v>
      </c>
      <c r="O84" s="27">
        <f t="shared" si="1"/>
        <v>4.761904762E-2</v>
      </c>
      <c r="P84" s="23">
        <v>11.746499999999999</v>
      </c>
      <c r="Q84" s="28">
        <v>5.4</v>
      </c>
      <c r="Y84" s="5" t="s">
        <v>1482</v>
      </c>
      <c r="Z84" s="5">
        <v>7</v>
      </c>
    </row>
    <row r="85" spans="1:26" x14ac:dyDescent="0.35">
      <c r="A85" s="21" t="s">
        <v>1588</v>
      </c>
      <c r="B85" s="22" t="s">
        <v>1459</v>
      </c>
      <c r="C85" s="22" t="s">
        <v>1460</v>
      </c>
      <c r="D85" s="22" t="s">
        <v>1479</v>
      </c>
      <c r="E85" s="22" t="s">
        <v>27</v>
      </c>
      <c r="F85" s="22" t="s">
        <v>1486</v>
      </c>
      <c r="G85" s="22">
        <v>83.77</v>
      </c>
      <c r="H85" s="22">
        <v>2</v>
      </c>
      <c r="I85" s="22">
        <v>8.3770000000000007</v>
      </c>
      <c r="J85" s="23">
        <v>175.917</v>
      </c>
      <c r="K85" s="24" t="s">
        <v>1589</v>
      </c>
      <c r="L85" s="25">
        <v>0.45416666666666666</v>
      </c>
      <c r="M85" s="22" t="s">
        <v>1477</v>
      </c>
      <c r="N85" s="26">
        <v>167.54</v>
      </c>
      <c r="O85" s="27">
        <f t="shared" si="1"/>
        <v>4.761904762E-2</v>
      </c>
      <c r="P85" s="23">
        <v>8.3770000000000007</v>
      </c>
      <c r="Q85" s="28">
        <v>7</v>
      </c>
      <c r="Y85" s="5" t="s">
        <v>1468</v>
      </c>
      <c r="Z85" s="5">
        <v>10</v>
      </c>
    </row>
    <row r="86" spans="1:26" x14ac:dyDescent="0.35">
      <c r="A86" s="21" t="s">
        <v>1590</v>
      </c>
      <c r="B86" s="22" t="s">
        <v>1466</v>
      </c>
      <c r="C86" s="22" t="s">
        <v>1467</v>
      </c>
      <c r="D86" s="22" t="s">
        <v>1461</v>
      </c>
      <c r="E86" s="22" t="s">
        <v>27</v>
      </c>
      <c r="F86" s="22" t="s">
        <v>1482</v>
      </c>
      <c r="G86" s="22">
        <v>99.7</v>
      </c>
      <c r="H86" s="22">
        <v>3</v>
      </c>
      <c r="I86" s="22">
        <v>14.955</v>
      </c>
      <c r="J86" s="23">
        <v>314.05500000000001</v>
      </c>
      <c r="K86" s="24" t="s">
        <v>1591</v>
      </c>
      <c r="L86" s="25">
        <v>0.47847222222222224</v>
      </c>
      <c r="M86" s="22" t="s">
        <v>1469</v>
      </c>
      <c r="N86" s="26">
        <v>299.10000000000002</v>
      </c>
      <c r="O86" s="27">
        <f t="shared" si="1"/>
        <v>4.761904762E-2</v>
      </c>
      <c r="P86" s="23">
        <v>14.955</v>
      </c>
      <c r="Q86" s="28">
        <v>4.7</v>
      </c>
      <c r="Y86" s="5" t="s">
        <v>1468</v>
      </c>
      <c r="Z86" s="5">
        <v>1</v>
      </c>
    </row>
    <row r="87" spans="1:26" x14ac:dyDescent="0.35">
      <c r="A87" s="21" t="s">
        <v>1592</v>
      </c>
      <c r="B87" s="22" t="s">
        <v>1466</v>
      </c>
      <c r="C87" s="22" t="s">
        <v>1467</v>
      </c>
      <c r="D87" s="22" t="s">
        <v>1479</v>
      </c>
      <c r="E87" s="22" t="s">
        <v>27</v>
      </c>
      <c r="F87" s="22" t="s">
        <v>1486</v>
      </c>
      <c r="G87" s="22">
        <v>79.91</v>
      </c>
      <c r="H87" s="22">
        <v>3</v>
      </c>
      <c r="I87" s="22">
        <v>11.986499999999999</v>
      </c>
      <c r="J87" s="23">
        <v>251.7165</v>
      </c>
      <c r="K87" s="24" t="s">
        <v>1496</v>
      </c>
      <c r="L87" s="25">
        <v>0.81111111111111112</v>
      </c>
      <c r="M87" s="22" t="s">
        <v>1477</v>
      </c>
      <c r="N87" s="26">
        <v>239.73</v>
      </c>
      <c r="O87" s="27">
        <f t="shared" si="1"/>
        <v>4.761904762E-2</v>
      </c>
      <c r="P87" s="23">
        <v>11.986499999999999</v>
      </c>
      <c r="Q87" s="28">
        <v>5</v>
      </c>
      <c r="Y87" s="5" t="s">
        <v>1486</v>
      </c>
      <c r="Z87" s="5">
        <v>2</v>
      </c>
    </row>
    <row r="88" spans="1:26" x14ac:dyDescent="0.35">
      <c r="A88" s="21" t="s">
        <v>1593</v>
      </c>
      <c r="B88" s="22" t="s">
        <v>1466</v>
      </c>
      <c r="C88" s="22" t="s">
        <v>1467</v>
      </c>
      <c r="D88" s="22" t="s">
        <v>1479</v>
      </c>
      <c r="E88" s="22" t="s">
        <v>27</v>
      </c>
      <c r="F88" s="22" t="s">
        <v>1473</v>
      </c>
      <c r="G88" s="22">
        <v>66.47</v>
      </c>
      <c r="H88" s="22">
        <v>10</v>
      </c>
      <c r="I88" s="22">
        <v>33.234999999999999</v>
      </c>
      <c r="J88" s="66">
        <v>697.93499999999995</v>
      </c>
      <c r="K88" s="24" t="s">
        <v>1589</v>
      </c>
      <c r="L88" s="25">
        <v>0.62569444444444444</v>
      </c>
      <c r="M88" s="22" t="s">
        <v>1477</v>
      </c>
      <c r="N88" s="26">
        <v>664.7</v>
      </c>
      <c r="O88" s="27">
        <f t="shared" si="1"/>
        <v>4.761904762E-2</v>
      </c>
      <c r="P88" s="23">
        <v>33.234999999999999</v>
      </c>
      <c r="Q88" s="28">
        <v>5</v>
      </c>
      <c r="Y88" s="5" t="s">
        <v>1501</v>
      </c>
      <c r="Z88" s="5">
        <v>2</v>
      </c>
    </row>
    <row r="89" spans="1:26" x14ac:dyDescent="0.35">
      <c r="A89" s="21" t="s">
        <v>1594</v>
      </c>
      <c r="B89" s="22" t="s">
        <v>1459</v>
      </c>
      <c r="C89" s="22" t="s">
        <v>1460</v>
      </c>
      <c r="D89" s="22" t="s">
        <v>1461</v>
      </c>
      <c r="E89" s="22" t="s">
        <v>27</v>
      </c>
      <c r="F89" s="22" t="s">
        <v>1473</v>
      </c>
      <c r="G89" s="22">
        <v>28.95</v>
      </c>
      <c r="H89" s="22">
        <v>7</v>
      </c>
      <c r="I89" s="22">
        <v>10.1325</v>
      </c>
      <c r="J89" s="23">
        <v>212.7825</v>
      </c>
      <c r="K89" s="24">
        <v>43527</v>
      </c>
      <c r="L89" s="25">
        <v>0.85486111111111107</v>
      </c>
      <c r="M89" s="22" t="s">
        <v>1477</v>
      </c>
      <c r="N89" s="26">
        <v>202.65</v>
      </c>
      <c r="O89" s="27">
        <f t="shared" si="1"/>
        <v>4.761904762E-2</v>
      </c>
      <c r="P89" s="23">
        <v>10.1325</v>
      </c>
      <c r="Q89" s="28">
        <v>6</v>
      </c>
      <c r="Y89" s="5" t="s">
        <v>1473</v>
      </c>
      <c r="Z89" s="5">
        <v>10</v>
      </c>
    </row>
    <row r="90" spans="1:26" x14ac:dyDescent="0.35">
      <c r="A90" s="21" t="s">
        <v>1595</v>
      </c>
      <c r="B90" s="22" t="s">
        <v>1475</v>
      </c>
      <c r="C90" s="22" t="s">
        <v>1476</v>
      </c>
      <c r="D90" s="22" t="s">
        <v>1461</v>
      </c>
      <c r="E90" s="22" t="s">
        <v>19</v>
      </c>
      <c r="F90" s="22" t="s">
        <v>1462</v>
      </c>
      <c r="G90" s="22">
        <v>46.2</v>
      </c>
      <c r="H90" s="22">
        <v>1</v>
      </c>
      <c r="I90" s="22">
        <v>2.31</v>
      </c>
      <c r="J90" s="23">
        <v>48.51</v>
      </c>
      <c r="K90" s="24" t="s">
        <v>1596</v>
      </c>
      <c r="L90" s="25">
        <v>0.51111111111111107</v>
      </c>
      <c r="M90" s="22" t="s">
        <v>1464</v>
      </c>
      <c r="N90" s="26">
        <v>46.2</v>
      </c>
      <c r="O90" s="27">
        <f t="shared" si="1"/>
        <v>4.761904762E-2</v>
      </c>
      <c r="P90" s="23">
        <v>2.31</v>
      </c>
      <c r="Q90" s="28">
        <v>6.3</v>
      </c>
      <c r="Y90" s="5" t="s">
        <v>1482</v>
      </c>
      <c r="Z90" s="5">
        <v>3</v>
      </c>
    </row>
    <row r="91" spans="1:26" x14ac:dyDescent="0.35">
      <c r="A91" s="21" t="s">
        <v>1597</v>
      </c>
      <c r="B91" s="22" t="s">
        <v>1466</v>
      </c>
      <c r="C91" s="22" t="s">
        <v>1467</v>
      </c>
      <c r="D91" s="22" t="s">
        <v>1479</v>
      </c>
      <c r="E91" s="22" t="s">
        <v>19</v>
      </c>
      <c r="F91" s="22" t="s">
        <v>1486</v>
      </c>
      <c r="G91" s="22">
        <v>17.63</v>
      </c>
      <c r="H91" s="22">
        <v>5</v>
      </c>
      <c r="I91" s="22">
        <v>4.4074999999999998</v>
      </c>
      <c r="J91" s="23">
        <v>92.557500000000005</v>
      </c>
      <c r="K91" s="24">
        <v>43680</v>
      </c>
      <c r="L91" s="25">
        <v>0.64375000000000004</v>
      </c>
      <c r="M91" s="22" t="s">
        <v>1464</v>
      </c>
      <c r="N91" s="26">
        <v>88.15</v>
      </c>
      <c r="O91" s="27">
        <f t="shared" si="1"/>
        <v>4.761904762E-2</v>
      </c>
      <c r="P91" s="23">
        <v>4.4074999999999998</v>
      </c>
      <c r="Q91" s="28">
        <v>8.5</v>
      </c>
      <c r="Y91" s="5" t="s">
        <v>1468</v>
      </c>
      <c r="Z91" s="5">
        <v>1</v>
      </c>
    </row>
    <row r="92" spans="1:26" x14ac:dyDescent="0.35">
      <c r="A92" s="21" t="s">
        <v>1598</v>
      </c>
      <c r="B92" s="22" t="s">
        <v>1466</v>
      </c>
      <c r="C92" s="22" t="s">
        <v>1467</v>
      </c>
      <c r="D92" s="22" t="s">
        <v>1461</v>
      </c>
      <c r="E92" s="22" t="s">
        <v>27</v>
      </c>
      <c r="F92" s="22" t="s">
        <v>1468</v>
      </c>
      <c r="G92" s="22">
        <v>52.42</v>
      </c>
      <c r="H92" s="22">
        <v>3</v>
      </c>
      <c r="I92" s="22">
        <v>7.8630000000000004</v>
      </c>
      <c r="J92" s="23">
        <v>165.12299999999999</v>
      </c>
      <c r="K92" s="24" t="s">
        <v>1599</v>
      </c>
      <c r="L92" s="25">
        <v>0.73333333333333328</v>
      </c>
      <c r="M92" s="22" t="s">
        <v>1469</v>
      </c>
      <c r="N92" s="26">
        <v>157.26</v>
      </c>
      <c r="O92" s="27">
        <f t="shared" si="1"/>
        <v>4.761904762E-2</v>
      </c>
      <c r="P92" s="23">
        <v>7.8630000000000004</v>
      </c>
      <c r="Q92" s="28">
        <v>7.5</v>
      </c>
      <c r="Y92" s="5" t="s">
        <v>1501</v>
      </c>
      <c r="Z92" s="5">
        <v>10</v>
      </c>
    </row>
    <row r="93" spans="1:26" x14ac:dyDescent="0.35">
      <c r="A93" s="21" t="s">
        <v>1600</v>
      </c>
      <c r="B93" s="22" t="s">
        <v>1466</v>
      </c>
      <c r="C93" s="22" t="s">
        <v>1467</v>
      </c>
      <c r="D93" s="22" t="s">
        <v>1479</v>
      </c>
      <c r="E93" s="22" t="s">
        <v>19</v>
      </c>
      <c r="F93" s="22" t="s">
        <v>1486</v>
      </c>
      <c r="G93" s="22">
        <v>98.79</v>
      </c>
      <c r="H93" s="22">
        <v>3</v>
      </c>
      <c r="I93" s="22">
        <v>14.8185</v>
      </c>
      <c r="J93" s="23">
        <v>311.18849999999998</v>
      </c>
      <c r="K93" s="24" t="s">
        <v>1601</v>
      </c>
      <c r="L93" s="25">
        <v>0.83333333333333337</v>
      </c>
      <c r="M93" s="22" t="s">
        <v>1469</v>
      </c>
      <c r="N93" s="26">
        <v>296.37</v>
      </c>
      <c r="O93" s="27">
        <f t="shared" si="1"/>
        <v>4.761904762E-2</v>
      </c>
      <c r="P93" s="23">
        <v>14.8185</v>
      </c>
      <c r="Q93" s="28">
        <v>6.4</v>
      </c>
      <c r="Y93" s="5" t="s">
        <v>1462</v>
      </c>
      <c r="Z93" s="5">
        <v>3</v>
      </c>
    </row>
    <row r="94" spans="1:26" x14ac:dyDescent="0.35">
      <c r="A94" s="21" t="s">
        <v>1602</v>
      </c>
      <c r="B94" s="22" t="s">
        <v>1475</v>
      </c>
      <c r="C94" s="22" t="s">
        <v>1476</v>
      </c>
      <c r="D94" s="22" t="s">
        <v>1479</v>
      </c>
      <c r="E94" s="22" t="s">
        <v>19</v>
      </c>
      <c r="F94" s="22" t="s">
        <v>1462</v>
      </c>
      <c r="G94" s="22">
        <v>88.55</v>
      </c>
      <c r="H94" s="22">
        <v>8</v>
      </c>
      <c r="I94" s="22">
        <v>35.42</v>
      </c>
      <c r="J94" s="66">
        <v>743.82</v>
      </c>
      <c r="K94" s="24" t="s">
        <v>1596</v>
      </c>
      <c r="L94" s="25">
        <v>0.64513888888888893</v>
      </c>
      <c r="M94" s="22" t="s">
        <v>1469</v>
      </c>
      <c r="N94" s="26">
        <v>708.4</v>
      </c>
      <c r="O94" s="27">
        <f t="shared" si="1"/>
        <v>4.761904762E-2</v>
      </c>
      <c r="P94" s="23">
        <v>35.42</v>
      </c>
      <c r="Q94" s="28">
        <v>4.7</v>
      </c>
      <c r="Y94" s="5" t="s">
        <v>1486</v>
      </c>
      <c r="Z94" s="5">
        <v>2</v>
      </c>
    </row>
    <row r="95" spans="1:26" x14ac:dyDescent="0.35">
      <c r="A95" s="21" t="s">
        <v>1603</v>
      </c>
      <c r="B95" s="22" t="s">
        <v>1466</v>
      </c>
      <c r="C95" s="22" t="s">
        <v>1467</v>
      </c>
      <c r="D95" s="22" t="s">
        <v>1479</v>
      </c>
      <c r="E95" s="22" t="s">
        <v>27</v>
      </c>
      <c r="F95" s="22" t="s">
        <v>1462</v>
      </c>
      <c r="G95" s="22">
        <v>55.67</v>
      </c>
      <c r="H95" s="22">
        <v>2</v>
      </c>
      <c r="I95" s="22">
        <v>5.5670000000000002</v>
      </c>
      <c r="J95" s="23">
        <v>116.907</v>
      </c>
      <c r="K95" s="24" t="s">
        <v>1531</v>
      </c>
      <c r="L95" s="25">
        <v>0.63055555555555554</v>
      </c>
      <c r="M95" s="22" t="s">
        <v>1469</v>
      </c>
      <c r="N95" s="26">
        <v>111.34</v>
      </c>
      <c r="O95" s="27">
        <f t="shared" si="1"/>
        <v>4.761904762E-2</v>
      </c>
      <c r="P95" s="23">
        <v>5.5670000000000002</v>
      </c>
      <c r="Q95" s="28">
        <v>6</v>
      </c>
      <c r="Y95" s="5" t="s">
        <v>1482</v>
      </c>
      <c r="Z95" s="5">
        <v>3</v>
      </c>
    </row>
    <row r="96" spans="1:26" x14ac:dyDescent="0.35">
      <c r="A96" s="21" t="s">
        <v>1604</v>
      </c>
      <c r="B96" s="22" t="s">
        <v>1475</v>
      </c>
      <c r="C96" s="22" t="s">
        <v>1476</v>
      </c>
      <c r="D96" s="22" t="s">
        <v>1479</v>
      </c>
      <c r="E96" s="22" t="s">
        <v>19</v>
      </c>
      <c r="F96" s="22" t="s">
        <v>1486</v>
      </c>
      <c r="G96" s="22">
        <v>72.52</v>
      </c>
      <c r="H96" s="22">
        <v>8</v>
      </c>
      <c r="I96" s="22">
        <v>29.007999999999999</v>
      </c>
      <c r="J96" s="66">
        <v>609.16800000000001</v>
      </c>
      <c r="K96" s="24" t="s">
        <v>1605</v>
      </c>
      <c r="L96" s="25">
        <v>0.80972222222222223</v>
      </c>
      <c r="M96" s="22" t="s">
        <v>1477</v>
      </c>
      <c r="N96" s="26">
        <v>580.16</v>
      </c>
      <c r="O96" s="27">
        <f t="shared" si="1"/>
        <v>4.761904762E-2</v>
      </c>
      <c r="P96" s="23">
        <v>29.007999999999999</v>
      </c>
      <c r="Q96" s="28">
        <v>4</v>
      </c>
      <c r="Y96" s="5" t="s">
        <v>1486</v>
      </c>
      <c r="Z96" s="5">
        <v>3</v>
      </c>
    </row>
    <row r="97" spans="1:26" x14ac:dyDescent="0.35">
      <c r="A97" s="21" t="s">
        <v>1606</v>
      </c>
      <c r="B97" s="22" t="s">
        <v>1475</v>
      </c>
      <c r="C97" s="22" t="s">
        <v>1476</v>
      </c>
      <c r="D97" s="22" t="s">
        <v>1479</v>
      </c>
      <c r="E97" s="22" t="s">
        <v>27</v>
      </c>
      <c r="F97" s="22" t="s">
        <v>1462</v>
      </c>
      <c r="G97" s="22">
        <v>12.05</v>
      </c>
      <c r="H97" s="22">
        <v>5</v>
      </c>
      <c r="I97" s="22">
        <v>3.0125000000000002</v>
      </c>
      <c r="J97" s="23">
        <v>63.262500000000003</v>
      </c>
      <c r="K97" s="24" t="s">
        <v>1579</v>
      </c>
      <c r="L97" s="25">
        <v>0.66180555555555554</v>
      </c>
      <c r="M97" s="22" t="s">
        <v>1469</v>
      </c>
      <c r="N97" s="26">
        <v>60.25</v>
      </c>
      <c r="O97" s="27">
        <f t="shared" si="1"/>
        <v>4.761904762E-2</v>
      </c>
      <c r="P97" s="23">
        <v>3.0125000000000002</v>
      </c>
      <c r="Q97" s="28">
        <v>5.5</v>
      </c>
      <c r="Y97" s="5" t="s">
        <v>1473</v>
      </c>
      <c r="Z97" s="5">
        <v>10</v>
      </c>
    </row>
    <row r="98" spans="1:26" x14ac:dyDescent="0.35">
      <c r="A98" s="21" t="s">
        <v>1607</v>
      </c>
      <c r="B98" s="22" t="s">
        <v>1459</v>
      </c>
      <c r="C98" s="22" t="s">
        <v>1460</v>
      </c>
      <c r="D98" s="22" t="s">
        <v>1479</v>
      </c>
      <c r="E98" s="22" t="s">
        <v>27</v>
      </c>
      <c r="F98" s="22" t="s">
        <v>1482</v>
      </c>
      <c r="G98" s="22">
        <v>19.36</v>
      </c>
      <c r="H98" s="22">
        <v>9</v>
      </c>
      <c r="I98" s="22">
        <v>8.7119999999999997</v>
      </c>
      <c r="J98" s="23">
        <v>182.952</v>
      </c>
      <c r="K98" s="24" t="s">
        <v>1608</v>
      </c>
      <c r="L98" s="25">
        <v>0.77986111111111112</v>
      </c>
      <c r="M98" s="22" t="s">
        <v>1469</v>
      </c>
      <c r="N98" s="26">
        <v>174.24</v>
      </c>
      <c r="O98" s="27">
        <f t="shared" si="1"/>
        <v>4.761904762E-2</v>
      </c>
      <c r="P98" s="23">
        <v>8.7119999999999997</v>
      </c>
      <c r="Q98" s="28">
        <v>8.6999999999999993</v>
      </c>
      <c r="Y98" s="5" t="s">
        <v>1473</v>
      </c>
      <c r="Z98" s="5">
        <v>7</v>
      </c>
    </row>
    <row r="99" spans="1:26" x14ac:dyDescent="0.35">
      <c r="A99" s="21" t="s">
        <v>1609</v>
      </c>
      <c r="B99" s="22" t="s">
        <v>1475</v>
      </c>
      <c r="C99" s="22" t="s">
        <v>1476</v>
      </c>
      <c r="D99" s="22" t="s">
        <v>1461</v>
      </c>
      <c r="E99" s="22" t="s">
        <v>27</v>
      </c>
      <c r="F99" s="22" t="s">
        <v>1473</v>
      </c>
      <c r="G99" s="22">
        <v>70.209999999999994</v>
      </c>
      <c r="H99" s="22">
        <v>6</v>
      </c>
      <c r="I99" s="22">
        <v>21.062999999999999</v>
      </c>
      <c r="J99" s="23">
        <v>442.32299999999998</v>
      </c>
      <c r="K99" s="24" t="s">
        <v>1605</v>
      </c>
      <c r="L99" s="25">
        <v>0.62361111111111112</v>
      </c>
      <c r="M99" s="22" t="s">
        <v>1464</v>
      </c>
      <c r="N99" s="26">
        <v>421.26</v>
      </c>
      <c r="O99" s="27">
        <f t="shared" si="1"/>
        <v>4.761904762E-2</v>
      </c>
      <c r="P99" s="23">
        <v>21.062999999999999</v>
      </c>
      <c r="Q99" s="28">
        <v>7.4</v>
      </c>
      <c r="Y99" s="5" t="s">
        <v>1462</v>
      </c>
      <c r="Z99" s="5">
        <v>1</v>
      </c>
    </row>
    <row r="100" spans="1:26" x14ac:dyDescent="0.35">
      <c r="A100" s="21" t="s">
        <v>1610</v>
      </c>
      <c r="B100" s="22" t="s">
        <v>1466</v>
      </c>
      <c r="C100" s="22" t="s">
        <v>1467</v>
      </c>
      <c r="D100" s="22" t="s">
        <v>1479</v>
      </c>
      <c r="E100" s="22" t="s">
        <v>27</v>
      </c>
      <c r="F100" s="22" t="s">
        <v>1468</v>
      </c>
      <c r="G100" s="22">
        <v>33.630000000000003</v>
      </c>
      <c r="H100" s="22">
        <v>1</v>
      </c>
      <c r="I100" s="22">
        <v>1.6815</v>
      </c>
      <c r="J100" s="23">
        <v>35.311500000000002</v>
      </c>
      <c r="K100" s="24" t="s">
        <v>1496</v>
      </c>
      <c r="L100" s="25">
        <v>0.82986111111111116</v>
      </c>
      <c r="M100" s="22" t="s">
        <v>1464</v>
      </c>
      <c r="N100" s="26">
        <v>33.630000000000003</v>
      </c>
      <c r="O100" s="27">
        <f t="shared" si="1"/>
        <v>4.761904762E-2</v>
      </c>
      <c r="P100" s="23">
        <v>1.6815</v>
      </c>
      <c r="Q100" s="28">
        <v>5.6</v>
      </c>
      <c r="Y100" s="5" t="s">
        <v>1486</v>
      </c>
      <c r="Z100" s="5">
        <v>5</v>
      </c>
    </row>
    <row r="101" spans="1:26" x14ac:dyDescent="0.35">
      <c r="A101" s="21" t="s">
        <v>1611</v>
      </c>
      <c r="B101" s="22" t="s">
        <v>1475</v>
      </c>
      <c r="C101" s="22" t="s">
        <v>1476</v>
      </c>
      <c r="D101" s="22" t="s">
        <v>1479</v>
      </c>
      <c r="E101" s="22" t="s">
        <v>19</v>
      </c>
      <c r="F101" s="22" t="s">
        <v>1501</v>
      </c>
      <c r="G101" s="22">
        <v>15.49</v>
      </c>
      <c r="H101" s="22">
        <v>2</v>
      </c>
      <c r="I101" s="22">
        <v>1.5489999999999999</v>
      </c>
      <c r="J101" s="23">
        <v>32.529000000000003</v>
      </c>
      <c r="K101" s="24" t="s">
        <v>1612</v>
      </c>
      <c r="L101" s="25">
        <v>0.63194444444444442</v>
      </c>
      <c r="M101" s="22" t="s">
        <v>1464</v>
      </c>
      <c r="N101" s="26">
        <v>30.98</v>
      </c>
      <c r="O101" s="27">
        <f t="shared" si="1"/>
        <v>4.761904762E-2</v>
      </c>
      <c r="P101" s="23">
        <v>1.5489999999999999</v>
      </c>
      <c r="Q101" s="28">
        <v>6.3</v>
      </c>
      <c r="Y101" s="5" t="s">
        <v>1468</v>
      </c>
      <c r="Z101" s="5">
        <v>3</v>
      </c>
    </row>
    <row r="102" spans="1:26" x14ac:dyDescent="0.35">
      <c r="A102" s="21" t="s">
        <v>1613</v>
      </c>
      <c r="B102" s="22" t="s">
        <v>1475</v>
      </c>
      <c r="C102" s="22" t="s">
        <v>1476</v>
      </c>
      <c r="D102" s="22" t="s">
        <v>1461</v>
      </c>
      <c r="E102" s="22" t="s">
        <v>27</v>
      </c>
      <c r="F102" s="22" t="s">
        <v>1462</v>
      </c>
      <c r="G102" s="22">
        <v>24.74</v>
      </c>
      <c r="H102" s="22">
        <v>10</v>
      </c>
      <c r="I102" s="22">
        <v>12.37</v>
      </c>
      <c r="J102" s="23">
        <v>259.77</v>
      </c>
      <c r="K102" s="24" t="s">
        <v>1614</v>
      </c>
      <c r="L102" s="25">
        <v>0.69722222222222219</v>
      </c>
      <c r="M102" s="22" t="s">
        <v>1464</v>
      </c>
      <c r="N102" s="26">
        <v>247.4</v>
      </c>
      <c r="O102" s="27">
        <f t="shared" si="1"/>
        <v>4.761904762E-2</v>
      </c>
      <c r="P102" s="23">
        <v>12.37</v>
      </c>
      <c r="Q102" s="28">
        <v>7.1</v>
      </c>
      <c r="Y102" s="5" t="s">
        <v>1486</v>
      </c>
      <c r="Z102" s="5">
        <v>3</v>
      </c>
    </row>
    <row r="103" spans="1:26" x14ac:dyDescent="0.35">
      <c r="A103" s="21" t="s">
        <v>1615</v>
      </c>
      <c r="B103" s="22" t="s">
        <v>1466</v>
      </c>
      <c r="C103" s="22" t="s">
        <v>1467</v>
      </c>
      <c r="D103" s="22" t="s">
        <v>1461</v>
      </c>
      <c r="E103" s="22" t="s">
        <v>27</v>
      </c>
      <c r="F103" s="22" t="s">
        <v>1462</v>
      </c>
      <c r="G103" s="22">
        <v>75.66</v>
      </c>
      <c r="H103" s="22">
        <v>5</v>
      </c>
      <c r="I103" s="22">
        <v>18.914999999999999</v>
      </c>
      <c r="J103" s="23">
        <v>397.21499999999997</v>
      </c>
      <c r="K103" s="24" t="s">
        <v>1589</v>
      </c>
      <c r="L103" s="25">
        <v>0.76527777777777772</v>
      </c>
      <c r="M103" s="22" t="s">
        <v>1469</v>
      </c>
      <c r="N103" s="26">
        <v>378.3</v>
      </c>
      <c r="O103" s="27">
        <f t="shared" si="1"/>
        <v>4.761904762E-2</v>
      </c>
      <c r="P103" s="23">
        <v>18.914999999999999</v>
      </c>
      <c r="Q103" s="28">
        <v>7.8</v>
      </c>
      <c r="Y103" s="5" t="s">
        <v>1462</v>
      </c>
      <c r="Z103" s="5">
        <v>8</v>
      </c>
    </row>
    <row r="104" spans="1:26" x14ac:dyDescent="0.35">
      <c r="A104" s="21" t="s">
        <v>1616</v>
      </c>
      <c r="B104" s="22" t="s">
        <v>1466</v>
      </c>
      <c r="C104" s="22" t="s">
        <v>1467</v>
      </c>
      <c r="D104" s="22" t="s">
        <v>1461</v>
      </c>
      <c r="E104" s="22" t="s">
        <v>19</v>
      </c>
      <c r="F104" s="22" t="s">
        <v>1473</v>
      </c>
      <c r="G104" s="22">
        <v>55.81</v>
      </c>
      <c r="H104" s="22">
        <v>6</v>
      </c>
      <c r="I104" s="22">
        <v>16.742999999999999</v>
      </c>
      <c r="J104" s="23">
        <v>351.60300000000001</v>
      </c>
      <c r="K104" s="24" t="s">
        <v>1617</v>
      </c>
      <c r="L104" s="25">
        <v>0.49444444444444446</v>
      </c>
      <c r="M104" s="22" t="s">
        <v>1464</v>
      </c>
      <c r="N104" s="26">
        <v>334.86</v>
      </c>
      <c r="O104" s="27">
        <f t="shared" si="1"/>
        <v>4.761904762E-2</v>
      </c>
      <c r="P104" s="23">
        <v>16.742999999999999</v>
      </c>
      <c r="Q104" s="28">
        <v>9.9</v>
      </c>
      <c r="Y104" s="5" t="s">
        <v>1462</v>
      </c>
      <c r="Z104" s="5">
        <v>2</v>
      </c>
    </row>
    <row r="105" spans="1:26" x14ac:dyDescent="0.35">
      <c r="A105" s="21" t="s">
        <v>1618</v>
      </c>
      <c r="B105" s="22" t="s">
        <v>1459</v>
      </c>
      <c r="C105" s="22" t="s">
        <v>1460</v>
      </c>
      <c r="D105" s="22" t="s">
        <v>1479</v>
      </c>
      <c r="E105" s="22" t="s">
        <v>27</v>
      </c>
      <c r="F105" s="22" t="s">
        <v>1482</v>
      </c>
      <c r="G105" s="22">
        <v>72.78</v>
      </c>
      <c r="H105" s="22">
        <v>10</v>
      </c>
      <c r="I105" s="22">
        <v>36.39</v>
      </c>
      <c r="J105" s="66">
        <v>764.19</v>
      </c>
      <c r="K105" s="24">
        <v>43526</v>
      </c>
      <c r="L105" s="25">
        <v>0.72499999999999998</v>
      </c>
      <c r="M105" s="22" t="s">
        <v>1464</v>
      </c>
      <c r="N105" s="26">
        <v>727.8</v>
      </c>
      <c r="O105" s="27">
        <f t="shared" si="1"/>
        <v>4.761904762E-2</v>
      </c>
      <c r="P105" s="23">
        <v>36.39</v>
      </c>
      <c r="Q105" s="28">
        <v>7.3</v>
      </c>
      <c r="Y105" s="5" t="s">
        <v>1486</v>
      </c>
      <c r="Z105" s="5">
        <v>8</v>
      </c>
    </row>
    <row r="106" spans="1:26" x14ac:dyDescent="0.35">
      <c r="A106" s="21" t="s">
        <v>1619</v>
      </c>
      <c r="B106" s="22" t="s">
        <v>1466</v>
      </c>
      <c r="C106" s="22" t="s">
        <v>1467</v>
      </c>
      <c r="D106" s="22" t="s">
        <v>1479</v>
      </c>
      <c r="E106" s="22" t="s">
        <v>27</v>
      </c>
      <c r="F106" s="22" t="s">
        <v>1501</v>
      </c>
      <c r="G106" s="22">
        <v>37.32</v>
      </c>
      <c r="H106" s="22">
        <v>9</v>
      </c>
      <c r="I106" s="22">
        <v>16.794</v>
      </c>
      <c r="J106" s="23">
        <v>352.67399999999998</v>
      </c>
      <c r="K106" s="24">
        <v>43619</v>
      </c>
      <c r="L106" s="25">
        <v>0.64652777777777781</v>
      </c>
      <c r="M106" s="22" t="s">
        <v>1469</v>
      </c>
      <c r="N106" s="26">
        <v>335.88</v>
      </c>
      <c r="O106" s="27">
        <f t="shared" si="1"/>
        <v>4.761904762E-2</v>
      </c>
      <c r="P106" s="23">
        <v>16.794</v>
      </c>
      <c r="Q106" s="28">
        <v>5.0999999999999996</v>
      </c>
      <c r="Y106" s="5" t="s">
        <v>1462</v>
      </c>
      <c r="Z106" s="5">
        <v>5</v>
      </c>
    </row>
    <row r="107" spans="1:26" x14ac:dyDescent="0.35">
      <c r="A107" s="21" t="s">
        <v>1620</v>
      </c>
      <c r="B107" s="22" t="s">
        <v>1466</v>
      </c>
      <c r="C107" s="22" t="s">
        <v>1467</v>
      </c>
      <c r="D107" s="22" t="s">
        <v>1479</v>
      </c>
      <c r="E107" s="22" t="s">
        <v>27</v>
      </c>
      <c r="F107" s="22" t="s">
        <v>1468</v>
      </c>
      <c r="G107" s="22">
        <v>60.18</v>
      </c>
      <c r="H107" s="22">
        <v>4</v>
      </c>
      <c r="I107" s="22">
        <v>12.036</v>
      </c>
      <c r="J107" s="23">
        <v>252.756</v>
      </c>
      <c r="K107" s="24" t="s">
        <v>1579</v>
      </c>
      <c r="L107" s="25">
        <v>0.75277777777777777</v>
      </c>
      <c r="M107" s="22" t="s">
        <v>1477</v>
      </c>
      <c r="N107" s="26">
        <v>240.72</v>
      </c>
      <c r="O107" s="27">
        <f t="shared" si="1"/>
        <v>4.761904762E-2</v>
      </c>
      <c r="P107" s="23">
        <v>12.036</v>
      </c>
      <c r="Q107" s="28">
        <v>9.4</v>
      </c>
      <c r="Y107" s="5" t="s">
        <v>1482</v>
      </c>
      <c r="Z107" s="5">
        <v>9</v>
      </c>
    </row>
    <row r="108" spans="1:26" x14ac:dyDescent="0.35">
      <c r="A108" s="21" t="s">
        <v>1621</v>
      </c>
      <c r="B108" s="22" t="s">
        <v>1459</v>
      </c>
      <c r="C108" s="22" t="s">
        <v>1460</v>
      </c>
      <c r="D108" s="22" t="s">
        <v>1461</v>
      </c>
      <c r="E108" s="22" t="s">
        <v>19</v>
      </c>
      <c r="F108" s="22" t="s">
        <v>1462</v>
      </c>
      <c r="G108" s="22">
        <v>15.69</v>
      </c>
      <c r="H108" s="22">
        <v>3</v>
      </c>
      <c r="I108" s="22">
        <v>2.3534999999999999</v>
      </c>
      <c r="J108" s="23">
        <v>49.423499999999997</v>
      </c>
      <c r="K108" s="24" t="s">
        <v>1492</v>
      </c>
      <c r="L108" s="25">
        <v>0.59236111111111112</v>
      </c>
      <c r="M108" s="22" t="s">
        <v>1477</v>
      </c>
      <c r="N108" s="26">
        <v>47.07</v>
      </c>
      <c r="O108" s="27">
        <f t="shared" si="1"/>
        <v>4.761904762E-2</v>
      </c>
      <c r="P108" s="23">
        <v>2.3534999999999999</v>
      </c>
      <c r="Q108" s="28">
        <v>5.8</v>
      </c>
      <c r="Y108" s="5" t="s">
        <v>1473</v>
      </c>
      <c r="Z108" s="5">
        <v>6</v>
      </c>
    </row>
    <row r="109" spans="1:26" x14ac:dyDescent="0.35">
      <c r="A109" s="21" t="s">
        <v>1622</v>
      </c>
      <c r="B109" s="22" t="s">
        <v>1475</v>
      </c>
      <c r="C109" s="22" t="s">
        <v>1476</v>
      </c>
      <c r="D109" s="22" t="s">
        <v>1461</v>
      </c>
      <c r="E109" s="22" t="s">
        <v>19</v>
      </c>
      <c r="F109" s="22" t="s">
        <v>1462</v>
      </c>
      <c r="G109" s="22">
        <v>99.69</v>
      </c>
      <c r="H109" s="22">
        <v>1</v>
      </c>
      <c r="I109" s="22">
        <v>4.9844999999999997</v>
      </c>
      <c r="J109" s="23">
        <v>104.67449999999999</v>
      </c>
      <c r="K109" s="24" t="s">
        <v>1599</v>
      </c>
      <c r="L109" s="25">
        <v>0.43263888888888891</v>
      </c>
      <c r="M109" s="22" t="s">
        <v>1477</v>
      </c>
      <c r="N109" s="26">
        <v>99.69</v>
      </c>
      <c r="O109" s="27">
        <f t="shared" si="1"/>
        <v>4.761904762E-2</v>
      </c>
      <c r="P109" s="23">
        <v>4.9844999999999997</v>
      </c>
      <c r="Q109" s="28">
        <v>8</v>
      </c>
      <c r="Y109" s="5" t="s">
        <v>1468</v>
      </c>
      <c r="Z109" s="5">
        <v>1</v>
      </c>
    </row>
    <row r="110" spans="1:26" x14ac:dyDescent="0.35">
      <c r="A110" s="21" t="s">
        <v>1623</v>
      </c>
      <c r="B110" s="22" t="s">
        <v>1459</v>
      </c>
      <c r="C110" s="22" t="s">
        <v>1460</v>
      </c>
      <c r="D110" s="22" t="s">
        <v>1479</v>
      </c>
      <c r="E110" s="22" t="s">
        <v>19</v>
      </c>
      <c r="F110" s="22" t="s">
        <v>1468</v>
      </c>
      <c r="G110" s="22">
        <v>88.15</v>
      </c>
      <c r="H110" s="22">
        <v>3</v>
      </c>
      <c r="I110" s="22">
        <v>13.2225</v>
      </c>
      <c r="J110" s="23">
        <v>277.67250000000001</v>
      </c>
      <c r="K110" s="24" t="s">
        <v>1608</v>
      </c>
      <c r="L110" s="25">
        <v>0.42430555555555555</v>
      </c>
      <c r="M110" s="22" t="s">
        <v>1469</v>
      </c>
      <c r="N110" s="26">
        <v>264.45</v>
      </c>
      <c r="O110" s="27">
        <f t="shared" si="1"/>
        <v>4.761904762E-2</v>
      </c>
      <c r="P110" s="23">
        <v>13.2225</v>
      </c>
      <c r="Q110" s="28">
        <v>7.9</v>
      </c>
      <c r="Y110" s="5" t="s">
        <v>1501</v>
      </c>
      <c r="Z110" s="5">
        <v>2</v>
      </c>
    </row>
    <row r="111" spans="1:26" x14ac:dyDescent="0.35">
      <c r="A111" s="21" t="s">
        <v>1624</v>
      </c>
      <c r="B111" s="22" t="s">
        <v>1459</v>
      </c>
      <c r="C111" s="22" t="s">
        <v>1460</v>
      </c>
      <c r="D111" s="22" t="s">
        <v>1479</v>
      </c>
      <c r="E111" s="22" t="s">
        <v>19</v>
      </c>
      <c r="F111" s="22" t="s">
        <v>1501</v>
      </c>
      <c r="G111" s="22">
        <v>27.93</v>
      </c>
      <c r="H111" s="22">
        <v>5</v>
      </c>
      <c r="I111" s="22">
        <v>6.9824999999999999</v>
      </c>
      <c r="J111" s="23">
        <v>146.63249999999999</v>
      </c>
      <c r="K111" s="24" t="s">
        <v>1508</v>
      </c>
      <c r="L111" s="25">
        <v>0.65833333333333333</v>
      </c>
      <c r="M111" s="22" t="s">
        <v>1464</v>
      </c>
      <c r="N111" s="26">
        <v>139.65</v>
      </c>
      <c r="O111" s="27">
        <f t="shared" si="1"/>
        <v>4.761904762E-2</v>
      </c>
      <c r="P111" s="23">
        <v>6.9824999999999999</v>
      </c>
      <c r="Q111" s="28">
        <v>5.9</v>
      </c>
      <c r="Y111" s="5" t="s">
        <v>1462</v>
      </c>
      <c r="Z111" s="5">
        <v>10</v>
      </c>
    </row>
    <row r="112" spans="1:26" x14ac:dyDescent="0.35">
      <c r="A112" s="21" t="s">
        <v>1625</v>
      </c>
      <c r="B112" s="22" t="s">
        <v>1459</v>
      </c>
      <c r="C112" s="22" t="s">
        <v>1460</v>
      </c>
      <c r="D112" s="22" t="s">
        <v>1479</v>
      </c>
      <c r="E112" s="22" t="s">
        <v>27</v>
      </c>
      <c r="F112" s="22" t="s">
        <v>1468</v>
      </c>
      <c r="G112" s="22">
        <v>55.45</v>
      </c>
      <c r="H112" s="22">
        <v>1</v>
      </c>
      <c r="I112" s="22">
        <v>2.7725</v>
      </c>
      <c r="J112" s="23">
        <v>58.222499999999997</v>
      </c>
      <c r="K112" s="24" t="s">
        <v>1626</v>
      </c>
      <c r="L112" s="25">
        <v>0.74027777777777781</v>
      </c>
      <c r="M112" s="22" t="s">
        <v>1477</v>
      </c>
      <c r="N112" s="26">
        <v>55.45</v>
      </c>
      <c r="O112" s="27">
        <f t="shared" si="1"/>
        <v>4.761904762E-2</v>
      </c>
      <c r="P112" s="23">
        <v>2.7725</v>
      </c>
      <c r="Q112" s="28">
        <v>4.9000000000000004</v>
      </c>
      <c r="Y112" s="5" t="s">
        <v>1462</v>
      </c>
      <c r="Z112" s="5">
        <v>5</v>
      </c>
    </row>
    <row r="113" spans="1:26" x14ac:dyDescent="0.35">
      <c r="A113" s="21" t="s">
        <v>1627</v>
      </c>
      <c r="B113" s="22" t="s">
        <v>1466</v>
      </c>
      <c r="C113" s="22" t="s">
        <v>1467</v>
      </c>
      <c r="D113" s="22" t="s">
        <v>1461</v>
      </c>
      <c r="E113" s="22" t="s">
        <v>19</v>
      </c>
      <c r="F113" s="22" t="s">
        <v>1501</v>
      </c>
      <c r="G113" s="22">
        <v>42.97</v>
      </c>
      <c r="H113" s="22">
        <v>3</v>
      </c>
      <c r="I113" s="22">
        <v>6.4455</v>
      </c>
      <c r="J113" s="23">
        <v>135.35550000000001</v>
      </c>
      <c r="K113" s="24">
        <v>43526</v>
      </c>
      <c r="L113" s="25">
        <v>0.49027777777777776</v>
      </c>
      <c r="M113" s="22" t="s">
        <v>1464</v>
      </c>
      <c r="N113" s="26">
        <v>128.91</v>
      </c>
      <c r="O113" s="27">
        <f t="shared" si="1"/>
        <v>4.761904762E-2</v>
      </c>
      <c r="P113" s="23">
        <v>6.4455</v>
      </c>
      <c r="Q113" s="28">
        <v>9.3000000000000007</v>
      </c>
      <c r="Y113" s="5" t="s">
        <v>1473</v>
      </c>
      <c r="Z113" s="5">
        <v>6</v>
      </c>
    </row>
    <row r="114" spans="1:26" x14ac:dyDescent="0.35">
      <c r="A114" s="21" t="s">
        <v>1628</v>
      </c>
      <c r="B114" s="22" t="s">
        <v>1475</v>
      </c>
      <c r="C114" s="22" t="s">
        <v>1476</v>
      </c>
      <c r="D114" s="22" t="s">
        <v>1479</v>
      </c>
      <c r="E114" s="22" t="s">
        <v>27</v>
      </c>
      <c r="F114" s="22" t="s">
        <v>1501</v>
      </c>
      <c r="G114" s="22">
        <v>17.14</v>
      </c>
      <c r="H114" s="22">
        <v>7</v>
      </c>
      <c r="I114" s="22">
        <v>5.9989999999999997</v>
      </c>
      <c r="J114" s="23">
        <v>125.979</v>
      </c>
      <c r="K114" s="24" t="s">
        <v>1612</v>
      </c>
      <c r="L114" s="25">
        <v>0.50486111111111109</v>
      </c>
      <c r="M114" s="22" t="s">
        <v>1477</v>
      </c>
      <c r="N114" s="26">
        <v>119.98</v>
      </c>
      <c r="O114" s="27">
        <f t="shared" si="1"/>
        <v>4.761904762E-2</v>
      </c>
      <c r="P114" s="23">
        <v>5.9989999999999997</v>
      </c>
      <c r="Q114" s="28">
        <v>7.9</v>
      </c>
      <c r="Y114" s="5" t="s">
        <v>1482</v>
      </c>
      <c r="Z114" s="5">
        <v>10</v>
      </c>
    </row>
    <row r="115" spans="1:26" x14ac:dyDescent="0.35">
      <c r="A115" s="21" t="s">
        <v>1629</v>
      </c>
      <c r="B115" s="22" t="s">
        <v>1466</v>
      </c>
      <c r="C115" s="22" t="s">
        <v>1467</v>
      </c>
      <c r="D115" s="22" t="s">
        <v>1479</v>
      </c>
      <c r="E115" s="22" t="s">
        <v>19</v>
      </c>
      <c r="F115" s="22" t="s">
        <v>1468</v>
      </c>
      <c r="G115" s="22">
        <v>58.75</v>
      </c>
      <c r="H115" s="22">
        <v>6</v>
      </c>
      <c r="I115" s="22">
        <v>17.625</v>
      </c>
      <c r="J115" s="23">
        <v>370.125</v>
      </c>
      <c r="K115" s="24" t="s">
        <v>1550</v>
      </c>
      <c r="L115" s="25">
        <v>0.75972222222222219</v>
      </c>
      <c r="M115" s="22" t="s">
        <v>1477</v>
      </c>
      <c r="N115" s="26">
        <v>352.5</v>
      </c>
      <c r="O115" s="27">
        <f t="shared" si="1"/>
        <v>4.761904762E-2</v>
      </c>
      <c r="P115" s="23">
        <v>17.625</v>
      </c>
      <c r="Q115" s="28">
        <v>5.9</v>
      </c>
      <c r="Y115" s="5" t="s">
        <v>1501</v>
      </c>
      <c r="Z115" s="5">
        <v>9</v>
      </c>
    </row>
    <row r="116" spans="1:26" x14ac:dyDescent="0.35">
      <c r="A116" s="21" t="s">
        <v>1630</v>
      </c>
      <c r="B116" s="22" t="s">
        <v>1475</v>
      </c>
      <c r="C116" s="22" t="s">
        <v>1476</v>
      </c>
      <c r="D116" s="22" t="s">
        <v>1479</v>
      </c>
      <c r="E116" s="22" t="s">
        <v>19</v>
      </c>
      <c r="F116" s="22" t="s">
        <v>1486</v>
      </c>
      <c r="G116" s="22">
        <v>87.1</v>
      </c>
      <c r="H116" s="22">
        <v>10</v>
      </c>
      <c r="I116" s="22">
        <v>43.55</v>
      </c>
      <c r="J116" s="66">
        <v>914.55</v>
      </c>
      <c r="K116" s="24">
        <v>43801</v>
      </c>
      <c r="L116" s="25">
        <v>0.61458333333333337</v>
      </c>
      <c r="M116" s="22" t="s">
        <v>1477</v>
      </c>
      <c r="N116" s="26">
        <v>871</v>
      </c>
      <c r="O116" s="27">
        <f t="shared" si="1"/>
        <v>4.761904762E-2</v>
      </c>
      <c r="P116" s="23">
        <v>43.55</v>
      </c>
      <c r="Q116" s="28">
        <v>9.9</v>
      </c>
      <c r="Y116" s="5" t="s">
        <v>1468</v>
      </c>
      <c r="Z116" s="5">
        <v>4</v>
      </c>
    </row>
    <row r="117" spans="1:26" x14ac:dyDescent="0.35">
      <c r="A117" s="21" t="s">
        <v>1631</v>
      </c>
      <c r="B117" s="22" t="s">
        <v>1475</v>
      </c>
      <c r="C117" s="22" t="s">
        <v>1476</v>
      </c>
      <c r="D117" s="22" t="s">
        <v>1461</v>
      </c>
      <c r="E117" s="22" t="s">
        <v>19</v>
      </c>
      <c r="F117" s="22" t="s">
        <v>1501</v>
      </c>
      <c r="G117" s="22">
        <v>98.8</v>
      </c>
      <c r="H117" s="22">
        <v>2</v>
      </c>
      <c r="I117" s="22">
        <v>9.8800000000000008</v>
      </c>
      <c r="J117" s="23">
        <v>207.48</v>
      </c>
      <c r="K117" s="24" t="s">
        <v>1632</v>
      </c>
      <c r="L117" s="25">
        <v>0.48541666666666666</v>
      </c>
      <c r="M117" s="22" t="s">
        <v>1464</v>
      </c>
      <c r="N117" s="26">
        <v>197.6</v>
      </c>
      <c r="O117" s="27">
        <f t="shared" si="1"/>
        <v>4.761904762E-2</v>
      </c>
      <c r="P117" s="23">
        <v>9.8800000000000008</v>
      </c>
      <c r="Q117" s="28">
        <v>7.7</v>
      </c>
      <c r="Y117" s="5" t="s">
        <v>1462</v>
      </c>
      <c r="Z117" s="5">
        <v>3</v>
      </c>
    </row>
    <row r="118" spans="1:26" x14ac:dyDescent="0.35">
      <c r="A118" s="21" t="s">
        <v>1633</v>
      </c>
      <c r="B118" s="22" t="s">
        <v>1459</v>
      </c>
      <c r="C118" s="22" t="s">
        <v>1460</v>
      </c>
      <c r="D118" s="22" t="s">
        <v>1461</v>
      </c>
      <c r="E118" s="22" t="s">
        <v>19</v>
      </c>
      <c r="F118" s="22" t="s">
        <v>1468</v>
      </c>
      <c r="G118" s="22">
        <v>48.63</v>
      </c>
      <c r="H118" s="22">
        <v>4</v>
      </c>
      <c r="I118" s="22">
        <v>9.7260000000000009</v>
      </c>
      <c r="J118" s="23">
        <v>204.24600000000001</v>
      </c>
      <c r="K118" s="24">
        <v>43557</v>
      </c>
      <c r="L118" s="25">
        <v>0.65555555555555556</v>
      </c>
      <c r="M118" s="22" t="s">
        <v>1469</v>
      </c>
      <c r="N118" s="26">
        <v>194.52</v>
      </c>
      <c r="O118" s="27">
        <f t="shared" si="1"/>
        <v>4.761904762E-2</v>
      </c>
      <c r="P118" s="23">
        <v>9.7260000000000009</v>
      </c>
      <c r="Q118" s="28">
        <v>7.6</v>
      </c>
      <c r="Y118" s="5" t="s">
        <v>1462</v>
      </c>
      <c r="Z118" s="5">
        <v>1</v>
      </c>
    </row>
    <row r="119" spans="1:26" x14ac:dyDescent="0.35">
      <c r="A119" s="21" t="s">
        <v>1634</v>
      </c>
      <c r="B119" s="22" t="s">
        <v>1466</v>
      </c>
      <c r="C119" s="22" t="s">
        <v>1467</v>
      </c>
      <c r="D119" s="22" t="s">
        <v>1479</v>
      </c>
      <c r="E119" s="22" t="s">
        <v>27</v>
      </c>
      <c r="F119" s="22" t="s">
        <v>1486</v>
      </c>
      <c r="G119" s="22">
        <v>57.74</v>
      </c>
      <c r="H119" s="22">
        <v>3</v>
      </c>
      <c r="I119" s="22">
        <v>8.6609999999999996</v>
      </c>
      <c r="J119" s="23">
        <v>181.881</v>
      </c>
      <c r="K119" s="24" t="s">
        <v>1516</v>
      </c>
      <c r="L119" s="25">
        <v>0.54583333333333328</v>
      </c>
      <c r="M119" s="22" t="s">
        <v>1469</v>
      </c>
      <c r="N119" s="26">
        <v>173.22</v>
      </c>
      <c r="O119" s="27">
        <f t="shared" si="1"/>
        <v>4.761904762E-2</v>
      </c>
      <c r="P119" s="23">
        <v>8.6609999999999996</v>
      </c>
      <c r="Q119" s="28">
        <v>7.7</v>
      </c>
      <c r="Y119" s="5" t="s">
        <v>1468</v>
      </c>
      <c r="Z119" s="5">
        <v>3</v>
      </c>
    </row>
    <row r="120" spans="1:26" x14ac:dyDescent="0.35">
      <c r="A120" s="21" t="s">
        <v>1635</v>
      </c>
      <c r="B120" s="22" t="s">
        <v>1466</v>
      </c>
      <c r="C120" s="22" t="s">
        <v>1467</v>
      </c>
      <c r="D120" s="22" t="s">
        <v>1461</v>
      </c>
      <c r="E120" s="22" t="s">
        <v>19</v>
      </c>
      <c r="F120" s="22" t="s">
        <v>1473</v>
      </c>
      <c r="G120" s="22">
        <v>17.97</v>
      </c>
      <c r="H120" s="22">
        <v>4</v>
      </c>
      <c r="I120" s="22">
        <v>3.5939999999999999</v>
      </c>
      <c r="J120" s="23">
        <v>75.474000000000004</v>
      </c>
      <c r="K120" s="24" t="s">
        <v>1601</v>
      </c>
      <c r="L120" s="25">
        <v>0.86319444444444449</v>
      </c>
      <c r="M120" s="22" t="s">
        <v>1469</v>
      </c>
      <c r="N120" s="26">
        <v>71.88</v>
      </c>
      <c r="O120" s="27">
        <f t="shared" si="1"/>
        <v>4.761904762E-2</v>
      </c>
      <c r="P120" s="23">
        <v>3.5939999999999999</v>
      </c>
      <c r="Q120" s="28">
        <v>6.4</v>
      </c>
      <c r="Y120" s="5" t="s">
        <v>1501</v>
      </c>
      <c r="Z120" s="5">
        <v>5</v>
      </c>
    </row>
    <row r="121" spans="1:26" x14ac:dyDescent="0.35">
      <c r="A121" s="21" t="s">
        <v>1636</v>
      </c>
      <c r="B121" s="22" t="s">
        <v>1475</v>
      </c>
      <c r="C121" s="22" t="s">
        <v>1476</v>
      </c>
      <c r="D121" s="22" t="s">
        <v>1479</v>
      </c>
      <c r="E121" s="22" t="s">
        <v>19</v>
      </c>
      <c r="F121" s="22" t="s">
        <v>1473</v>
      </c>
      <c r="G121" s="22">
        <v>47.71</v>
      </c>
      <c r="H121" s="22">
        <v>6</v>
      </c>
      <c r="I121" s="22">
        <v>14.313000000000001</v>
      </c>
      <c r="J121" s="23">
        <v>300.57299999999998</v>
      </c>
      <c r="K121" s="24" t="s">
        <v>1579</v>
      </c>
      <c r="L121" s="25">
        <v>0.59652777777777777</v>
      </c>
      <c r="M121" s="22" t="s">
        <v>1469</v>
      </c>
      <c r="N121" s="26">
        <v>286.26</v>
      </c>
      <c r="O121" s="27">
        <f t="shared" si="1"/>
        <v>4.761904762E-2</v>
      </c>
      <c r="P121" s="23">
        <v>14.313000000000001</v>
      </c>
      <c r="Q121" s="28">
        <v>4.4000000000000004</v>
      </c>
      <c r="Y121" s="5" t="s">
        <v>1468</v>
      </c>
      <c r="Z121" s="5">
        <v>1</v>
      </c>
    </row>
    <row r="122" spans="1:26" x14ac:dyDescent="0.35">
      <c r="A122" s="21" t="s">
        <v>1637</v>
      </c>
      <c r="B122" s="22" t="s">
        <v>1466</v>
      </c>
      <c r="C122" s="22" t="s">
        <v>1467</v>
      </c>
      <c r="D122" s="22" t="s">
        <v>1461</v>
      </c>
      <c r="E122" s="22" t="s">
        <v>19</v>
      </c>
      <c r="F122" s="22" t="s">
        <v>1501</v>
      </c>
      <c r="G122" s="22">
        <v>40.619999999999997</v>
      </c>
      <c r="H122" s="22">
        <v>2</v>
      </c>
      <c r="I122" s="22">
        <v>4.0620000000000003</v>
      </c>
      <c r="J122" s="23">
        <v>85.302000000000007</v>
      </c>
      <c r="K122" s="24" t="s">
        <v>1499</v>
      </c>
      <c r="L122" s="25">
        <v>0.41736111111111113</v>
      </c>
      <c r="M122" s="22" t="s">
        <v>1477</v>
      </c>
      <c r="N122" s="26">
        <v>81.239999999999995</v>
      </c>
      <c r="O122" s="27">
        <f t="shared" si="1"/>
        <v>4.761904762E-2</v>
      </c>
      <c r="P122" s="23">
        <v>4.0620000000000003</v>
      </c>
      <c r="Q122" s="28">
        <v>4.0999999999999996</v>
      </c>
      <c r="Y122" s="5" t="s">
        <v>1501</v>
      </c>
      <c r="Z122" s="5">
        <v>3</v>
      </c>
    </row>
    <row r="123" spans="1:26" x14ac:dyDescent="0.35">
      <c r="A123" s="21" t="s">
        <v>1638</v>
      </c>
      <c r="B123" s="22" t="s">
        <v>1459</v>
      </c>
      <c r="C123" s="22" t="s">
        <v>1460</v>
      </c>
      <c r="D123" s="22" t="s">
        <v>1479</v>
      </c>
      <c r="E123" s="22" t="s">
        <v>27</v>
      </c>
      <c r="F123" s="22" t="s">
        <v>1468</v>
      </c>
      <c r="G123" s="22">
        <v>56.04</v>
      </c>
      <c r="H123" s="22">
        <v>10</v>
      </c>
      <c r="I123" s="22">
        <v>28.02</v>
      </c>
      <c r="J123" s="66">
        <v>588.41999999999996</v>
      </c>
      <c r="K123" s="24" t="s">
        <v>1518</v>
      </c>
      <c r="L123" s="25">
        <v>0.8125</v>
      </c>
      <c r="M123" s="22" t="s">
        <v>1469</v>
      </c>
      <c r="N123" s="26">
        <v>560.4</v>
      </c>
      <c r="O123" s="27">
        <f t="shared" si="1"/>
        <v>4.761904762E-2</v>
      </c>
      <c r="P123" s="23">
        <v>28.02</v>
      </c>
      <c r="Q123" s="28">
        <v>4.4000000000000004</v>
      </c>
      <c r="Y123" s="5" t="s">
        <v>1501</v>
      </c>
      <c r="Z123" s="5">
        <v>7</v>
      </c>
    </row>
    <row r="124" spans="1:26" x14ac:dyDescent="0.35">
      <c r="A124" s="21" t="s">
        <v>1639</v>
      </c>
      <c r="B124" s="22" t="s">
        <v>1466</v>
      </c>
      <c r="C124" s="22" t="s">
        <v>1467</v>
      </c>
      <c r="D124" s="22" t="s">
        <v>1479</v>
      </c>
      <c r="E124" s="22" t="s">
        <v>27</v>
      </c>
      <c r="F124" s="22" t="s">
        <v>1486</v>
      </c>
      <c r="G124" s="22">
        <v>93.4</v>
      </c>
      <c r="H124" s="22">
        <v>2</v>
      </c>
      <c r="I124" s="22">
        <v>9.34</v>
      </c>
      <c r="J124" s="23">
        <v>196.14</v>
      </c>
      <c r="K124" s="24" t="s">
        <v>1605</v>
      </c>
      <c r="L124" s="25">
        <v>0.69027777777777777</v>
      </c>
      <c r="M124" s="22" t="s">
        <v>1464</v>
      </c>
      <c r="N124" s="26">
        <v>186.8</v>
      </c>
      <c r="O124" s="27">
        <f t="shared" si="1"/>
        <v>4.761904762E-2</v>
      </c>
      <c r="P124" s="23">
        <v>9.34</v>
      </c>
      <c r="Q124" s="28">
        <v>5.5</v>
      </c>
      <c r="Y124" s="5" t="s">
        <v>1468</v>
      </c>
      <c r="Z124" s="5">
        <v>6</v>
      </c>
    </row>
    <row r="125" spans="1:26" x14ac:dyDescent="0.35">
      <c r="A125" s="21" t="s">
        <v>1640</v>
      </c>
      <c r="B125" s="22" t="s">
        <v>1466</v>
      </c>
      <c r="C125" s="22" t="s">
        <v>1467</v>
      </c>
      <c r="D125" s="22" t="s">
        <v>1461</v>
      </c>
      <c r="E125" s="22" t="s">
        <v>19</v>
      </c>
      <c r="F125" s="22" t="s">
        <v>1473</v>
      </c>
      <c r="G125" s="22">
        <v>73.41</v>
      </c>
      <c r="H125" s="22">
        <v>3</v>
      </c>
      <c r="I125" s="22">
        <v>11.0115</v>
      </c>
      <c r="J125" s="23">
        <v>231.2415</v>
      </c>
      <c r="K125" s="24">
        <v>43499</v>
      </c>
      <c r="L125" s="25">
        <v>0.54861111111111116</v>
      </c>
      <c r="M125" s="22" t="s">
        <v>1469</v>
      </c>
      <c r="N125" s="26">
        <v>220.23</v>
      </c>
      <c r="O125" s="27">
        <f t="shared" si="1"/>
        <v>4.761904762E-2</v>
      </c>
      <c r="P125" s="23">
        <v>11.0115</v>
      </c>
      <c r="Q125" s="28">
        <v>4</v>
      </c>
      <c r="Y125" s="5" t="s">
        <v>1486</v>
      </c>
      <c r="Z125" s="5">
        <v>10</v>
      </c>
    </row>
    <row r="126" spans="1:26" x14ac:dyDescent="0.35">
      <c r="A126" s="21" t="s">
        <v>1641</v>
      </c>
      <c r="B126" s="22" t="s">
        <v>1475</v>
      </c>
      <c r="C126" s="22" t="s">
        <v>1476</v>
      </c>
      <c r="D126" s="22" t="s">
        <v>1461</v>
      </c>
      <c r="E126" s="22" t="s">
        <v>27</v>
      </c>
      <c r="F126" s="22" t="s">
        <v>1473</v>
      </c>
      <c r="G126" s="22">
        <v>33.64</v>
      </c>
      <c r="H126" s="22">
        <v>8</v>
      </c>
      <c r="I126" s="22">
        <v>13.456</v>
      </c>
      <c r="J126" s="23">
        <v>282.57600000000002</v>
      </c>
      <c r="K126" s="24" t="s">
        <v>1544</v>
      </c>
      <c r="L126" s="25">
        <v>0.71527777777777779</v>
      </c>
      <c r="M126" s="22" t="s">
        <v>1477</v>
      </c>
      <c r="N126" s="26">
        <v>269.12</v>
      </c>
      <c r="O126" s="27">
        <f t="shared" si="1"/>
        <v>4.761904762E-2</v>
      </c>
      <c r="P126" s="23">
        <v>13.456</v>
      </c>
      <c r="Q126" s="28">
        <v>9.3000000000000007</v>
      </c>
      <c r="Y126" s="5" t="s">
        <v>1501</v>
      </c>
      <c r="Z126" s="5">
        <v>2</v>
      </c>
    </row>
    <row r="127" spans="1:26" x14ac:dyDescent="0.35">
      <c r="A127" s="21" t="s">
        <v>1642</v>
      </c>
      <c r="B127" s="22" t="s">
        <v>1459</v>
      </c>
      <c r="C127" s="22" t="s">
        <v>1460</v>
      </c>
      <c r="D127" s="22" t="s">
        <v>1461</v>
      </c>
      <c r="E127" s="22" t="s">
        <v>19</v>
      </c>
      <c r="F127" s="22" t="s">
        <v>1462</v>
      </c>
      <c r="G127" s="22">
        <v>45.48</v>
      </c>
      <c r="H127" s="22">
        <v>10</v>
      </c>
      <c r="I127" s="22">
        <v>22.74</v>
      </c>
      <c r="J127" s="23">
        <v>477.54</v>
      </c>
      <c r="K127" s="24">
        <v>43468</v>
      </c>
      <c r="L127" s="25">
        <v>0.43194444444444446</v>
      </c>
      <c r="M127" s="22" t="s">
        <v>1477</v>
      </c>
      <c r="N127" s="26">
        <v>454.8</v>
      </c>
      <c r="O127" s="27">
        <f t="shared" si="1"/>
        <v>4.761904762E-2</v>
      </c>
      <c r="P127" s="23">
        <v>22.74</v>
      </c>
      <c r="Q127" s="28">
        <v>4.8</v>
      </c>
      <c r="Y127" s="5" t="s">
        <v>1468</v>
      </c>
      <c r="Z127" s="5">
        <v>4</v>
      </c>
    </row>
    <row r="128" spans="1:26" x14ac:dyDescent="0.35">
      <c r="A128" s="21" t="s">
        <v>1643</v>
      </c>
      <c r="B128" s="22" t="s">
        <v>1466</v>
      </c>
      <c r="C128" s="22" t="s">
        <v>1467</v>
      </c>
      <c r="D128" s="22" t="s">
        <v>1479</v>
      </c>
      <c r="E128" s="22" t="s">
        <v>27</v>
      </c>
      <c r="F128" s="22" t="s">
        <v>1468</v>
      </c>
      <c r="G128" s="22">
        <v>83.77</v>
      </c>
      <c r="H128" s="22">
        <v>2</v>
      </c>
      <c r="I128" s="22">
        <v>8.3770000000000007</v>
      </c>
      <c r="J128" s="23">
        <v>175.917</v>
      </c>
      <c r="K128" s="24" t="s">
        <v>1614</v>
      </c>
      <c r="L128" s="25">
        <v>0.83125000000000004</v>
      </c>
      <c r="M128" s="22" t="s">
        <v>1464</v>
      </c>
      <c r="N128" s="26">
        <v>167.54</v>
      </c>
      <c r="O128" s="27">
        <f t="shared" si="1"/>
        <v>4.761904762E-2</v>
      </c>
      <c r="P128" s="23">
        <v>8.3770000000000007</v>
      </c>
      <c r="Q128" s="28">
        <v>4.5999999999999996</v>
      </c>
      <c r="Y128" s="5" t="s">
        <v>1486</v>
      </c>
      <c r="Z128" s="5">
        <v>3</v>
      </c>
    </row>
    <row r="129" spans="1:26" x14ac:dyDescent="0.35">
      <c r="A129" s="21" t="s">
        <v>1644</v>
      </c>
      <c r="B129" s="22" t="s">
        <v>1466</v>
      </c>
      <c r="C129" s="22" t="s">
        <v>1467</v>
      </c>
      <c r="D129" s="22" t="s">
        <v>1479</v>
      </c>
      <c r="E129" s="22" t="s">
        <v>19</v>
      </c>
      <c r="F129" s="22" t="s">
        <v>1501</v>
      </c>
      <c r="G129" s="22">
        <v>64.08</v>
      </c>
      <c r="H129" s="22">
        <v>7</v>
      </c>
      <c r="I129" s="22">
        <v>22.428000000000001</v>
      </c>
      <c r="J129" s="23">
        <v>470.988</v>
      </c>
      <c r="K129" s="24" t="s">
        <v>1645</v>
      </c>
      <c r="L129" s="25">
        <v>0.81180555555555556</v>
      </c>
      <c r="M129" s="22" t="s">
        <v>1477</v>
      </c>
      <c r="N129" s="26">
        <v>448.56</v>
      </c>
      <c r="O129" s="27">
        <f t="shared" si="1"/>
        <v>4.761904762E-2</v>
      </c>
      <c r="P129" s="23">
        <v>22.428000000000001</v>
      </c>
      <c r="Q129" s="28">
        <v>7.3</v>
      </c>
      <c r="Y129" s="5" t="s">
        <v>1473</v>
      </c>
      <c r="Z129" s="5">
        <v>4</v>
      </c>
    </row>
    <row r="130" spans="1:26" x14ac:dyDescent="0.35">
      <c r="A130" s="21" t="s">
        <v>1646</v>
      </c>
      <c r="B130" s="22" t="s">
        <v>1459</v>
      </c>
      <c r="C130" s="22" t="s">
        <v>1460</v>
      </c>
      <c r="D130" s="22" t="s">
        <v>1479</v>
      </c>
      <c r="E130" s="22" t="s">
        <v>19</v>
      </c>
      <c r="F130" s="22" t="s">
        <v>1486</v>
      </c>
      <c r="G130" s="22">
        <v>73.47</v>
      </c>
      <c r="H130" s="22">
        <v>4</v>
      </c>
      <c r="I130" s="22">
        <v>14.694000000000001</v>
      </c>
      <c r="J130" s="23">
        <v>308.57400000000001</v>
      </c>
      <c r="K130" s="24" t="s">
        <v>1601</v>
      </c>
      <c r="L130" s="25">
        <v>0.77083333333333337</v>
      </c>
      <c r="M130" s="22" t="s">
        <v>1464</v>
      </c>
      <c r="N130" s="26">
        <v>293.88</v>
      </c>
      <c r="O130" s="27">
        <f t="shared" ref="O130:O193" si="2">4.761904762/100</f>
        <v>4.761904762E-2</v>
      </c>
      <c r="P130" s="23">
        <v>14.694000000000001</v>
      </c>
      <c r="Q130" s="28">
        <v>6</v>
      </c>
      <c r="Y130" s="5" t="s">
        <v>1473</v>
      </c>
      <c r="Z130" s="5">
        <v>6</v>
      </c>
    </row>
    <row r="131" spans="1:26" x14ac:dyDescent="0.35">
      <c r="A131" s="21" t="s">
        <v>1647</v>
      </c>
      <c r="B131" s="22" t="s">
        <v>1475</v>
      </c>
      <c r="C131" s="22" t="s">
        <v>1476</v>
      </c>
      <c r="D131" s="22" t="s">
        <v>1461</v>
      </c>
      <c r="E131" s="22" t="s">
        <v>27</v>
      </c>
      <c r="F131" s="22" t="s">
        <v>1473</v>
      </c>
      <c r="G131" s="22">
        <v>58.95</v>
      </c>
      <c r="H131" s="22">
        <v>10</v>
      </c>
      <c r="I131" s="22">
        <v>29.475000000000001</v>
      </c>
      <c r="J131" s="66">
        <v>618.97500000000002</v>
      </c>
      <c r="K131" s="24">
        <v>43648</v>
      </c>
      <c r="L131" s="25">
        <v>0.6020833333333333</v>
      </c>
      <c r="M131" s="22" t="s">
        <v>1469</v>
      </c>
      <c r="N131" s="26">
        <v>589.5</v>
      </c>
      <c r="O131" s="27">
        <f t="shared" si="2"/>
        <v>4.761904762E-2</v>
      </c>
      <c r="P131" s="23">
        <v>29.475000000000001</v>
      </c>
      <c r="Q131" s="28">
        <v>8.1</v>
      </c>
      <c r="Y131" s="5" t="s">
        <v>1501</v>
      </c>
      <c r="Z131" s="5">
        <v>2</v>
      </c>
    </row>
    <row r="132" spans="1:26" x14ac:dyDescent="0.35">
      <c r="A132" s="21" t="s">
        <v>1648</v>
      </c>
      <c r="B132" s="22" t="s">
        <v>1459</v>
      </c>
      <c r="C132" s="22" t="s">
        <v>1460</v>
      </c>
      <c r="D132" s="22" t="s">
        <v>1479</v>
      </c>
      <c r="E132" s="22" t="s">
        <v>27</v>
      </c>
      <c r="F132" s="22" t="s">
        <v>1486</v>
      </c>
      <c r="G132" s="22">
        <v>48.5</v>
      </c>
      <c r="H132" s="22">
        <v>6</v>
      </c>
      <c r="I132" s="22">
        <v>14.55</v>
      </c>
      <c r="J132" s="23">
        <v>305.55</v>
      </c>
      <c r="K132" s="24">
        <v>43770</v>
      </c>
      <c r="L132" s="25">
        <v>0.58125000000000004</v>
      </c>
      <c r="M132" s="22" t="s">
        <v>1469</v>
      </c>
      <c r="N132" s="26">
        <v>291</v>
      </c>
      <c r="O132" s="27">
        <f t="shared" si="2"/>
        <v>4.761904762E-2</v>
      </c>
      <c r="P132" s="23">
        <v>14.55</v>
      </c>
      <c r="Q132" s="28">
        <v>9.4</v>
      </c>
      <c r="Y132" s="5" t="s">
        <v>1468</v>
      </c>
      <c r="Z132" s="5">
        <v>10</v>
      </c>
    </row>
    <row r="133" spans="1:26" x14ac:dyDescent="0.35">
      <c r="A133" s="21" t="s">
        <v>1649</v>
      </c>
      <c r="B133" s="22" t="s">
        <v>1466</v>
      </c>
      <c r="C133" s="22" t="s">
        <v>1467</v>
      </c>
      <c r="D133" s="22" t="s">
        <v>1479</v>
      </c>
      <c r="E133" s="22" t="s">
        <v>19</v>
      </c>
      <c r="F133" s="22" t="s">
        <v>1462</v>
      </c>
      <c r="G133" s="22">
        <v>39.479999999999997</v>
      </c>
      <c r="H133" s="22">
        <v>1</v>
      </c>
      <c r="I133" s="22">
        <v>1.974</v>
      </c>
      <c r="J133" s="23">
        <v>41.454000000000001</v>
      </c>
      <c r="K133" s="24">
        <v>43801</v>
      </c>
      <c r="L133" s="25">
        <v>0.82152777777777775</v>
      </c>
      <c r="M133" s="22" t="s">
        <v>1464</v>
      </c>
      <c r="N133" s="26">
        <v>39.479999999999997</v>
      </c>
      <c r="O133" s="27">
        <f t="shared" si="2"/>
        <v>4.761904762E-2</v>
      </c>
      <c r="P133" s="23">
        <v>1.974</v>
      </c>
      <c r="Q133" s="28">
        <v>6.5</v>
      </c>
      <c r="Y133" s="5" t="s">
        <v>1486</v>
      </c>
      <c r="Z133" s="5">
        <v>2</v>
      </c>
    </row>
    <row r="134" spans="1:26" x14ac:dyDescent="0.35">
      <c r="A134" s="21" t="s">
        <v>1650</v>
      </c>
      <c r="B134" s="22" t="s">
        <v>1466</v>
      </c>
      <c r="C134" s="22" t="s">
        <v>1467</v>
      </c>
      <c r="D134" s="22" t="s">
        <v>1461</v>
      </c>
      <c r="E134" s="22" t="s">
        <v>19</v>
      </c>
      <c r="F134" s="22" t="s">
        <v>1501</v>
      </c>
      <c r="G134" s="22">
        <v>34.81</v>
      </c>
      <c r="H134" s="22">
        <v>1</v>
      </c>
      <c r="I134" s="22">
        <v>1.7404999999999999</v>
      </c>
      <c r="J134" s="23">
        <v>36.5505</v>
      </c>
      <c r="K134" s="24" t="s">
        <v>1518</v>
      </c>
      <c r="L134" s="25">
        <v>0.42430555555555555</v>
      </c>
      <c r="M134" s="22" t="s">
        <v>1477</v>
      </c>
      <c r="N134" s="26">
        <v>34.81</v>
      </c>
      <c r="O134" s="27">
        <f t="shared" si="2"/>
        <v>4.761904762E-2</v>
      </c>
      <c r="P134" s="23">
        <v>1.7404999999999999</v>
      </c>
      <c r="Q134" s="28">
        <v>7</v>
      </c>
      <c r="Y134" s="5" t="s">
        <v>1473</v>
      </c>
      <c r="Z134" s="5">
        <v>3</v>
      </c>
    </row>
    <row r="135" spans="1:26" x14ac:dyDescent="0.35">
      <c r="A135" s="21" t="s">
        <v>1651</v>
      </c>
      <c r="B135" s="22" t="s">
        <v>1475</v>
      </c>
      <c r="C135" s="22" t="s">
        <v>1476</v>
      </c>
      <c r="D135" s="22" t="s">
        <v>1461</v>
      </c>
      <c r="E135" s="22" t="s">
        <v>19</v>
      </c>
      <c r="F135" s="22" t="s">
        <v>1468</v>
      </c>
      <c r="G135" s="22">
        <v>49.32</v>
      </c>
      <c r="H135" s="22">
        <v>6</v>
      </c>
      <c r="I135" s="22">
        <v>14.795999999999999</v>
      </c>
      <c r="J135" s="23">
        <v>310.71600000000001</v>
      </c>
      <c r="K135" s="24">
        <v>43709</v>
      </c>
      <c r="L135" s="25">
        <v>0.57361111111111107</v>
      </c>
      <c r="M135" s="22" t="s">
        <v>1469</v>
      </c>
      <c r="N135" s="26">
        <v>295.92</v>
      </c>
      <c r="O135" s="27">
        <f t="shared" si="2"/>
        <v>4.761904762E-2</v>
      </c>
      <c r="P135" s="23">
        <v>14.795999999999999</v>
      </c>
      <c r="Q135" s="28">
        <v>7.1</v>
      </c>
      <c r="Y135" s="5" t="s">
        <v>1473</v>
      </c>
      <c r="Z135" s="5">
        <v>8</v>
      </c>
    </row>
    <row r="136" spans="1:26" x14ac:dyDescent="0.35">
      <c r="A136" s="21" t="s">
        <v>1652</v>
      </c>
      <c r="B136" s="22" t="s">
        <v>1459</v>
      </c>
      <c r="C136" s="22" t="s">
        <v>1460</v>
      </c>
      <c r="D136" s="22" t="s">
        <v>1479</v>
      </c>
      <c r="E136" s="22" t="s">
        <v>27</v>
      </c>
      <c r="F136" s="22" t="s">
        <v>1468</v>
      </c>
      <c r="G136" s="22">
        <v>21.48</v>
      </c>
      <c r="H136" s="22">
        <v>2</v>
      </c>
      <c r="I136" s="22">
        <v>2.1480000000000001</v>
      </c>
      <c r="J136" s="23">
        <v>45.107999999999997</v>
      </c>
      <c r="K136" s="24" t="s">
        <v>1599</v>
      </c>
      <c r="L136" s="25">
        <v>0.51527777777777772</v>
      </c>
      <c r="M136" s="22" t="s">
        <v>1469</v>
      </c>
      <c r="N136" s="26">
        <v>42.96</v>
      </c>
      <c r="O136" s="27">
        <f t="shared" si="2"/>
        <v>4.761904762E-2</v>
      </c>
      <c r="P136" s="23">
        <v>2.1480000000000001</v>
      </c>
      <c r="Q136" s="28">
        <v>6.6</v>
      </c>
      <c r="Y136" s="5" t="s">
        <v>1462</v>
      </c>
      <c r="Z136" s="5">
        <v>10</v>
      </c>
    </row>
    <row r="137" spans="1:26" x14ac:dyDescent="0.35">
      <c r="A137" s="21" t="s">
        <v>1653</v>
      </c>
      <c r="B137" s="22" t="s">
        <v>1466</v>
      </c>
      <c r="C137" s="22" t="s">
        <v>1467</v>
      </c>
      <c r="D137" s="22" t="s">
        <v>1479</v>
      </c>
      <c r="E137" s="22" t="s">
        <v>19</v>
      </c>
      <c r="F137" s="22" t="s">
        <v>1501</v>
      </c>
      <c r="G137" s="22">
        <v>23.08</v>
      </c>
      <c r="H137" s="22">
        <v>6</v>
      </c>
      <c r="I137" s="22">
        <v>6.9240000000000004</v>
      </c>
      <c r="J137" s="23">
        <v>145.404</v>
      </c>
      <c r="K137" s="24" t="s">
        <v>1566</v>
      </c>
      <c r="L137" s="25">
        <v>0.80555555555555558</v>
      </c>
      <c r="M137" s="22" t="s">
        <v>1469</v>
      </c>
      <c r="N137" s="26">
        <v>138.47999999999999</v>
      </c>
      <c r="O137" s="27">
        <f t="shared" si="2"/>
        <v>4.761904762E-2</v>
      </c>
      <c r="P137" s="23">
        <v>6.9240000000000004</v>
      </c>
      <c r="Q137" s="28">
        <v>4.9000000000000004</v>
      </c>
      <c r="Y137" s="5" t="s">
        <v>1468</v>
      </c>
      <c r="Z137" s="5">
        <v>2</v>
      </c>
    </row>
    <row r="138" spans="1:26" x14ac:dyDescent="0.35">
      <c r="A138" s="21" t="s">
        <v>1654</v>
      </c>
      <c r="B138" s="22" t="s">
        <v>1466</v>
      </c>
      <c r="C138" s="22" t="s">
        <v>1467</v>
      </c>
      <c r="D138" s="22" t="s">
        <v>1479</v>
      </c>
      <c r="E138" s="22" t="s">
        <v>19</v>
      </c>
      <c r="F138" s="22" t="s">
        <v>1482</v>
      </c>
      <c r="G138" s="22">
        <v>49.1</v>
      </c>
      <c r="H138" s="22">
        <v>2</v>
      </c>
      <c r="I138" s="22">
        <v>4.91</v>
      </c>
      <c r="J138" s="23">
        <v>103.11</v>
      </c>
      <c r="K138" s="24">
        <v>43678</v>
      </c>
      <c r="L138" s="25">
        <v>0.54027777777777775</v>
      </c>
      <c r="M138" s="22" t="s">
        <v>1477</v>
      </c>
      <c r="N138" s="26">
        <v>98.2</v>
      </c>
      <c r="O138" s="27">
        <f t="shared" si="2"/>
        <v>4.761904762E-2</v>
      </c>
      <c r="P138" s="23">
        <v>4.91</v>
      </c>
      <c r="Q138" s="28">
        <v>6.4</v>
      </c>
      <c r="Y138" s="5" t="s">
        <v>1501</v>
      </c>
      <c r="Z138" s="5">
        <v>7</v>
      </c>
    </row>
    <row r="139" spans="1:26" x14ac:dyDescent="0.35">
      <c r="A139" s="21" t="s">
        <v>1655</v>
      </c>
      <c r="B139" s="22" t="s">
        <v>1466</v>
      </c>
      <c r="C139" s="22" t="s">
        <v>1467</v>
      </c>
      <c r="D139" s="22" t="s">
        <v>1479</v>
      </c>
      <c r="E139" s="22" t="s">
        <v>19</v>
      </c>
      <c r="F139" s="22" t="s">
        <v>1501</v>
      </c>
      <c r="G139" s="22">
        <v>64.83</v>
      </c>
      <c r="H139" s="22">
        <v>2</v>
      </c>
      <c r="I139" s="22">
        <v>6.4829999999999997</v>
      </c>
      <c r="J139" s="23">
        <v>136.143</v>
      </c>
      <c r="K139" s="24">
        <v>43678</v>
      </c>
      <c r="L139" s="25">
        <v>0.49930555555555556</v>
      </c>
      <c r="M139" s="22" t="s">
        <v>1477</v>
      </c>
      <c r="N139" s="26">
        <v>129.66</v>
      </c>
      <c r="O139" s="27">
        <f t="shared" si="2"/>
        <v>4.761904762E-2</v>
      </c>
      <c r="P139" s="23">
        <v>6.4829999999999997</v>
      </c>
      <c r="Q139" s="28">
        <v>8</v>
      </c>
      <c r="Y139" s="5" t="s">
        <v>1486</v>
      </c>
      <c r="Z139" s="5">
        <v>4</v>
      </c>
    </row>
    <row r="140" spans="1:26" x14ac:dyDescent="0.35">
      <c r="A140" s="21" t="s">
        <v>1656</v>
      </c>
      <c r="B140" s="22" t="s">
        <v>1459</v>
      </c>
      <c r="C140" s="22" t="s">
        <v>1460</v>
      </c>
      <c r="D140" s="22" t="s">
        <v>1479</v>
      </c>
      <c r="E140" s="22" t="s">
        <v>27</v>
      </c>
      <c r="F140" s="22" t="s">
        <v>1482</v>
      </c>
      <c r="G140" s="22">
        <v>63.56</v>
      </c>
      <c r="H140" s="22">
        <v>10</v>
      </c>
      <c r="I140" s="22">
        <v>31.78</v>
      </c>
      <c r="J140" s="66">
        <v>667.38</v>
      </c>
      <c r="K140" s="24" t="s">
        <v>1612</v>
      </c>
      <c r="L140" s="25">
        <v>0.74930555555555556</v>
      </c>
      <c r="M140" s="22" t="s">
        <v>1464</v>
      </c>
      <c r="N140" s="26">
        <v>635.6</v>
      </c>
      <c r="O140" s="27">
        <f t="shared" si="2"/>
        <v>4.761904762E-2</v>
      </c>
      <c r="P140" s="23">
        <v>31.78</v>
      </c>
      <c r="Q140" s="28">
        <v>4.3</v>
      </c>
      <c r="Y140" s="5" t="s">
        <v>1473</v>
      </c>
      <c r="Z140" s="5">
        <v>10</v>
      </c>
    </row>
    <row r="141" spans="1:26" x14ac:dyDescent="0.35">
      <c r="A141" s="21" t="s">
        <v>1657</v>
      </c>
      <c r="B141" s="22" t="s">
        <v>1475</v>
      </c>
      <c r="C141" s="22" t="s">
        <v>1476</v>
      </c>
      <c r="D141" s="22" t="s">
        <v>1479</v>
      </c>
      <c r="E141" s="22" t="s">
        <v>27</v>
      </c>
      <c r="F141" s="22" t="s">
        <v>1501</v>
      </c>
      <c r="G141" s="22">
        <v>72.88</v>
      </c>
      <c r="H141" s="22">
        <v>2</v>
      </c>
      <c r="I141" s="22">
        <v>7.2880000000000003</v>
      </c>
      <c r="J141" s="23">
        <v>153.048</v>
      </c>
      <c r="K141" s="24" t="s">
        <v>1658</v>
      </c>
      <c r="L141" s="25">
        <v>0.53541666666666665</v>
      </c>
      <c r="M141" s="22" t="s">
        <v>1464</v>
      </c>
      <c r="N141" s="26">
        <v>145.76</v>
      </c>
      <c r="O141" s="27">
        <f t="shared" si="2"/>
        <v>4.761904762E-2</v>
      </c>
      <c r="P141" s="23">
        <v>7.2880000000000003</v>
      </c>
      <c r="Q141" s="28">
        <v>6.1</v>
      </c>
      <c r="Y141" s="5" t="s">
        <v>1486</v>
      </c>
      <c r="Z141" s="5">
        <v>6</v>
      </c>
    </row>
    <row r="142" spans="1:26" x14ac:dyDescent="0.35">
      <c r="A142" s="21" t="s">
        <v>1659</v>
      </c>
      <c r="B142" s="22" t="s">
        <v>1459</v>
      </c>
      <c r="C142" s="22" t="s">
        <v>1460</v>
      </c>
      <c r="D142" s="22" t="s">
        <v>1461</v>
      </c>
      <c r="E142" s="22" t="s">
        <v>19</v>
      </c>
      <c r="F142" s="22" t="s">
        <v>1486</v>
      </c>
      <c r="G142" s="22">
        <v>67.099999999999994</v>
      </c>
      <c r="H142" s="22">
        <v>3</v>
      </c>
      <c r="I142" s="22">
        <v>10.065</v>
      </c>
      <c r="J142" s="23">
        <v>211.36500000000001</v>
      </c>
      <c r="K142" s="24" t="s">
        <v>1544</v>
      </c>
      <c r="L142" s="25">
        <v>0.44166666666666665</v>
      </c>
      <c r="M142" s="22" t="s">
        <v>1464</v>
      </c>
      <c r="N142" s="26">
        <v>201.3</v>
      </c>
      <c r="O142" s="27">
        <f t="shared" si="2"/>
        <v>4.761904762E-2</v>
      </c>
      <c r="P142" s="23">
        <v>10.065</v>
      </c>
      <c r="Q142" s="28">
        <v>7.5</v>
      </c>
      <c r="Y142" s="5" t="s">
        <v>1462</v>
      </c>
      <c r="Z142" s="5">
        <v>1</v>
      </c>
    </row>
    <row r="143" spans="1:26" x14ac:dyDescent="0.35">
      <c r="A143" s="21" t="s">
        <v>1660</v>
      </c>
      <c r="B143" s="22" t="s">
        <v>1475</v>
      </c>
      <c r="C143" s="22" t="s">
        <v>1476</v>
      </c>
      <c r="D143" s="22" t="s">
        <v>1479</v>
      </c>
      <c r="E143" s="22" t="s">
        <v>19</v>
      </c>
      <c r="F143" s="22" t="s">
        <v>1501</v>
      </c>
      <c r="G143" s="22">
        <v>70.19</v>
      </c>
      <c r="H143" s="22">
        <v>9</v>
      </c>
      <c r="I143" s="22">
        <v>31.5855</v>
      </c>
      <c r="J143" s="66">
        <v>663.29549999999995</v>
      </c>
      <c r="K143" s="24" t="s">
        <v>1584</v>
      </c>
      <c r="L143" s="25">
        <v>0.56805555555555554</v>
      </c>
      <c r="M143" s="22" t="s">
        <v>1464</v>
      </c>
      <c r="N143" s="26">
        <v>631.71</v>
      </c>
      <c r="O143" s="27">
        <f t="shared" si="2"/>
        <v>4.761904762E-2</v>
      </c>
      <c r="P143" s="23">
        <v>31.5855</v>
      </c>
      <c r="Q143" s="28">
        <v>6.7</v>
      </c>
      <c r="Y143" s="5" t="s">
        <v>1501</v>
      </c>
      <c r="Z143" s="5">
        <v>1</v>
      </c>
    </row>
    <row r="144" spans="1:26" x14ac:dyDescent="0.35">
      <c r="A144" s="21" t="s">
        <v>1661</v>
      </c>
      <c r="B144" s="22" t="s">
        <v>1475</v>
      </c>
      <c r="C144" s="22" t="s">
        <v>1476</v>
      </c>
      <c r="D144" s="22" t="s">
        <v>1479</v>
      </c>
      <c r="E144" s="22" t="s">
        <v>27</v>
      </c>
      <c r="F144" s="22" t="s">
        <v>1486</v>
      </c>
      <c r="G144" s="22">
        <v>55.04</v>
      </c>
      <c r="H144" s="22">
        <v>7</v>
      </c>
      <c r="I144" s="22">
        <v>19.263999999999999</v>
      </c>
      <c r="J144" s="23">
        <v>404.54399999999998</v>
      </c>
      <c r="K144" s="24">
        <v>43802</v>
      </c>
      <c r="L144" s="25">
        <v>0.81874999999999998</v>
      </c>
      <c r="M144" s="22" t="s">
        <v>1469</v>
      </c>
      <c r="N144" s="26">
        <v>385.28</v>
      </c>
      <c r="O144" s="27">
        <f t="shared" si="2"/>
        <v>4.761904762E-2</v>
      </c>
      <c r="P144" s="23">
        <v>19.263999999999999</v>
      </c>
      <c r="Q144" s="28">
        <v>5.2</v>
      </c>
      <c r="Y144" s="5" t="s">
        <v>1468</v>
      </c>
      <c r="Z144" s="5">
        <v>6</v>
      </c>
    </row>
    <row r="145" spans="1:26" x14ac:dyDescent="0.35">
      <c r="A145" s="21" t="s">
        <v>1662</v>
      </c>
      <c r="B145" s="22" t="s">
        <v>1459</v>
      </c>
      <c r="C145" s="22" t="s">
        <v>1460</v>
      </c>
      <c r="D145" s="22" t="s">
        <v>1479</v>
      </c>
      <c r="E145" s="22" t="s">
        <v>27</v>
      </c>
      <c r="F145" s="22" t="s">
        <v>1473</v>
      </c>
      <c r="G145" s="22">
        <v>48.63</v>
      </c>
      <c r="H145" s="22">
        <v>10</v>
      </c>
      <c r="I145" s="22">
        <v>24.315000000000001</v>
      </c>
      <c r="J145" s="66">
        <v>510.61500000000001</v>
      </c>
      <c r="K145" s="24">
        <v>43558</v>
      </c>
      <c r="L145" s="25">
        <v>0.53055555555555556</v>
      </c>
      <c r="M145" s="22" t="s">
        <v>1464</v>
      </c>
      <c r="N145" s="26">
        <v>486.3</v>
      </c>
      <c r="O145" s="27">
        <f t="shared" si="2"/>
        <v>4.761904762E-2</v>
      </c>
      <c r="P145" s="23">
        <v>24.315000000000001</v>
      </c>
      <c r="Q145" s="28">
        <v>8.8000000000000007</v>
      </c>
      <c r="Y145" s="5" t="s">
        <v>1468</v>
      </c>
      <c r="Z145" s="5">
        <v>2</v>
      </c>
    </row>
    <row r="146" spans="1:26" x14ac:dyDescent="0.35">
      <c r="A146" s="21" t="s">
        <v>1663</v>
      </c>
      <c r="B146" s="22" t="s">
        <v>1475</v>
      </c>
      <c r="C146" s="22" t="s">
        <v>1476</v>
      </c>
      <c r="D146" s="22" t="s">
        <v>1479</v>
      </c>
      <c r="E146" s="22" t="s">
        <v>19</v>
      </c>
      <c r="F146" s="22" t="s">
        <v>1468</v>
      </c>
      <c r="G146" s="22">
        <v>73.38</v>
      </c>
      <c r="H146" s="22">
        <v>7</v>
      </c>
      <c r="I146" s="22">
        <v>25.683</v>
      </c>
      <c r="J146" s="66">
        <v>539.34299999999996</v>
      </c>
      <c r="K146" s="24">
        <v>43740</v>
      </c>
      <c r="L146" s="25">
        <v>0.5805555555555556</v>
      </c>
      <c r="M146" s="22" t="s">
        <v>1464</v>
      </c>
      <c r="N146" s="26">
        <v>513.66</v>
      </c>
      <c r="O146" s="27">
        <f t="shared" si="2"/>
        <v>4.761904762E-2</v>
      </c>
      <c r="P146" s="23">
        <v>25.683</v>
      </c>
      <c r="Q146" s="28">
        <v>9.5</v>
      </c>
      <c r="Y146" s="5" t="s">
        <v>1501</v>
      </c>
      <c r="Z146" s="5">
        <v>6</v>
      </c>
    </row>
    <row r="147" spans="1:26" x14ac:dyDescent="0.35">
      <c r="A147" s="21" t="s">
        <v>1664</v>
      </c>
      <c r="B147" s="22" t="s">
        <v>1475</v>
      </c>
      <c r="C147" s="22" t="s">
        <v>1476</v>
      </c>
      <c r="D147" s="22" t="s">
        <v>1461</v>
      </c>
      <c r="E147" s="22" t="s">
        <v>19</v>
      </c>
      <c r="F147" s="22" t="s">
        <v>1486</v>
      </c>
      <c r="G147" s="22">
        <v>52.6</v>
      </c>
      <c r="H147" s="22">
        <v>9</v>
      </c>
      <c r="I147" s="22">
        <v>23.67</v>
      </c>
      <c r="J147" s="23">
        <v>497.07</v>
      </c>
      <c r="K147" s="24" t="s">
        <v>1612</v>
      </c>
      <c r="L147" s="25">
        <v>0.61250000000000004</v>
      </c>
      <c r="M147" s="22" t="s">
        <v>1464</v>
      </c>
      <c r="N147" s="26">
        <v>473.4</v>
      </c>
      <c r="O147" s="27">
        <f t="shared" si="2"/>
        <v>4.761904762E-2</v>
      </c>
      <c r="P147" s="23">
        <v>23.67</v>
      </c>
      <c r="Q147" s="28">
        <v>7.6</v>
      </c>
      <c r="Y147" s="5" t="s">
        <v>1482</v>
      </c>
      <c r="Z147" s="5">
        <v>2</v>
      </c>
    </row>
    <row r="148" spans="1:26" x14ac:dyDescent="0.35">
      <c r="A148" s="21" t="s">
        <v>1665</v>
      </c>
      <c r="B148" s="22" t="s">
        <v>1459</v>
      </c>
      <c r="C148" s="22" t="s">
        <v>1460</v>
      </c>
      <c r="D148" s="22" t="s">
        <v>1479</v>
      </c>
      <c r="E148" s="22" t="s">
        <v>19</v>
      </c>
      <c r="F148" s="22" t="s">
        <v>1482</v>
      </c>
      <c r="G148" s="22">
        <v>87.37</v>
      </c>
      <c r="H148" s="22">
        <v>5</v>
      </c>
      <c r="I148" s="22">
        <v>21.842500000000001</v>
      </c>
      <c r="J148" s="23">
        <v>458.6925</v>
      </c>
      <c r="K148" s="24" t="s">
        <v>1508</v>
      </c>
      <c r="L148" s="25">
        <v>0.82291666666666663</v>
      </c>
      <c r="M148" s="22" t="s">
        <v>1464</v>
      </c>
      <c r="N148" s="26">
        <v>436.85</v>
      </c>
      <c r="O148" s="27">
        <f t="shared" si="2"/>
        <v>4.761904762E-2</v>
      </c>
      <c r="P148" s="23">
        <v>21.842500000000001</v>
      </c>
      <c r="Q148" s="28">
        <v>6.6</v>
      </c>
      <c r="Y148" s="5" t="s">
        <v>1501</v>
      </c>
      <c r="Z148" s="5">
        <v>2</v>
      </c>
    </row>
    <row r="149" spans="1:26" x14ac:dyDescent="0.35">
      <c r="A149" s="21" t="s">
        <v>1666</v>
      </c>
      <c r="B149" s="22" t="s">
        <v>1459</v>
      </c>
      <c r="C149" s="22" t="s">
        <v>1460</v>
      </c>
      <c r="D149" s="22" t="s">
        <v>1479</v>
      </c>
      <c r="E149" s="22" t="s">
        <v>19</v>
      </c>
      <c r="F149" s="22" t="s">
        <v>1501</v>
      </c>
      <c r="G149" s="22">
        <v>27.04</v>
      </c>
      <c r="H149" s="22">
        <v>4</v>
      </c>
      <c r="I149" s="22">
        <v>5.4080000000000004</v>
      </c>
      <c r="J149" s="23">
        <v>113.568</v>
      </c>
      <c r="K149" s="24">
        <v>43466</v>
      </c>
      <c r="L149" s="25">
        <v>0.85138888888888886</v>
      </c>
      <c r="M149" s="22" t="s">
        <v>1469</v>
      </c>
      <c r="N149" s="26">
        <v>108.16</v>
      </c>
      <c r="O149" s="27">
        <f t="shared" si="2"/>
        <v>4.761904762E-2</v>
      </c>
      <c r="P149" s="23">
        <v>5.4080000000000004</v>
      </c>
      <c r="Q149" s="28">
        <v>6.9</v>
      </c>
      <c r="Y149" s="5" t="s">
        <v>1482</v>
      </c>
      <c r="Z149" s="5">
        <v>10</v>
      </c>
    </row>
    <row r="150" spans="1:26" x14ac:dyDescent="0.35">
      <c r="A150" s="21" t="s">
        <v>1667</v>
      </c>
      <c r="B150" s="22" t="s">
        <v>1466</v>
      </c>
      <c r="C150" s="22" t="s">
        <v>1467</v>
      </c>
      <c r="D150" s="22" t="s">
        <v>1461</v>
      </c>
      <c r="E150" s="22" t="s">
        <v>27</v>
      </c>
      <c r="F150" s="22" t="s">
        <v>1482</v>
      </c>
      <c r="G150" s="22">
        <v>62.19</v>
      </c>
      <c r="H150" s="22">
        <v>4</v>
      </c>
      <c r="I150" s="22">
        <v>12.438000000000001</v>
      </c>
      <c r="J150" s="23">
        <v>261.19799999999998</v>
      </c>
      <c r="K150" s="24">
        <v>43617</v>
      </c>
      <c r="L150" s="25">
        <v>0.82361111111111107</v>
      </c>
      <c r="M150" s="22" t="s">
        <v>1469</v>
      </c>
      <c r="N150" s="26">
        <v>248.76</v>
      </c>
      <c r="O150" s="27">
        <f t="shared" si="2"/>
        <v>4.761904762E-2</v>
      </c>
      <c r="P150" s="23">
        <v>12.438000000000001</v>
      </c>
      <c r="Q150" s="28">
        <v>4.3</v>
      </c>
      <c r="Y150" s="5" t="s">
        <v>1501</v>
      </c>
      <c r="Z150" s="5">
        <v>2</v>
      </c>
    </row>
    <row r="151" spans="1:26" x14ac:dyDescent="0.35">
      <c r="A151" s="21" t="s">
        <v>1668</v>
      </c>
      <c r="B151" s="22" t="s">
        <v>1459</v>
      </c>
      <c r="C151" s="22" t="s">
        <v>1460</v>
      </c>
      <c r="D151" s="22" t="s">
        <v>1479</v>
      </c>
      <c r="E151" s="22" t="s">
        <v>27</v>
      </c>
      <c r="F151" s="22" t="s">
        <v>1462</v>
      </c>
      <c r="G151" s="22">
        <v>69.58</v>
      </c>
      <c r="H151" s="22">
        <v>9</v>
      </c>
      <c r="I151" s="22">
        <v>31.311</v>
      </c>
      <c r="J151" s="66">
        <v>657.53099999999995</v>
      </c>
      <c r="K151" s="24" t="s">
        <v>1645</v>
      </c>
      <c r="L151" s="25">
        <v>0.81805555555555554</v>
      </c>
      <c r="M151" s="22" t="s">
        <v>1477</v>
      </c>
      <c r="N151" s="26">
        <v>626.22</v>
      </c>
      <c r="O151" s="27">
        <f t="shared" si="2"/>
        <v>4.761904762E-2</v>
      </c>
      <c r="P151" s="23">
        <v>31.311</v>
      </c>
      <c r="Q151" s="28">
        <v>7.8</v>
      </c>
      <c r="Y151" s="5" t="s">
        <v>1486</v>
      </c>
      <c r="Z151" s="5">
        <v>3</v>
      </c>
    </row>
    <row r="152" spans="1:26" x14ac:dyDescent="0.35">
      <c r="A152" s="21" t="s">
        <v>1669</v>
      </c>
      <c r="B152" s="22" t="s">
        <v>1475</v>
      </c>
      <c r="C152" s="22" t="s">
        <v>1476</v>
      </c>
      <c r="D152" s="22" t="s">
        <v>1461</v>
      </c>
      <c r="E152" s="22" t="s">
        <v>27</v>
      </c>
      <c r="F152" s="22" t="s">
        <v>1482</v>
      </c>
      <c r="G152" s="22">
        <v>97.5</v>
      </c>
      <c r="H152" s="22">
        <v>10</v>
      </c>
      <c r="I152" s="22">
        <v>48.75</v>
      </c>
      <c r="J152" s="66">
        <v>1023.75</v>
      </c>
      <c r="K152" s="24">
        <v>43800</v>
      </c>
      <c r="L152" s="25">
        <v>0.6791666666666667</v>
      </c>
      <c r="M152" s="22" t="s">
        <v>1469</v>
      </c>
      <c r="N152" s="26">
        <v>975</v>
      </c>
      <c r="O152" s="27">
        <f t="shared" si="2"/>
        <v>4.761904762E-2</v>
      </c>
      <c r="P152" s="23">
        <v>48.75</v>
      </c>
      <c r="Q152" s="28">
        <v>8</v>
      </c>
      <c r="Y152" s="5" t="s">
        <v>1501</v>
      </c>
      <c r="Z152" s="5">
        <v>9</v>
      </c>
    </row>
    <row r="153" spans="1:26" x14ac:dyDescent="0.35">
      <c r="A153" s="21" t="s">
        <v>1670</v>
      </c>
      <c r="B153" s="22" t="s">
        <v>1475</v>
      </c>
      <c r="C153" s="22" t="s">
        <v>1476</v>
      </c>
      <c r="D153" s="22" t="s">
        <v>1461</v>
      </c>
      <c r="E153" s="22" t="s">
        <v>19</v>
      </c>
      <c r="F153" s="22" t="s">
        <v>1468</v>
      </c>
      <c r="G153" s="22">
        <v>60.41</v>
      </c>
      <c r="H153" s="22">
        <v>8</v>
      </c>
      <c r="I153" s="22">
        <v>24.164000000000001</v>
      </c>
      <c r="J153" s="66">
        <v>507.44400000000002</v>
      </c>
      <c r="K153" s="24">
        <v>43648</v>
      </c>
      <c r="L153" s="25">
        <v>0.51597222222222228</v>
      </c>
      <c r="M153" s="22" t="s">
        <v>1469</v>
      </c>
      <c r="N153" s="26">
        <v>483.28</v>
      </c>
      <c r="O153" s="27">
        <f t="shared" si="2"/>
        <v>4.761904762E-2</v>
      </c>
      <c r="P153" s="23">
        <v>24.164000000000001</v>
      </c>
      <c r="Q153" s="28">
        <v>9.6</v>
      </c>
      <c r="Y153" s="5" t="s">
        <v>1486</v>
      </c>
      <c r="Z153" s="5">
        <v>7</v>
      </c>
    </row>
    <row r="154" spans="1:26" x14ac:dyDescent="0.35">
      <c r="A154" s="21" t="s">
        <v>1671</v>
      </c>
      <c r="B154" s="22" t="s">
        <v>1466</v>
      </c>
      <c r="C154" s="22" t="s">
        <v>1467</v>
      </c>
      <c r="D154" s="22" t="s">
        <v>1461</v>
      </c>
      <c r="E154" s="22" t="s">
        <v>27</v>
      </c>
      <c r="F154" s="22" t="s">
        <v>1486</v>
      </c>
      <c r="G154" s="22">
        <v>32.32</v>
      </c>
      <c r="H154" s="22">
        <v>3</v>
      </c>
      <c r="I154" s="22">
        <v>4.8479999999999999</v>
      </c>
      <c r="J154" s="23">
        <v>101.80800000000001</v>
      </c>
      <c r="K154" s="24" t="s">
        <v>1531</v>
      </c>
      <c r="L154" s="25">
        <v>0.7993055555555556</v>
      </c>
      <c r="M154" s="22" t="s">
        <v>1477</v>
      </c>
      <c r="N154" s="26">
        <v>96.96</v>
      </c>
      <c r="O154" s="27">
        <f t="shared" si="2"/>
        <v>4.761904762E-2</v>
      </c>
      <c r="P154" s="23">
        <v>4.8479999999999999</v>
      </c>
      <c r="Q154" s="28">
        <v>4.3</v>
      </c>
      <c r="Y154" s="5" t="s">
        <v>1473</v>
      </c>
      <c r="Z154" s="5">
        <v>10</v>
      </c>
    </row>
    <row r="155" spans="1:26" x14ac:dyDescent="0.35">
      <c r="A155" s="21" t="s">
        <v>1672</v>
      </c>
      <c r="B155" s="22" t="s">
        <v>1466</v>
      </c>
      <c r="C155" s="22" t="s">
        <v>1467</v>
      </c>
      <c r="D155" s="22" t="s">
        <v>1479</v>
      </c>
      <c r="E155" s="22" t="s">
        <v>19</v>
      </c>
      <c r="F155" s="22" t="s">
        <v>1468</v>
      </c>
      <c r="G155" s="22">
        <v>19.77</v>
      </c>
      <c r="H155" s="22">
        <v>10</v>
      </c>
      <c r="I155" s="22">
        <v>9.8849999999999998</v>
      </c>
      <c r="J155" s="23">
        <v>207.58500000000001</v>
      </c>
      <c r="K155" s="24" t="s">
        <v>1599</v>
      </c>
      <c r="L155" s="25">
        <v>0.7895833333333333</v>
      </c>
      <c r="M155" s="22" t="s">
        <v>1477</v>
      </c>
      <c r="N155" s="26">
        <v>197.7</v>
      </c>
      <c r="O155" s="27">
        <f t="shared" si="2"/>
        <v>4.761904762E-2</v>
      </c>
      <c r="P155" s="23">
        <v>9.8849999999999998</v>
      </c>
      <c r="Q155" s="28">
        <v>5</v>
      </c>
      <c r="Y155" s="5" t="s">
        <v>1468</v>
      </c>
      <c r="Z155" s="5">
        <v>7</v>
      </c>
    </row>
    <row r="156" spans="1:26" x14ac:dyDescent="0.35">
      <c r="A156" s="21" t="s">
        <v>1673</v>
      </c>
      <c r="B156" s="22" t="s">
        <v>1466</v>
      </c>
      <c r="C156" s="22" t="s">
        <v>1467</v>
      </c>
      <c r="D156" s="22" t="s">
        <v>1479</v>
      </c>
      <c r="E156" s="22" t="s">
        <v>27</v>
      </c>
      <c r="F156" s="22" t="s">
        <v>1473</v>
      </c>
      <c r="G156" s="22">
        <v>80.47</v>
      </c>
      <c r="H156" s="22">
        <v>9</v>
      </c>
      <c r="I156" s="22">
        <v>36.211500000000001</v>
      </c>
      <c r="J156" s="66">
        <v>760.44150000000002</v>
      </c>
      <c r="K156" s="24">
        <v>43617</v>
      </c>
      <c r="L156" s="25">
        <v>0.47083333333333333</v>
      </c>
      <c r="M156" s="22" t="s">
        <v>1464</v>
      </c>
      <c r="N156" s="26">
        <v>724.23</v>
      </c>
      <c r="O156" s="27">
        <f t="shared" si="2"/>
        <v>4.761904762E-2</v>
      </c>
      <c r="P156" s="23">
        <v>36.211500000000001</v>
      </c>
      <c r="Q156" s="28">
        <v>9.1999999999999993</v>
      </c>
      <c r="Y156" s="5" t="s">
        <v>1486</v>
      </c>
      <c r="Z156" s="5">
        <v>9</v>
      </c>
    </row>
    <row r="157" spans="1:26" x14ac:dyDescent="0.35">
      <c r="A157" s="21" t="s">
        <v>1674</v>
      </c>
      <c r="B157" s="22" t="s">
        <v>1466</v>
      </c>
      <c r="C157" s="22" t="s">
        <v>1467</v>
      </c>
      <c r="D157" s="22" t="s">
        <v>1479</v>
      </c>
      <c r="E157" s="22" t="s">
        <v>19</v>
      </c>
      <c r="F157" s="22" t="s">
        <v>1482</v>
      </c>
      <c r="G157" s="22">
        <v>88.39</v>
      </c>
      <c r="H157" s="22">
        <v>9</v>
      </c>
      <c r="I157" s="22">
        <v>39.775500000000001</v>
      </c>
      <c r="J157" s="66">
        <v>835.28549999999996</v>
      </c>
      <c r="K157" s="24">
        <v>43499</v>
      </c>
      <c r="L157" s="25">
        <v>0.52777777777777779</v>
      </c>
      <c r="M157" s="22" t="s">
        <v>1464</v>
      </c>
      <c r="N157" s="26">
        <v>795.51</v>
      </c>
      <c r="O157" s="27">
        <f t="shared" si="2"/>
        <v>4.761904762E-2</v>
      </c>
      <c r="P157" s="23">
        <v>39.775500000000001</v>
      </c>
      <c r="Q157" s="28">
        <v>6.3</v>
      </c>
      <c r="Y157" s="5" t="s">
        <v>1482</v>
      </c>
      <c r="Z157" s="5">
        <v>5</v>
      </c>
    </row>
    <row r="158" spans="1:26" x14ac:dyDescent="0.35">
      <c r="A158" s="21" t="s">
        <v>1675</v>
      </c>
      <c r="B158" s="22" t="s">
        <v>1466</v>
      </c>
      <c r="C158" s="22" t="s">
        <v>1467</v>
      </c>
      <c r="D158" s="22" t="s">
        <v>1461</v>
      </c>
      <c r="E158" s="22" t="s">
        <v>27</v>
      </c>
      <c r="F158" s="22" t="s">
        <v>1473</v>
      </c>
      <c r="G158" s="22">
        <v>71.77</v>
      </c>
      <c r="H158" s="22">
        <v>7</v>
      </c>
      <c r="I158" s="22">
        <v>25.119499999999999</v>
      </c>
      <c r="J158" s="66">
        <v>527.5095</v>
      </c>
      <c r="K158" s="24" t="s">
        <v>1490</v>
      </c>
      <c r="L158" s="25">
        <v>0.58750000000000002</v>
      </c>
      <c r="M158" s="22" t="s">
        <v>1464</v>
      </c>
      <c r="N158" s="26">
        <v>502.39</v>
      </c>
      <c r="O158" s="27">
        <f t="shared" si="2"/>
        <v>4.761904762E-2</v>
      </c>
      <c r="P158" s="23">
        <v>25.119499999999999</v>
      </c>
      <c r="Q158" s="28">
        <v>8.9</v>
      </c>
      <c r="Y158" s="5" t="s">
        <v>1501</v>
      </c>
      <c r="Z158" s="5">
        <v>4</v>
      </c>
    </row>
    <row r="159" spans="1:26" x14ac:dyDescent="0.35">
      <c r="A159" s="21" t="s">
        <v>1676</v>
      </c>
      <c r="B159" s="22" t="s">
        <v>1466</v>
      </c>
      <c r="C159" s="22" t="s">
        <v>1467</v>
      </c>
      <c r="D159" s="22" t="s">
        <v>1461</v>
      </c>
      <c r="E159" s="22" t="s">
        <v>19</v>
      </c>
      <c r="F159" s="22" t="s">
        <v>1462</v>
      </c>
      <c r="G159" s="22">
        <v>43</v>
      </c>
      <c r="H159" s="22">
        <v>4</v>
      </c>
      <c r="I159" s="22">
        <v>8.6</v>
      </c>
      <c r="J159" s="23">
        <v>180.6</v>
      </c>
      <c r="K159" s="24" t="s">
        <v>1677</v>
      </c>
      <c r="L159" s="25">
        <v>0.8666666666666667</v>
      </c>
      <c r="M159" s="22" t="s">
        <v>1469</v>
      </c>
      <c r="N159" s="26">
        <v>172</v>
      </c>
      <c r="O159" s="27">
        <f t="shared" si="2"/>
        <v>4.761904762E-2</v>
      </c>
      <c r="P159" s="23">
        <v>8.6</v>
      </c>
      <c r="Q159" s="28">
        <v>7.6</v>
      </c>
      <c r="Y159" s="5" t="s">
        <v>1482</v>
      </c>
      <c r="Z159" s="5">
        <v>4</v>
      </c>
    </row>
    <row r="160" spans="1:26" x14ac:dyDescent="0.35">
      <c r="A160" s="21" t="s">
        <v>1678</v>
      </c>
      <c r="B160" s="22" t="s">
        <v>1475</v>
      </c>
      <c r="C160" s="22" t="s">
        <v>1476</v>
      </c>
      <c r="D160" s="22" t="s">
        <v>1479</v>
      </c>
      <c r="E160" s="22" t="s">
        <v>27</v>
      </c>
      <c r="F160" s="22" t="s">
        <v>1486</v>
      </c>
      <c r="G160" s="22">
        <v>68.98</v>
      </c>
      <c r="H160" s="22">
        <v>1</v>
      </c>
      <c r="I160" s="22">
        <v>3.4489999999999998</v>
      </c>
      <c r="J160" s="23">
        <v>72.429000000000002</v>
      </c>
      <c r="K160" s="24" t="s">
        <v>1679</v>
      </c>
      <c r="L160" s="25">
        <v>0.84236111111111112</v>
      </c>
      <c r="M160" s="22" t="s">
        <v>1464</v>
      </c>
      <c r="N160" s="26">
        <v>68.98</v>
      </c>
      <c r="O160" s="27">
        <f t="shared" si="2"/>
        <v>4.761904762E-2</v>
      </c>
      <c r="P160" s="23">
        <v>3.4489999999999998</v>
      </c>
      <c r="Q160" s="28">
        <v>4.8</v>
      </c>
      <c r="Y160" s="5" t="s">
        <v>1462</v>
      </c>
      <c r="Z160" s="5">
        <v>9</v>
      </c>
    </row>
    <row r="161" spans="1:26" x14ac:dyDescent="0.35">
      <c r="A161" s="21" t="s">
        <v>1680</v>
      </c>
      <c r="B161" s="22" t="s">
        <v>1475</v>
      </c>
      <c r="C161" s="22" t="s">
        <v>1476</v>
      </c>
      <c r="D161" s="22" t="s">
        <v>1461</v>
      </c>
      <c r="E161" s="22" t="s">
        <v>27</v>
      </c>
      <c r="F161" s="22" t="s">
        <v>1468</v>
      </c>
      <c r="G161" s="22">
        <v>15.62</v>
      </c>
      <c r="H161" s="22">
        <v>8</v>
      </c>
      <c r="I161" s="22">
        <v>6.2480000000000002</v>
      </c>
      <c r="J161" s="23">
        <v>131.208</v>
      </c>
      <c r="K161" s="24" t="s">
        <v>1483</v>
      </c>
      <c r="L161" s="25">
        <v>0.85902777777777772</v>
      </c>
      <c r="M161" s="22" t="s">
        <v>1469</v>
      </c>
      <c r="N161" s="26">
        <v>124.96</v>
      </c>
      <c r="O161" s="27">
        <f t="shared" si="2"/>
        <v>4.761904762E-2</v>
      </c>
      <c r="P161" s="23">
        <v>6.2480000000000002</v>
      </c>
      <c r="Q161" s="28">
        <v>9.1</v>
      </c>
      <c r="Y161" s="5" t="s">
        <v>1482</v>
      </c>
      <c r="Z161" s="5">
        <v>10</v>
      </c>
    </row>
    <row r="162" spans="1:26" x14ac:dyDescent="0.35">
      <c r="A162" s="21" t="s">
        <v>1681</v>
      </c>
      <c r="B162" s="22" t="s">
        <v>1459</v>
      </c>
      <c r="C162" s="22" t="s">
        <v>1460</v>
      </c>
      <c r="D162" s="22" t="s">
        <v>1461</v>
      </c>
      <c r="E162" s="22" t="s">
        <v>27</v>
      </c>
      <c r="F162" s="22" t="s">
        <v>1501</v>
      </c>
      <c r="G162" s="22">
        <v>25.7</v>
      </c>
      <c r="H162" s="22">
        <v>3</v>
      </c>
      <c r="I162" s="22">
        <v>3.855</v>
      </c>
      <c r="J162" s="23">
        <v>80.954999999999998</v>
      </c>
      <c r="K162" s="24" t="s">
        <v>1499</v>
      </c>
      <c r="L162" s="25">
        <v>0.74930555555555556</v>
      </c>
      <c r="M162" s="22" t="s">
        <v>1469</v>
      </c>
      <c r="N162" s="26">
        <v>77.099999999999994</v>
      </c>
      <c r="O162" s="27">
        <f t="shared" si="2"/>
        <v>4.761904762E-2</v>
      </c>
      <c r="P162" s="23">
        <v>3.855</v>
      </c>
      <c r="Q162" s="28">
        <v>6.1</v>
      </c>
      <c r="Y162" s="5" t="s">
        <v>1468</v>
      </c>
      <c r="Z162" s="5">
        <v>8</v>
      </c>
    </row>
    <row r="163" spans="1:26" x14ac:dyDescent="0.35">
      <c r="A163" s="21" t="s">
        <v>1682</v>
      </c>
      <c r="B163" s="22" t="s">
        <v>1459</v>
      </c>
      <c r="C163" s="22" t="s">
        <v>1460</v>
      </c>
      <c r="D163" s="22" t="s">
        <v>1479</v>
      </c>
      <c r="E163" s="22" t="s">
        <v>27</v>
      </c>
      <c r="F163" s="22" t="s">
        <v>1486</v>
      </c>
      <c r="G163" s="22">
        <v>80.62</v>
      </c>
      <c r="H163" s="22">
        <v>6</v>
      </c>
      <c r="I163" s="22">
        <v>24.186</v>
      </c>
      <c r="J163" s="66">
        <v>507.90600000000001</v>
      </c>
      <c r="K163" s="24" t="s">
        <v>1683</v>
      </c>
      <c r="L163" s="25">
        <v>0.84583333333333333</v>
      </c>
      <c r="M163" s="22" t="s">
        <v>1464</v>
      </c>
      <c r="N163" s="26">
        <v>483.72</v>
      </c>
      <c r="O163" s="27">
        <f t="shared" si="2"/>
        <v>4.761904762E-2</v>
      </c>
      <c r="P163" s="23">
        <v>24.186</v>
      </c>
      <c r="Q163" s="28">
        <v>9.1</v>
      </c>
      <c r="Y163" s="5" t="s">
        <v>1486</v>
      </c>
      <c r="Z163" s="5">
        <v>3</v>
      </c>
    </row>
    <row r="164" spans="1:26" x14ac:dyDescent="0.35">
      <c r="A164" s="21" t="s">
        <v>1684</v>
      </c>
      <c r="B164" s="22" t="s">
        <v>1475</v>
      </c>
      <c r="C164" s="22" t="s">
        <v>1476</v>
      </c>
      <c r="D164" s="22" t="s">
        <v>1479</v>
      </c>
      <c r="E164" s="22" t="s">
        <v>19</v>
      </c>
      <c r="F164" s="22" t="s">
        <v>1482</v>
      </c>
      <c r="G164" s="22">
        <v>75.53</v>
      </c>
      <c r="H164" s="22">
        <v>4</v>
      </c>
      <c r="I164" s="22">
        <v>15.106</v>
      </c>
      <c r="J164" s="23">
        <v>317.226</v>
      </c>
      <c r="K164" s="24" t="s">
        <v>1596</v>
      </c>
      <c r="L164" s="25">
        <v>0.66111111111111109</v>
      </c>
      <c r="M164" s="22" t="s">
        <v>1469</v>
      </c>
      <c r="N164" s="26">
        <v>302.12</v>
      </c>
      <c r="O164" s="27">
        <f t="shared" si="2"/>
        <v>4.761904762E-2</v>
      </c>
      <c r="P164" s="23">
        <v>15.106</v>
      </c>
      <c r="Q164" s="28">
        <v>8.3000000000000007</v>
      </c>
      <c r="Y164" s="5" t="s">
        <v>1468</v>
      </c>
      <c r="Z164" s="5">
        <v>10</v>
      </c>
    </row>
    <row r="165" spans="1:26" x14ac:dyDescent="0.35">
      <c r="A165" s="21" t="s">
        <v>1685</v>
      </c>
      <c r="B165" s="22" t="s">
        <v>1475</v>
      </c>
      <c r="C165" s="22" t="s">
        <v>1476</v>
      </c>
      <c r="D165" s="22" t="s">
        <v>1461</v>
      </c>
      <c r="E165" s="22" t="s">
        <v>19</v>
      </c>
      <c r="F165" s="22" t="s">
        <v>1462</v>
      </c>
      <c r="G165" s="22">
        <v>77.63</v>
      </c>
      <c r="H165" s="22">
        <v>9</v>
      </c>
      <c r="I165" s="22">
        <v>34.933500000000002</v>
      </c>
      <c r="J165" s="66">
        <v>733.60350000000005</v>
      </c>
      <c r="K165" s="24" t="s">
        <v>1645</v>
      </c>
      <c r="L165" s="25">
        <v>0.63472222222222219</v>
      </c>
      <c r="M165" s="22" t="s">
        <v>1469</v>
      </c>
      <c r="N165" s="26">
        <v>698.67</v>
      </c>
      <c r="O165" s="27">
        <f t="shared" si="2"/>
        <v>4.761904762E-2</v>
      </c>
      <c r="P165" s="23">
        <v>34.933500000000002</v>
      </c>
      <c r="Q165" s="28">
        <v>7.2</v>
      </c>
      <c r="Y165" s="5" t="s">
        <v>1473</v>
      </c>
      <c r="Z165" s="5">
        <v>9</v>
      </c>
    </row>
    <row r="166" spans="1:26" x14ac:dyDescent="0.35">
      <c r="A166" s="21" t="s">
        <v>1686</v>
      </c>
      <c r="B166" s="22" t="s">
        <v>1475</v>
      </c>
      <c r="C166" s="22" t="s">
        <v>1476</v>
      </c>
      <c r="D166" s="22" t="s">
        <v>1461</v>
      </c>
      <c r="E166" s="22" t="s">
        <v>19</v>
      </c>
      <c r="F166" s="22" t="s">
        <v>1473</v>
      </c>
      <c r="G166" s="22">
        <v>13.85</v>
      </c>
      <c r="H166" s="22">
        <v>9</v>
      </c>
      <c r="I166" s="22">
        <v>6.2324999999999999</v>
      </c>
      <c r="J166" s="23">
        <v>130.88249999999999</v>
      </c>
      <c r="K166" s="24">
        <v>43557</v>
      </c>
      <c r="L166" s="25">
        <v>0.53472222222222221</v>
      </c>
      <c r="M166" s="22" t="s">
        <v>1469</v>
      </c>
      <c r="N166" s="26">
        <v>124.65</v>
      </c>
      <c r="O166" s="27">
        <f t="shared" si="2"/>
        <v>4.761904762E-2</v>
      </c>
      <c r="P166" s="23">
        <v>6.2324999999999999</v>
      </c>
      <c r="Q166" s="28">
        <v>6</v>
      </c>
      <c r="Y166" s="5" t="s">
        <v>1482</v>
      </c>
      <c r="Z166" s="5">
        <v>9</v>
      </c>
    </row>
    <row r="167" spans="1:26" x14ac:dyDescent="0.35">
      <c r="A167" s="21" t="s">
        <v>1687</v>
      </c>
      <c r="B167" s="22" t="s">
        <v>1475</v>
      </c>
      <c r="C167" s="22" t="s">
        <v>1476</v>
      </c>
      <c r="D167" s="22" t="s">
        <v>1479</v>
      </c>
      <c r="E167" s="22" t="s">
        <v>27</v>
      </c>
      <c r="F167" s="22" t="s">
        <v>1468</v>
      </c>
      <c r="G167" s="22">
        <v>98.7</v>
      </c>
      <c r="H167" s="22">
        <v>8</v>
      </c>
      <c r="I167" s="22">
        <v>39.479999999999997</v>
      </c>
      <c r="J167" s="66">
        <v>829.08</v>
      </c>
      <c r="K167" s="24" t="s">
        <v>1677</v>
      </c>
      <c r="L167" s="25">
        <v>0.44166666666666665</v>
      </c>
      <c r="M167" s="22" t="s">
        <v>1469</v>
      </c>
      <c r="N167" s="26">
        <v>789.6</v>
      </c>
      <c r="O167" s="27">
        <f t="shared" si="2"/>
        <v>4.761904762E-2</v>
      </c>
      <c r="P167" s="23">
        <v>39.479999999999997</v>
      </c>
      <c r="Q167" s="28">
        <v>8.5</v>
      </c>
      <c r="Y167" s="5" t="s">
        <v>1473</v>
      </c>
      <c r="Z167" s="5">
        <v>7</v>
      </c>
    </row>
    <row r="168" spans="1:26" x14ac:dyDescent="0.35">
      <c r="A168" s="21" t="s">
        <v>1688</v>
      </c>
      <c r="B168" s="22" t="s">
        <v>1459</v>
      </c>
      <c r="C168" s="22" t="s">
        <v>1460</v>
      </c>
      <c r="D168" s="22" t="s">
        <v>1461</v>
      </c>
      <c r="E168" s="22" t="s">
        <v>19</v>
      </c>
      <c r="F168" s="22" t="s">
        <v>1473</v>
      </c>
      <c r="G168" s="22">
        <v>35.68</v>
      </c>
      <c r="H168" s="22">
        <v>5</v>
      </c>
      <c r="I168" s="22">
        <v>8.92</v>
      </c>
      <c r="J168" s="23">
        <v>187.32</v>
      </c>
      <c r="K168" s="24">
        <v>43618</v>
      </c>
      <c r="L168" s="25">
        <v>0.7729166666666667</v>
      </c>
      <c r="M168" s="22" t="s">
        <v>1477</v>
      </c>
      <c r="N168" s="26">
        <v>178.4</v>
      </c>
      <c r="O168" s="27">
        <f t="shared" si="2"/>
        <v>4.761904762E-2</v>
      </c>
      <c r="P168" s="23">
        <v>8.92</v>
      </c>
      <c r="Q168" s="28">
        <v>6.6</v>
      </c>
      <c r="Y168" s="5" t="s">
        <v>1462</v>
      </c>
      <c r="Z168" s="5">
        <v>4</v>
      </c>
    </row>
    <row r="169" spans="1:26" x14ac:dyDescent="0.35">
      <c r="A169" s="21" t="s">
        <v>1689</v>
      </c>
      <c r="B169" s="22" t="s">
        <v>1459</v>
      </c>
      <c r="C169" s="22" t="s">
        <v>1460</v>
      </c>
      <c r="D169" s="22" t="s">
        <v>1479</v>
      </c>
      <c r="E169" s="22" t="s">
        <v>19</v>
      </c>
      <c r="F169" s="22" t="s">
        <v>1468</v>
      </c>
      <c r="G169" s="22">
        <v>71.459999999999994</v>
      </c>
      <c r="H169" s="22">
        <v>7</v>
      </c>
      <c r="I169" s="22">
        <v>25.010999999999999</v>
      </c>
      <c r="J169" s="66">
        <v>525.23099999999999</v>
      </c>
      <c r="K169" s="24" t="s">
        <v>1560</v>
      </c>
      <c r="L169" s="25">
        <v>0.67083333333333328</v>
      </c>
      <c r="M169" s="22" t="s">
        <v>1469</v>
      </c>
      <c r="N169" s="26">
        <v>500.22</v>
      </c>
      <c r="O169" s="27">
        <f t="shared" si="2"/>
        <v>4.761904762E-2</v>
      </c>
      <c r="P169" s="23">
        <v>25.010999999999999</v>
      </c>
      <c r="Q169" s="28">
        <v>4.5</v>
      </c>
      <c r="Y169" s="5" t="s">
        <v>1486</v>
      </c>
      <c r="Z169" s="5">
        <v>1</v>
      </c>
    </row>
    <row r="170" spans="1:26" x14ac:dyDescent="0.35">
      <c r="A170" s="21" t="s">
        <v>1690</v>
      </c>
      <c r="B170" s="22" t="s">
        <v>1459</v>
      </c>
      <c r="C170" s="22" t="s">
        <v>1460</v>
      </c>
      <c r="D170" s="22" t="s">
        <v>1479</v>
      </c>
      <c r="E170" s="22" t="s">
        <v>27</v>
      </c>
      <c r="F170" s="22" t="s">
        <v>1462</v>
      </c>
      <c r="G170" s="22">
        <v>11.94</v>
      </c>
      <c r="H170" s="22">
        <v>3</v>
      </c>
      <c r="I170" s="22">
        <v>1.7909999999999999</v>
      </c>
      <c r="J170" s="23">
        <v>37.610999999999997</v>
      </c>
      <c r="K170" s="24" t="s">
        <v>1528</v>
      </c>
      <c r="L170" s="25">
        <v>0.53263888888888888</v>
      </c>
      <c r="M170" s="22" t="s">
        <v>1477</v>
      </c>
      <c r="N170" s="26">
        <v>35.82</v>
      </c>
      <c r="O170" s="27">
        <f t="shared" si="2"/>
        <v>4.761904762E-2</v>
      </c>
      <c r="P170" s="23">
        <v>1.7909999999999999</v>
      </c>
      <c r="Q170" s="28">
        <v>8.1</v>
      </c>
      <c r="Y170" s="5" t="s">
        <v>1468</v>
      </c>
      <c r="Z170" s="5">
        <v>8</v>
      </c>
    </row>
    <row r="171" spans="1:26" x14ac:dyDescent="0.35">
      <c r="A171" s="21" t="s">
        <v>1691</v>
      </c>
      <c r="B171" s="22" t="s">
        <v>1459</v>
      </c>
      <c r="C171" s="22" t="s">
        <v>1460</v>
      </c>
      <c r="D171" s="22" t="s">
        <v>1461</v>
      </c>
      <c r="E171" s="22" t="s">
        <v>27</v>
      </c>
      <c r="F171" s="22" t="s">
        <v>1468</v>
      </c>
      <c r="G171" s="22">
        <v>45.38</v>
      </c>
      <c r="H171" s="22">
        <v>3</v>
      </c>
      <c r="I171" s="22">
        <v>6.8070000000000004</v>
      </c>
      <c r="J171" s="23">
        <v>142.947</v>
      </c>
      <c r="K171" s="24" t="s">
        <v>1546</v>
      </c>
      <c r="L171" s="25">
        <v>0.56527777777777777</v>
      </c>
      <c r="M171" s="22" t="s">
        <v>1477</v>
      </c>
      <c r="N171" s="26">
        <v>136.13999999999999</v>
      </c>
      <c r="O171" s="27">
        <f t="shared" si="2"/>
        <v>4.761904762E-2</v>
      </c>
      <c r="P171" s="23">
        <v>6.8070000000000004</v>
      </c>
      <c r="Q171" s="28">
        <v>7.2</v>
      </c>
      <c r="Y171" s="5" t="s">
        <v>1501</v>
      </c>
      <c r="Z171" s="5">
        <v>3</v>
      </c>
    </row>
    <row r="172" spans="1:26" x14ac:dyDescent="0.35">
      <c r="A172" s="21" t="s">
        <v>1692</v>
      </c>
      <c r="B172" s="22" t="s">
        <v>1466</v>
      </c>
      <c r="C172" s="22" t="s">
        <v>1467</v>
      </c>
      <c r="D172" s="22" t="s">
        <v>1479</v>
      </c>
      <c r="E172" s="22" t="s">
        <v>19</v>
      </c>
      <c r="F172" s="22" t="s">
        <v>1468</v>
      </c>
      <c r="G172" s="22">
        <v>17.48</v>
      </c>
      <c r="H172" s="22">
        <v>6</v>
      </c>
      <c r="I172" s="22">
        <v>5.2439999999999998</v>
      </c>
      <c r="J172" s="23">
        <v>110.124</v>
      </c>
      <c r="K172" s="24" t="s">
        <v>1608</v>
      </c>
      <c r="L172" s="25">
        <v>0.62777777777777777</v>
      </c>
      <c r="M172" s="22" t="s">
        <v>1477</v>
      </c>
      <c r="N172" s="26">
        <v>104.88</v>
      </c>
      <c r="O172" s="27">
        <f t="shared" si="2"/>
        <v>4.761904762E-2</v>
      </c>
      <c r="P172" s="23">
        <v>5.2439999999999998</v>
      </c>
      <c r="Q172" s="28">
        <v>6.1</v>
      </c>
      <c r="Y172" s="5" t="s">
        <v>1486</v>
      </c>
      <c r="Z172" s="5">
        <v>6</v>
      </c>
    </row>
    <row r="173" spans="1:26" x14ac:dyDescent="0.35">
      <c r="A173" s="21" t="s">
        <v>1693</v>
      </c>
      <c r="B173" s="22" t="s">
        <v>1466</v>
      </c>
      <c r="C173" s="22" t="s">
        <v>1467</v>
      </c>
      <c r="D173" s="22" t="s">
        <v>1461</v>
      </c>
      <c r="E173" s="22" t="s">
        <v>19</v>
      </c>
      <c r="F173" s="22" t="s">
        <v>1468</v>
      </c>
      <c r="G173" s="22">
        <v>25.56</v>
      </c>
      <c r="H173" s="22">
        <v>7</v>
      </c>
      <c r="I173" s="22">
        <v>8.9459999999999997</v>
      </c>
      <c r="J173" s="23">
        <v>187.86600000000001</v>
      </c>
      <c r="K173" s="24">
        <v>43498</v>
      </c>
      <c r="L173" s="25">
        <v>0.86250000000000004</v>
      </c>
      <c r="M173" s="22" t="s">
        <v>1464</v>
      </c>
      <c r="N173" s="26">
        <v>178.92</v>
      </c>
      <c r="O173" s="27">
        <f t="shared" si="2"/>
        <v>4.761904762E-2</v>
      </c>
      <c r="P173" s="23">
        <v>8.9459999999999997</v>
      </c>
      <c r="Q173" s="28">
        <v>7.1</v>
      </c>
      <c r="Y173" s="5" t="s">
        <v>1482</v>
      </c>
      <c r="Z173" s="5">
        <v>4</v>
      </c>
    </row>
    <row r="174" spans="1:26" x14ac:dyDescent="0.35">
      <c r="A174" s="21" t="s">
        <v>1694</v>
      </c>
      <c r="B174" s="22" t="s">
        <v>1475</v>
      </c>
      <c r="C174" s="22" t="s">
        <v>1476</v>
      </c>
      <c r="D174" s="22" t="s">
        <v>1479</v>
      </c>
      <c r="E174" s="22" t="s">
        <v>19</v>
      </c>
      <c r="F174" s="22" t="s">
        <v>1501</v>
      </c>
      <c r="G174" s="22">
        <v>90.63</v>
      </c>
      <c r="H174" s="22">
        <v>9</v>
      </c>
      <c r="I174" s="22">
        <v>40.783499999999997</v>
      </c>
      <c r="J174" s="66">
        <v>856.45349999999996</v>
      </c>
      <c r="K174" s="24" t="s">
        <v>1608</v>
      </c>
      <c r="L174" s="25">
        <v>0.64444444444444449</v>
      </c>
      <c r="M174" s="22" t="s">
        <v>1464</v>
      </c>
      <c r="N174" s="26">
        <v>815.67</v>
      </c>
      <c r="O174" s="27">
        <f t="shared" si="2"/>
        <v>4.761904762E-2</v>
      </c>
      <c r="P174" s="23">
        <v>40.783499999999997</v>
      </c>
      <c r="Q174" s="28">
        <v>5.0999999999999996</v>
      </c>
      <c r="Y174" s="5" t="s">
        <v>1462</v>
      </c>
      <c r="Z174" s="5">
        <v>9</v>
      </c>
    </row>
    <row r="175" spans="1:26" x14ac:dyDescent="0.35">
      <c r="A175" s="21" t="s">
        <v>1695</v>
      </c>
      <c r="B175" s="22" t="s">
        <v>1466</v>
      </c>
      <c r="C175" s="22" t="s">
        <v>1467</v>
      </c>
      <c r="D175" s="22" t="s">
        <v>1461</v>
      </c>
      <c r="E175" s="22" t="s">
        <v>27</v>
      </c>
      <c r="F175" s="22" t="s">
        <v>1482</v>
      </c>
      <c r="G175" s="22">
        <v>44.12</v>
      </c>
      <c r="H175" s="22">
        <v>3</v>
      </c>
      <c r="I175" s="22">
        <v>6.6180000000000003</v>
      </c>
      <c r="J175" s="23">
        <v>138.97800000000001</v>
      </c>
      <c r="K175" s="24" t="s">
        <v>1591</v>
      </c>
      <c r="L175" s="25">
        <v>0.57291666666666663</v>
      </c>
      <c r="M175" s="22" t="s">
        <v>1477</v>
      </c>
      <c r="N175" s="26">
        <v>132.36000000000001</v>
      </c>
      <c r="O175" s="27">
        <f t="shared" si="2"/>
        <v>4.761904762E-2</v>
      </c>
      <c r="P175" s="23">
        <v>6.6180000000000003</v>
      </c>
      <c r="Q175" s="28">
        <v>7.9</v>
      </c>
      <c r="Y175" s="5" t="s">
        <v>1473</v>
      </c>
      <c r="Z175" s="5">
        <v>9</v>
      </c>
    </row>
    <row r="176" spans="1:26" x14ac:dyDescent="0.35">
      <c r="A176" s="21" t="s">
        <v>1696</v>
      </c>
      <c r="B176" s="22" t="s">
        <v>1475</v>
      </c>
      <c r="C176" s="22" t="s">
        <v>1476</v>
      </c>
      <c r="D176" s="22" t="s">
        <v>1479</v>
      </c>
      <c r="E176" s="22" t="s">
        <v>19</v>
      </c>
      <c r="F176" s="22" t="s">
        <v>1486</v>
      </c>
      <c r="G176" s="22">
        <v>36.770000000000003</v>
      </c>
      <c r="H176" s="22">
        <v>7</v>
      </c>
      <c r="I176" s="22">
        <v>12.8695</v>
      </c>
      <c r="J176" s="23">
        <v>270.2595</v>
      </c>
      <c r="K176" s="24">
        <v>43770</v>
      </c>
      <c r="L176" s="25">
        <v>0.84027777777777779</v>
      </c>
      <c r="M176" s="22" t="s">
        <v>1464</v>
      </c>
      <c r="N176" s="26">
        <v>257.39</v>
      </c>
      <c r="O176" s="27">
        <f t="shared" si="2"/>
        <v>4.761904762E-2</v>
      </c>
      <c r="P176" s="23">
        <v>12.8695</v>
      </c>
      <c r="Q176" s="28">
        <v>7.4</v>
      </c>
      <c r="Y176" s="5" t="s">
        <v>1468</v>
      </c>
      <c r="Z176" s="5">
        <v>8</v>
      </c>
    </row>
    <row r="177" spans="1:26" x14ac:dyDescent="0.35">
      <c r="A177" s="21" t="s">
        <v>1697</v>
      </c>
      <c r="B177" s="22" t="s">
        <v>1466</v>
      </c>
      <c r="C177" s="22" t="s">
        <v>1467</v>
      </c>
      <c r="D177" s="22" t="s">
        <v>1479</v>
      </c>
      <c r="E177" s="22" t="s">
        <v>27</v>
      </c>
      <c r="F177" s="22" t="s">
        <v>1486</v>
      </c>
      <c r="G177" s="22">
        <v>23.34</v>
      </c>
      <c r="H177" s="22">
        <v>4</v>
      </c>
      <c r="I177" s="22">
        <v>4.6680000000000001</v>
      </c>
      <c r="J177" s="23">
        <v>98.028000000000006</v>
      </c>
      <c r="K177" s="24">
        <v>43557</v>
      </c>
      <c r="L177" s="25">
        <v>0.78680555555555554</v>
      </c>
      <c r="M177" s="22" t="s">
        <v>1469</v>
      </c>
      <c r="N177" s="26">
        <v>93.36</v>
      </c>
      <c r="O177" s="27">
        <f t="shared" si="2"/>
        <v>4.761904762E-2</v>
      </c>
      <c r="P177" s="23">
        <v>4.6680000000000001</v>
      </c>
      <c r="Q177" s="28">
        <v>7.4</v>
      </c>
      <c r="Y177" s="5" t="s">
        <v>1473</v>
      </c>
      <c r="Z177" s="5">
        <v>5</v>
      </c>
    </row>
    <row r="178" spans="1:26" x14ac:dyDescent="0.35">
      <c r="A178" s="21" t="s">
        <v>1698</v>
      </c>
      <c r="B178" s="22" t="s">
        <v>1475</v>
      </c>
      <c r="C178" s="22" t="s">
        <v>1476</v>
      </c>
      <c r="D178" s="22" t="s">
        <v>1479</v>
      </c>
      <c r="E178" s="22" t="s">
        <v>19</v>
      </c>
      <c r="F178" s="22" t="s">
        <v>1473</v>
      </c>
      <c r="G178" s="22">
        <v>28.5</v>
      </c>
      <c r="H178" s="22">
        <v>8</v>
      </c>
      <c r="I178" s="22">
        <v>11.4</v>
      </c>
      <c r="J178" s="23">
        <v>239.4</v>
      </c>
      <c r="K178" s="24">
        <v>43618</v>
      </c>
      <c r="L178" s="25">
        <v>0.6</v>
      </c>
      <c r="M178" s="22" t="s">
        <v>1464</v>
      </c>
      <c r="N178" s="26">
        <v>228</v>
      </c>
      <c r="O178" s="27">
        <f t="shared" si="2"/>
        <v>4.761904762E-2</v>
      </c>
      <c r="P178" s="23">
        <v>11.4</v>
      </c>
      <c r="Q178" s="28">
        <v>6.6</v>
      </c>
      <c r="Y178" s="5" t="s">
        <v>1468</v>
      </c>
      <c r="Z178" s="5">
        <v>7</v>
      </c>
    </row>
    <row r="179" spans="1:26" x14ac:dyDescent="0.35">
      <c r="A179" s="21" t="s">
        <v>1699</v>
      </c>
      <c r="B179" s="22" t="s">
        <v>1475</v>
      </c>
      <c r="C179" s="22" t="s">
        <v>1476</v>
      </c>
      <c r="D179" s="22" t="s">
        <v>1479</v>
      </c>
      <c r="E179" s="22" t="s">
        <v>27</v>
      </c>
      <c r="F179" s="22" t="s">
        <v>1482</v>
      </c>
      <c r="G179" s="22">
        <v>55.57</v>
      </c>
      <c r="H179" s="22">
        <v>3</v>
      </c>
      <c r="I179" s="22">
        <v>8.3354999999999997</v>
      </c>
      <c r="J179" s="23">
        <v>175.0455</v>
      </c>
      <c r="K179" s="24">
        <v>43678</v>
      </c>
      <c r="L179" s="25">
        <v>0.48749999999999999</v>
      </c>
      <c r="M179" s="22" t="s">
        <v>1477</v>
      </c>
      <c r="N179" s="26">
        <v>166.71</v>
      </c>
      <c r="O179" s="27">
        <f t="shared" si="2"/>
        <v>4.761904762E-2</v>
      </c>
      <c r="P179" s="23">
        <v>8.3354999999999997</v>
      </c>
      <c r="Q179" s="28">
        <v>5.9</v>
      </c>
      <c r="Y179" s="5" t="s">
        <v>1462</v>
      </c>
      <c r="Z179" s="5">
        <v>3</v>
      </c>
    </row>
    <row r="180" spans="1:26" x14ac:dyDescent="0.35">
      <c r="A180" s="21" t="s">
        <v>1700</v>
      </c>
      <c r="B180" s="22" t="s">
        <v>1466</v>
      </c>
      <c r="C180" s="22" t="s">
        <v>1467</v>
      </c>
      <c r="D180" s="22" t="s">
        <v>1461</v>
      </c>
      <c r="E180" s="22" t="s">
        <v>27</v>
      </c>
      <c r="F180" s="22" t="s">
        <v>1501</v>
      </c>
      <c r="G180" s="22">
        <v>69.739999999999995</v>
      </c>
      <c r="H180" s="22">
        <v>10</v>
      </c>
      <c r="I180" s="22">
        <v>34.869999999999997</v>
      </c>
      <c r="J180" s="66">
        <v>732.27</v>
      </c>
      <c r="K180" s="24">
        <v>43588</v>
      </c>
      <c r="L180" s="25">
        <v>0.74236111111111114</v>
      </c>
      <c r="M180" s="22" t="s">
        <v>1477</v>
      </c>
      <c r="N180" s="26">
        <v>697.4</v>
      </c>
      <c r="O180" s="27">
        <f t="shared" si="2"/>
        <v>4.761904762E-2</v>
      </c>
      <c r="P180" s="23">
        <v>34.869999999999997</v>
      </c>
      <c r="Q180" s="28">
        <v>8.9</v>
      </c>
      <c r="Y180" s="5" t="s">
        <v>1468</v>
      </c>
      <c r="Z180" s="5">
        <v>3</v>
      </c>
    </row>
    <row r="181" spans="1:26" x14ac:dyDescent="0.35">
      <c r="A181" s="21" t="s">
        <v>1701</v>
      </c>
      <c r="B181" s="22" t="s">
        <v>1475</v>
      </c>
      <c r="C181" s="22" t="s">
        <v>1476</v>
      </c>
      <c r="D181" s="22" t="s">
        <v>1461</v>
      </c>
      <c r="E181" s="22" t="s">
        <v>27</v>
      </c>
      <c r="F181" s="22" t="s">
        <v>1468</v>
      </c>
      <c r="G181" s="22">
        <v>97.26</v>
      </c>
      <c r="H181" s="22">
        <v>4</v>
      </c>
      <c r="I181" s="22">
        <v>19.452000000000002</v>
      </c>
      <c r="J181" s="23">
        <v>408.49200000000002</v>
      </c>
      <c r="K181" s="24" t="s">
        <v>1702</v>
      </c>
      <c r="L181" s="25">
        <v>0.6479166666666667</v>
      </c>
      <c r="M181" s="22" t="s">
        <v>1469</v>
      </c>
      <c r="N181" s="26">
        <v>389.04</v>
      </c>
      <c r="O181" s="27">
        <f t="shared" si="2"/>
        <v>4.761904762E-2</v>
      </c>
      <c r="P181" s="23">
        <v>19.452000000000002</v>
      </c>
      <c r="Q181" s="28">
        <v>6.8</v>
      </c>
      <c r="Y181" s="5" t="s">
        <v>1468</v>
      </c>
      <c r="Z181" s="5">
        <v>6</v>
      </c>
    </row>
    <row r="182" spans="1:26" x14ac:dyDescent="0.35">
      <c r="A182" s="21" t="s">
        <v>1703</v>
      </c>
      <c r="B182" s="22" t="s">
        <v>1466</v>
      </c>
      <c r="C182" s="22" t="s">
        <v>1467</v>
      </c>
      <c r="D182" s="22" t="s">
        <v>1479</v>
      </c>
      <c r="E182" s="22" t="s">
        <v>19</v>
      </c>
      <c r="F182" s="22" t="s">
        <v>1482</v>
      </c>
      <c r="G182" s="22">
        <v>52.18</v>
      </c>
      <c r="H182" s="22">
        <v>7</v>
      </c>
      <c r="I182" s="22">
        <v>18.263000000000002</v>
      </c>
      <c r="J182" s="23">
        <v>383.52300000000002</v>
      </c>
      <c r="K182" s="24">
        <v>43711</v>
      </c>
      <c r="L182" s="25">
        <v>0.45416666666666666</v>
      </c>
      <c r="M182" s="22" t="s">
        <v>1464</v>
      </c>
      <c r="N182" s="26">
        <v>365.26</v>
      </c>
      <c r="O182" s="27">
        <f t="shared" si="2"/>
        <v>4.761904762E-2</v>
      </c>
      <c r="P182" s="23">
        <v>18.263000000000002</v>
      </c>
      <c r="Q182" s="28">
        <v>9.3000000000000007</v>
      </c>
      <c r="Y182" s="5" t="s">
        <v>1468</v>
      </c>
      <c r="Z182" s="5">
        <v>7</v>
      </c>
    </row>
    <row r="183" spans="1:26" x14ac:dyDescent="0.35">
      <c r="A183" s="21" t="s">
        <v>1704</v>
      </c>
      <c r="B183" s="22" t="s">
        <v>1459</v>
      </c>
      <c r="C183" s="22" t="s">
        <v>1460</v>
      </c>
      <c r="D183" s="22" t="s">
        <v>1479</v>
      </c>
      <c r="E183" s="22" t="s">
        <v>19</v>
      </c>
      <c r="F183" s="22" t="s">
        <v>1468</v>
      </c>
      <c r="G183" s="22">
        <v>22.32</v>
      </c>
      <c r="H183" s="22">
        <v>4</v>
      </c>
      <c r="I183" s="22">
        <v>4.4640000000000004</v>
      </c>
      <c r="J183" s="23">
        <v>93.744</v>
      </c>
      <c r="K183" s="24">
        <v>43468</v>
      </c>
      <c r="L183" s="25">
        <v>0.68263888888888891</v>
      </c>
      <c r="M183" s="22" t="s">
        <v>1477</v>
      </c>
      <c r="N183" s="26">
        <v>89.28</v>
      </c>
      <c r="O183" s="27">
        <f t="shared" si="2"/>
        <v>4.761904762E-2</v>
      </c>
      <c r="P183" s="23">
        <v>4.4640000000000004</v>
      </c>
      <c r="Q183" s="28">
        <v>4.4000000000000004</v>
      </c>
      <c r="Y183" s="5" t="s">
        <v>1501</v>
      </c>
      <c r="Z183" s="5">
        <v>9</v>
      </c>
    </row>
    <row r="184" spans="1:26" x14ac:dyDescent="0.35">
      <c r="A184" s="21" t="s">
        <v>1705</v>
      </c>
      <c r="B184" s="22" t="s">
        <v>1459</v>
      </c>
      <c r="C184" s="22" t="s">
        <v>1460</v>
      </c>
      <c r="D184" s="22" t="s">
        <v>1461</v>
      </c>
      <c r="E184" s="22" t="s">
        <v>27</v>
      </c>
      <c r="F184" s="22" t="s">
        <v>1473</v>
      </c>
      <c r="G184" s="22">
        <v>56</v>
      </c>
      <c r="H184" s="22">
        <v>3</v>
      </c>
      <c r="I184" s="22">
        <v>8.4</v>
      </c>
      <c r="J184" s="23">
        <v>176.4</v>
      </c>
      <c r="K184" s="24" t="s">
        <v>1683</v>
      </c>
      <c r="L184" s="25">
        <v>0.81458333333333333</v>
      </c>
      <c r="M184" s="22" t="s">
        <v>1469</v>
      </c>
      <c r="N184" s="26">
        <v>168</v>
      </c>
      <c r="O184" s="27">
        <f t="shared" si="2"/>
        <v>4.761904762E-2</v>
      </c>
      <c r="P184" s="23">
        <v>8.4</v>
      </c>
      <c r="Q184" s="28">
        <v>4.8</v>
      </c>
      <c r="Y184" s="5" t="s">
        <v>1482</v>
      </c>
      <c r="Z184" s="5">
        <v>3</v>
      </c>
    </row>
    <row r="185" spans="1:26" x14ac:dyDescent="0.35">
      <c r="A185" s="21" t="s">
        <v>1706</v>
      </c>
      <c r="B185" s="22" t="s">
        <v>1459</v>
      </c>
      <c r="C185" s="22" t="s">
        <v>1460</v>
      </c>
      <c r="D185" s="22" t="s">
        <v>1479</v>
      </c>
      <c r="E185" s="22" t="s">
        <v>27</v>
      </c>
      <c r="F185" s="22" t="s">
        <v>1468</v>
      </c>
      <c r="G185" s="22">
        <v>19.7</v>
      </c>
      <c r="H185" s="22">
        <v>1</v>
      </c>
      <c r="I185" s="22">
        <v>0.98499999999999999</v>
      </c>
      <c r="J185" s="23">
        <v>20.684999999999999</v>
      </c>
      <c r="K185" s="24">
        <v>43679</v>
      </c>
      <c r="L185" s="25">
        <v>0.48541666666666666</v>
      </c>
      <c r="M185" s="22" t="s">
        <v>1469</v>
      </c>
      <c r="N185" s="26">
        <v>19.7</v>
      </c>
      <c r="O185" s="27">
        <f t="shared" si="2"/>
        <v>4.761904762E-2</v>
      </c>
      <c r="P185" s="23">
        <v>0.98499999999999999</v>
      </c>
      <c r="Q185" s="28">
        <v>9.5</v>
      </c>
      <c r="Y185" s="5" t="s">
        <v>1486</v>
      </c>
      <c r="Z185" s="5">
        <v>7</v>
      </c>
    </row>
    <row r="186" spans="1:26" x14ac:dyDescent="0.35">
      <c r="A186" s="21" t="s">
        <v>1707</v>
      </c>
      <c r="B186" s="22" t="s">
        <v>1466</v>
      </c>
      <c r="C186" s="22" t="s">
        <v>1467</v>
      </c>
      <c r="D186" s="22" t="s">
        <v>1461</v>
      </c>
      <c r="E186" s="22" t="s">
        <v>27</v>
      </c>
      <c r="F186" s="22" t="s">
        <v>1462</v>
      </c>
      <c r="G186" s="22">
        <v>75.88</v>
      </c>
      <c r="H186" s="22">
        <v>7</v>
      </c>
      <c r="I186" s="22">
        <v>26.558</v>
      </c>
      <c r="J186" s="66">
        <v>557.71799999999996</v>
      </c>
      <c r="K186" s="24" t="s">
        <v>1566</v>
      </c>
      <c r="L186" s="25">
        <v>0.44305555555555554</v>
      </c>
      <c r="M186" s="22" t="s">
        <v>1469</v>
      </c>
      <c r="N186" s="26">
        <v>531.16</v>
      </c>
      <c r="O186" s="27">
        <f t="shared" si="2"/>
        <v>4.761904762E-2</v>
      </c>
      <c r="P186" s="23">
        <v>26.558</v>
      </c>
      <c r="Q186" s="28">
        <v>8.9</v>
      </c>
      <c r="Y186" s="5" t="s">
        <v>1486</v>
      </c>
      <c r="Z186" s="5">
        <v>4</v>
      </c>
    </row>
    <row r="187" spans="1:26" x14ac:dyDescent="0.35">
      <c r="A187" s="21" t="s">
        <v>1708</v>
      </c>
      <c r="B187" s="22" t="s">
        <v>1466</v>
      </c>
      <c r="C187" s="22" t="s">
        <v>1467</v>
      </c>
      <c r="D187" s="22" t="s">
        <v>1479</v>
      </c>
      <c r="E187" s="22" t="s">
        <v>27</v>
      </c>
      <c r="F187" s="22" t="s">
        <v>1486</v>
      </c>
      <c r="G187" s="22">
        <v>53.72</v>
      </c>
      <c r="H187" s="22">
        <v>1</v>
      </c>
      <c r="I187" s="22">
        <v>2.6859999999999999</v>
      </c>
      <c r="J187" s="23">
        <v>56.405999999999999</v>
      </c>
      <c r="K187" s="24">
        <v>43468</v>
      </c>
      <c r="L187" s="25">
        <v>0.8354166666666667</v>
      </c>
      <c r="M187" s="22" t="s">
        <v>1469</v>
      </c>
      <c r="N187" s="26">
        <v>53.72</v>
      </c>
      <c r="O187" s="27">
        <f t="shared" si="2"/>
        <v>4.761904762E-2</v>
      </c>
      <c r="P187" s="23">
        <v>2.6859999999999999</v>
      </c>
      <c r="Q187" s="28">
        <v>6.4</v>
      </c>
      <c r="Y187" s="5" t="s">
        <v>1473</v>
      </c>
      <c r="Z187" s="5">
        <v>8</v>
      </c>
    </row>
    <row r="188" spans="1:26" x14ac:dyDescent="0.35">
      <c r="A188" s="21" t="s">
        <v>1709</v>
      </c>
      <c r="B188" s="22" t="s">
        <v>1475</v>
      </c>
      <c r="C188" s="22" t="s">
        <v>1476</v>
      </c>
      <c r="D188" s="22" t="s">
        <v>1479</v>
      </c>
      <c r="E188" s="22" t="s">
        <v>27</v>
      </c>
      <c r="F188" s="22" t="s">
        <v>1473</v>
      </c>
      <c r="G188" s="22">
        <v>81.95</v>
      </c>
      <c r="H188" s="22">
        <v>10</v>
      </c>
      <c r="I188" s="22">
        <v>40.975000000000001</v>
      </c>
      <c r="J188" s="66">
        <v>860.47500000000002</v>
      </c>
      <c r="K188" s="24">
        <v>43741</v>
      </c>
      <c r="L188" s="25">
        <v>0.52708333333333335</v>
      </c>
      <c r="M188" s="22" t="s">
        <v>1477</v>
      </c>
      <c r="N188" s="26">
        <v>819.5</v>
      </c>
      <c r="O188" s="27">
        <f t="shared" si="2"/>
        <v>4.761904762E-2</v>
      </c>
      <c r="P188" s="23">
        <v>40.975000000000001</v>
      </c>
      <c r="Q188" s="28">
        <v>6</v>
      </c>
      <c r="Y188" s="5" t="s">
        <v>1482</v>
      </c>
      <c r="Z188" s="5">
        <v>3</v>
      </c>
    </row>
    <row r="189" spans="1:26" x14ac:dyDescent="0.35">
      <c r="A189" s="21" t="s">
        <v>1710</v>
      </c>
      <c r="B189" s="22" t="s">
        <v>1475</v>
      </c>
      <c r="C189" s="22" t="s">
        <v>1476</v>
      </c>
      <c r="D189" s="22" t="s">
        <v>1479</v>
      </c>
      <c r="E189" s="22" t="s">
        <v>19</v>
      </c>
      <c r="F189" s="22" t="s">
        <v>1482</v>
      </c>
      <c r="G189" s="22">
        <v>81.2</v>
      </c>
      <c r="H189" s="22">
        <v>7</v>
      </c>
      <c r="I189" s="22">
        <v>28.42</v>
      </c>
      <c r="J189" s="66">
        <v>596.82000000000005</v>
      </c>
      <c r="K189" s="24" t="s">
        <v>1711</v>
      </c>
      <c r="L189" s="25">
        <v>0.66597222222222219</v>
      </c>
      <c r="M189" s="22" t="s">
        <v>1477</v>
      </c>
      <c r="N189" s="26">
        <v>568.4</v>
      </c>
      <c r="O189" s="27">
        <f t="shared" si="2"/>
        <v>4.761904762E-2</v>
      </c>
      <c r="P189" s="23">
        <v>28.42</v>
      </c>
      <c r="Q189" s="28">
        <v>8.1</v>
      </c>
      <c r="Y189" s="5" t="s">
        <v>1501</v>
      </c>
      <c r="Z189" s="5">
        <v>10</v>
      </c>
    </row>
    <row r="190" spans="1:26" x14ac:dyDescent="0.35">
      <c r="A190" s="21" t="s">
        <v>1712</v>
      </c>
      <c r="B190" s="22" t="s">
        <v>1475</v>
      </c>
      <c r="C190" s="22" t="s">
        <v>1476</v>
      </c>
      <c r="D190" s="22" t="s">
        <v>1461</v>
      </c>
      <c r="E190" s="22" t="s">
        <v>27</v>
      </c>
      <c r="F190" s="22" t="s">
        <v>1462</v>
      </c>
      <c r="G190" s="22">
        <v>58.76</v>
      </c>
      <c r="H190" s="22">
        <v>10</v>
      </c>
      <c r="I190" s="22">
        <v>29.38</v>
      </c>
      <c r="J190" s="66">
        <v>616.98</v>
      </c>
      <c r="K190" s="24" t="s">
        <v>1508</v>
      </c>
      <c r="L190" s="25">
        <v>0.60138888888888886</v>
      </c>
      <c r="M190" s="22" t="s">
        <v>1469</v>
      </c>
      <c r="N190" s="26">
        <v>587.6</v>
      </c>
      <c r="O190" s="27">
        <f t="shared" si="2"/>
        <v>4.761904762E-2</v>
      </c>
      <c r="P190" s="23">
        <v>29.38</v>
      </c>
      <c r="Q190" s="28">
        <v>9</v>
      </c>
      <c r="Y190" s="5" t="s">
        <v>1468</v>
      </c>
      <c r="Z190" s="5">
        <v>4</v>
      </c>
    </row>
    <row r="191" spans="1:26" x14ac:dyDescent="0.35">
      <c r="A191" s="21" t="s">
        <v>1713</v>
      </c>
      <c r="B191" s="22" t="s">
        <v>1466</v>
      </c>
      <c r="C191" s="22" t="s">
        <v>1467</v>
      </c>
      <c r="D191" s="22" t="s">
        <v>1479</v>
      </c>
      <c r="E191" s="22" t="s">
        <v>27</v>
      </c>
      <c r="F191" s="22" t="s">
        <v>1462</v>
      </c>
      <c r="G191" s="22">
        <v>91.56</v>
      </c>
      <c r="H191" s="22">
        <v>8</v>
      </c>
      <c r="I191" s="22">
        <v>36.624000000000002</v>
      </c>
      <c r="J191" s="66">
        <v>769.10400000000004</v>
      </c>
      <c r="K191" s="24">
        <v>43800</v>
      </c>
      <c r="L191" s="25">
        <v>0.76527777777777772</v>
      </c>
      <c r="M191" s="22" t="s">
        <v>1469</v>
      </c>
      <c r="N191" s="26">
        <v>732.48</v>
      </c>
      <c r="O191" s="27">
        <f t="shared" si="2"/>
        <v>4.761904762E-2</v>
      </c>
      <c r="P191" s="23">
        <v>36.624000000000002</v>
      </c>
      <c r="Q191" s="28">
        <v>6</v>
      </c>
      <c r="Y191" s="5" t="s">
        <v>1482</v>
      </c>
      <c r="Z191" s="5">
        <v>7</v>
      </c>
    </row>
    <row r="192" spans="1:26" x14ac:dyDescent="0.35">
      <c r="A192" s="21" t="s">
        <v>1714</v>
      </c>
      <c r="B192" s="22" t="s">
        <v>1459</v>
      </c>
      <c r="C192" s="22" t="s">
        <v>1460</v>
      </c>
      <c r="D192" s="22" t="s">
        <v>1461</v>
      </c>
      <c r="E192" s="22" t="s">
        <v>27</v>
      </c>
      <c r="F192" s="22" t="s">
        <v>1482</v>
      </c>
      <c r="G192" s="22">
        <v>93.96</v>
      </c>
      <c r="H192" s="22">
        <v>9</v>
      </c>
      <c r="I192" s="22">
        <v>42.281999999999996</v>
      </c>
      <c r="J192" s="66">
        <v>887.92200000000003</v>
      </c>
      <c r="K192" s="24" t="s">
        <v>1496</v>
      </c>
      <c r="L192" s="25">
        <v>0.48055555555555557</v>
      </c>
      <c r="M192" s="22" t="s">
        <v>1464</v>
      </c>
      <c r="N192" s="26">
        <v>845.64</v>
      </c>
      <c r="O192" s="27">
        <f t="shared" si="2"/>
        <v>4.761904762E-2</v>
      </c>
      <c r="P192" s="23">
        <v>42.281999999999996</v>
      </c>
      <c r="Q192" s="28">
        <v>9.8000000000000007</v>
      </c>
      <c r="Y192" s="5" t="s">
        <v>1468</v>
      </c>
      <c r="Z192" s="5">
        <v>4</v>
      </c>
    </row>
    <row r="193" spans="1:26" x14ac:dyDescent="0.35">
      <c r="A193" s="21" t="s">
        <v>1715</v>
      </c>
      <c r="B193" s="22" t="s">
        <v>1475</v>
      </c>
      <c r="C193" s="22" t="s">
        <v>1476</v>
      </c>
      <c r="D193" s="22" t="s">
        <v>1461</v>
      </c>
      <c r="E193" s="22" t="s">
        <v>27</v>
      </c>
      <c r="F193" s="22" t="s">
        <v>1482</v>
      </c>
      <c r="G193" s="22">
        <v>55.61</v>
      </c>
      <c r="H193" s="22">
        <v>7</v>
      </c>
      <c r="I193" s="22">
        <v>19.4635</v>
      </c>
      <c r="J193" s="23">
        <v>408.73349999999999</v>
      </c>
      <c r="K193" s="24" t="s">
        <v>1711</v>
      </c>
      <c r="L193" s="25">
        <v>0.52847222222222223</v>
      </c>
      <c r="M193" s="22" t="s">
        <v>1464</v>
      </c>
      <c r="N193" s="26">
        <v>389.27</v>
      </c>
      <c r="O193" s="27">
        <f t="shared" si="2"/>
        <v>4.761904762E-2</v>
      </c>
      <c r="P193" s="23">
        <v>19.4635</v>
      </c>
      <c r="Q193" s="28">
        <v>8.5</v>
      </c>
      <c r="Y193" s="5" t="s">
        <v>1473</v>
      </c>
      <c r="Z193" s="5">
        <v>3</v>
      </c>
    </row>
    <row r="194" spans="1:26" x14ac:dyDescent="0.35">
      <c r="A194" s="21" t="s">
        <v>1716</v>
      </c>
      <c r="B194" s="22" t="s">
        <v>1475</v>
      </c>
      <c r="C194" s="22" t="s">
        <v>1476</v>
      </c>
      <c r="D194" s="22" t="s">
        <v>1461</v>
      </c>
      <c r="E194" s="22" t="s">
        <v>27</v>
      </c>
      <c r="F194" s="22" t="s">
        <v>1486</v>
      </c>
      <c r="G194" s="22">
        <v>84.83</v>
      </c>
      <c r="H194" s="22">
        <v>1</v>
      </c>
      <c r="I194" s="22">
        <v>4.2415000000000003</v>
      </c>
      <c r="J194" s="23">
        <v>89.0715</v>
      </c>
      <c r="K194" s="24" t="s">
        <v>1518</v>
      </c>
      <c r="L194" s="25">
        <v>0.63888888888888884</v>
      </c>
      <c r="M194" s="22" t="s">
        <v>1469</v>
      </c>
      <c r="N194" s="26">
        <v>84.83</v>
      </c>
      <c r="O194" s="27">
        <f t="shared" ref="O194:O257" si="3">4.761904762/100</f>
        <v>4.761904762E-2</v>
      </c>
      <c r="P194" s="23">
        <v>4.2415000000000003</v>
      </c>
      <c r="Q194" s="28">
        <v>8.8000000000000007</v>
      </c>
      <c r="Y194" s="5" t="s">
        <v>1468</v>
      </c>
      <c r="Z194" s="5">
        <v>1</v>
      </c>
    </row>
    <row r="195" spans="1:26" x14ac:dyDescent="0.35">
      <c r="A195" s="21" t="s">
        <v>1717</v>
      </c>
      <c r="B195" s="22" t="s">
        <v>1459</v>
      </c>
      <c r="C195" s="22" t="s">
        <v>1460</v>
      </c>
      <c r="D195" s="22" t="s">
        <v>1479</v>
      </c>
      <c r="E195" s="22" t="s">
        <v>19</v>
      </c>
      <c r="F195" s="22" t="s">
        <v>1501</v>
      </c>
      <c r="G195" s="22">
        <v>71.63</v>
      </c>
      <c r="H195" s="22">
        <v>2</v>
      </c>
      <c r="I195" s="22">
        <v>7.1630000000000003</v>
      </c>
      <c r="J195" s="23">
        <v>150.423</v>
      </c>
      <c r="K195" s="24">
        <v>43801</v>
      </c>
      <c r="L195" s="25">
        <v>0.60624999999999996</v>
      </c>
      <c r="M195" s="22" t="s">
        <v>1469</v>
      </c>
      <c r="N195" s="26">
        <v>143.26</v>
      </c>
      <c r="O195" s="27">
        <f t="shared" si="3"/>
        <v>4.761904762E-2</v>
      </c>
      <c r="P195" s="23">
        <v>7.1630000000000003</v>
      </c>
      <c r="Q195" s="28">
        <v>8.8000000000000007</v>
      </c>
      <c r="Y195" s="5" t="s">
        <v>1462</v>
      </c>
      <c r="Z195" s="5">
        <v>7</v>
      </c>
    </row>
    <row r="196" spans="1:26" x14ac:dyDescent="0.35">
      <c r="A196" s="21" t="s">
        <v>1718</v>
      </c>
      <c r="B196" s="22" t="s">
        <v>1459</v>
      </c>
      <c r="C196" s="22" t="s">
        <v>1460</v>
      </c>
      <c r="D196" s="22" t="s">
        <v>1479</v>
      </c>
      <c r="E196" s="22" t="s">
        <v>27</v>
      </c>
      <c r="F196" s="22" t="s">
        <v>1482</v>
      </c>
      <c r="G196" s="22">
        <v>37.69</v>
      </c>
      <c r="H196" s="22">
        <v>2</v>
      </c>
      <c r="I196" s="22">
        <v>3.7690000000000001</v>
      </c>
      <c r="J196" s="23">
        <v>79.149000000000001</v>
      </c>
      <c r="K196" s="24" t="s">
        <v>1516</v>
      </c>
      <c r="L196" s="25">
        <v>0.64513888888888893</v>
      </c>
      <c r="M196" s="22" t="s">
        <v>1469</v>
      </c>
      <c r="N196" s="26">
        <v>75.38</v>
      </c>
      <c r="O196" s="27">
        <f t="shared" si="3"/>
        <v>4.761904762E-2</v>
      </c>
      <c r="P196" s="23">
        <v>3.7690000000000001</v>
      </c>
      <c r="Q196" s="28">
        <v>9.5</v>
      </c>
      <c r="Y196" s="5" t="s">
        <v>1486</v>
      </c>
      <c r="Z196" s="5">
        <v>1</v>
      </c>
    </row>
    <row r="197" spans="1:26" x14ac:dyDescent="0.35">
      <c r="A197" s="21" t="s">
        <v>1719</v>
      </c>
      <c r="B197" s="22" t="s">
        <v>1475</v>
      </c>
      <c r="C197" s="22" t="s">
        <v>1476</v>
      </c>
      <c r="D197" s="22" t="s">
        <v>1479</v>
      </c>
      <c r="E197" s="22" t="s">
        <v>19</v>
      </c>
      <c r="F197" s="22" t="s">
        <v>1501</v>
      </c>
      <c r="G197" s="22">
        <v>31.67</v>
      </c>
      <c r="H197" s="22">
        <v>8</v>
      </c>
      <c r="I197" s="22">
        <v>12.667999999999999</v>
      </c>
      <c r="J197" s="23">
        <v>266.02800000000002</v>
      </c>
      <c r="K197" s="24">
        <v>43497</v>
      </c>
      <c r="L197" s="25">
        <v>0.67986111111111114</v>
      </c>
      <c r="M197" s="22" t="s">
        <v>1477</v>
      </c>
      <c r="N197" s="26">
        <v>253.36</v>
      </c>
      <c r="O197" s="27">
        <f t="shared" si="3"/>
        <v>4.761904762E-2</v>
      </c>
      <c r="P197" s="23">
        <v>12.667999999999999</v>
      </c>
      <c r="Q197" s="28">
        <v>5.6</v>
      </c>
      <c r="Y197" s="5" t="s">
        <v>1473</v>
      </c>
      <c r="Z197" s="5">
        <v>10</v>
      </c>
    </row>
    <row r="198" spans="1:26" x14ac:dyDescent="0.35">
      <c r="A198" s="21" t="s">
        <v>1720</v>
      </c>
      <c r="B198" s="22" t="s">
        <v>1475</v>
      </c>
      <c r="C198" s="22" t="s">
        <v>1476</v>
      </c>
      <c r="D198" s="22" t="s">
        <v>1479</v>
      </c>
      <c r="E198" s="22" t="s">
        <v>19</v>
      </c>
      <c r="F198" s="22" t="s">
        <v>1486</v>
      </c>
      <c r="G198" s="22">
        <v>38.42</v>
      </c>
      <c r="H198" s="22">
        <v>1</v>
      </c>
      <c r="I198" s="22">
        <v>1.921</v>
      </c>
      <c r="J198" s="23">
        <v>40.341000000000001</v>
      </c>
      <c r="K198" s="24">
        <v>43498</v>
      </c>
      <c r="L198" s="25">
        <v>0.68958333333333333</v>
      </c>
      <c r="M198" s="22" t="s">
        <v>1464</v>
      </c>
      <c r="N198" s="26">
        <v>38.42</v>
      </c>
      <c r="O198" s="27">
        <f t="shared" si="3"/>
        <v>4.761904762E-2</v>
      </c>
      <c r="P198" s="23">
        <v>1.921</v>
      </c>
      <c r="Q198" s="28">
        <v>8.6</v>
      </c>
      <c r="Y198" s="5" t="s">
        <v>1482</v>
      </c>
      <c r="Z198" s="5">
        <v>7</v>
      </c>
    </row>
    <row r="199" spans="1:26" x14ac:dyDescent="0.35">
      <c r="A199" s="21" t="s">
        <v>1721</v>
      </c>
      <c r="B199" s="22" t="s">
        <v>1466</v>
      </c>
      <c r="C199" s="22" t="s">
        <v>1467</v>
      </c>
      <c r="D199" s="22" t="s">
        <v>1479</v>
      </c>
      <c r="E199" s="22" t="s">
        <v>27</v>
      </c>
      <c r="F199" s="22" t="s">
        <v>1468</v>
      </c>
      <c r="G199" s="22">
        <v>65.23</v>
      </c>
      <c r="H199" s="22">
        <v>10</v>
      </c>
      <c r="I199" s="22">
        <v>32.615000000000002</v>
      </c>
      <c r="J199" s="66">
        <v>684.91499999999996</v>
      </c>
      <c r="K199" s="24">
        <v>43678</v>
      </c>
      <c r="L199" s="25">
        <v>0.79652777777777772</v>
      </c>
      <c r="M199" s="22" t="s">
        <v>1477</v>
      </c>
      <c r="N199" s="26">
        <v>652.29999999999995</v>
      </c>
      <c r="O199" s="27">
        <f t="shared" si="3"/>
        <v>4.761904762E-2</v>
      </c>
      <c r="P199" s="23">
        <v>32.615000000000002</v>
      </c>
      <c r="Q199" s="28">
        <v>5.2</v>
      </c>
      <c r="Y199" s="5" t="s">
        <v>1462</v>
      </c>
      <c r="Z199" s="5">
        <v>10</v>
      </c>
    </row>
    <row r="200" spans="1:26" x14ac:dyDescent="0.35">
      <c r="A200" s="21" t="s">
        <v>1722</v>
      </c>
      <c r="B200" s="22" t="s">
        <v>1475</v>
      </c>
      <c r="C200" s="22" t="s">
        <v>1476</v>
      </c>
      <c r="D200" s="22" t="s">
        <v>1479</v>
      </c>
      <c r="E200" s="22" t="s">
        <v>19</v>
      </c>
      <c r="F200" s="22" t="s">
        <v>1482</v>
      </c>
      <c r="G200" s="22">
        <v>10.53</v>
      </c>
      <c r="H200" s="22">
        <v>5</v>
      </c>
      <c r="I200" s="22">
        <v>2.6324999999999998</v>
      </c>
      <c r="J200" s="23">
        <v>55.282499999999999</v>
      </c>
      <c r="K200" s="24" t="s">
        <v>1487</v>
      </c>
      <c r="L200" s="25">
        <v>0.61319444444444449</v>
      </c>
      <c r="M200" s="22" t="s">
        <v>1477</v>
      </c>
      <c r="N200" s="26">
        <v>52.65</v>
      </c>
      <c r="O200" s="27">
        <f t="shared" si="3"/>
        <v>4.761904762E-2</v>
      </c>
      <c r="P200" s="23">
        <v>2.6324999999999998</v>
      </c>
      <c r="Q200" s="28">
        <v>5.8</v>
      </c>
      <c r="Y200" s="5" t="s">
        <v>1462</v>
      </c>
      <c r="Z200" s="5">
        <v>8</v>
      </c>
    </row>
    <row r="201" spans="1:26" x14ac:dyDescent="0.35">
      <c r="A201" s="21" t="s">
        <v>1723</v>
      </c>
      <c r="B201" s="22" t="s">
        <v>1466</v>
      </c>
      <c r="C201" s="22" t="s">
        <v>1467</v>
      </c>
      <c r="D201" s="22" t="s">
        <v>1479</v>
      </c>
      <c r="E201" s="22" t="s">
        <v>19</v>
      </c>
      <c r="F201" s="22" t="s">
        <v>1482</v>
      </c>
      <c r="G201" s="22">
        <v>12.29</v>
      </c>
      <c r="H201" s="22">
        <v>9</v>
      </c>
      <c r="I201" s="22">
        <v>5.5305</v>
      </c>
      <c r="J201" s="23">
        <v>116.1405</v>
      </c>
      <c r="K201" s="24" t="s">
        <v>1520</v>
      </c>
      <c r="L201" s="25">
        <v>0.81111111111111112</v>
      </c>
      <c r="M201" s="22" t="s">
        <v>1477</v>
      </c>
      <c r="N201" s="26">
        <v>110.61</v>
      </c>
      <c r="O201" s="27">
        <f t="shared" si="3"/>
        <v>4.761904762E-2</v>
      </c>
      <c r="P201" s="23">
        <v>5.5305</v>
      </c>
      <c r="Q201" s="28">
        <v>8</v>
      </c>
      <c r="Y201" s="5" t="s">
        <v>1482</v>
      </c>
      <c r="Z201" s="5">
        <v>9</v>
      </c>
    </row>
    <row r="202" spans="1:26" x14ac:dyDescent="0.35">
      <c r="A202" s="21" t="s">
        <v>1724</v>
      </c>
      <c r="B202" s="22" t="s">
        <v>1475</v>
      </c>
      <c r="C202" s="22" t="s">
        <v>1476</v>
      </c>
      <c r="D202" s="22" t="s">
        <v>1479</v>
      </c>
      <c r="E202" s="22" t="s">
        <v>27</v>
      </c>
      <c r="F202" s="22" t="s">
        <v>1473</v>
      </c>
      <c r="G202" s="22">
        <v>81.23</v>
      </c>
      <c r="H202" s="22">
        <v>7</v>
      </c>
      <c r="I202" s="22">
        <v>28.430499999999999</v>
      </c>
      <c r="J202" s="66">
        <v>597.04049999999995</v>
      </c>
      <c r="K202" s="24" t="s">
        <v>1589</v>
      </c>
      <c r="L202" s="25">
        <v>0.86388888888888893</v>
      </c>
      <c r="M202" s="22" t="s">
        <v>1464</v>
      </c>
      <c r="N202" s="26">
        <v>568.61</v>
      </c>
      <c r="O202" s="27">
        <f t="shared" si="3"/>
        <v>4.761904762E-2</v>
      </c>
      <c r="P202" s="23">
        <v>28.430499999999999</v>
      </c>
      <c r="Q202" s="28">
        <v>9</v>
      </c>
      <c r="Y202" s="5" t="s">
        <v>1482</v>
      </c>
      <c r="Z202" s="5">
        <v>7</v>
      </c>
    </row>
    <row r="203" spans="1:26" x14ac:dyDescent="0.35">
      <c r="A203" s="21" t="s">
        <v>1725</v>
      </c>
      <c r="B203" s="22" t="s">
        <v>1466</v>
      </c>
      <c r="C203" s="22" t="s">
        <v>1467</v>
      </c>
      <c r="D203" s="22" t="s">
        <v>1479</v>
      </c>
      <c r="E203" s="22" t="s">
        <v>19</v>
      </c>
      <c r="F203" s="22" t="s">
        <v>1468</v>
      </c>
      <c r="G203" s="22">
        <v>22.32</v>
      </c>
      <c r="H203" s="22">
        <v>4</v>
      </c>
      <c r="I203" s="22">
        <v>4.4640000000000004</v>
      </c>
      <c r="J203" s="23">
        <v>93.744</v>
      </c>
      <c r="K203" s="24" t="s">
        <v>1492</v>
      </c>
      <c r="L203" s="25">
        <v>0.46944444444444444</v>
      </c>
      <c r="M203" s="22" t="s">
        <v>1469</v>
      </c>
      <c r="N203" s="26">
        <v>89.28</v>
      </c>
      <c r="O203" s="27">
        <f t="shared" si="3"/>
        <v>4.761904762E-2</v>
      </c>
      <c r="P203" s="23">
        <v>4.4640000000000004</v>
      </c>
      <c r="Q203" s="28">
        <v>4.0999999999999996</v>
      </c>
      <c r="Y203" s="5" t="s">
        <v>1486</v>
      </c>
      <c r="Z203" s="5">
        <v>1</v>
      </c>
    </row>
    <row r="204" spans="1:26" x14ac:dyDescent="0.35">
      <c r="A204" s="21" t="s">
        <v>1726</v>
      </c>
      <c r="B204" s="22" t="s">
        <v>1459</v>
      </c>
      <c r="C204" s="22" t="s">
        <v>1460</v>
      </c>
      <c r="D204" s="22" t="s">
        <v>1461</v>
      </c>
      <c r="E204" s="22" t="s">
        <v>19</v>
      </c>
      <c r="F204" s="22" t="s">
        <v>1486</v>
      </c>
      <c r="G204" s="22">
        <v>27.28</v>
      </c>
      <c r="H204" s="22">
        <v>5</v>
      </c>
      <c r="I204" s="22">
        <v>6.82</v>
      </c>
      <c r="J204" s="23">
        <v>143.22</v>
      </c>
      <c r="K204" s="24">
        <v>43526</v>
      </c>
      <c r="L204" s="25">
        <v>0.43819444444444444</v>
      </c>
      <c r="M204" s="22" t="s">
        <v>1477</v>
      </c>
      <c r="N204" s="26">
        <v>136.4</v>
      </c>
      <c r="O204" s="27">
        <f t="shared" si="3"/>
        <v>4.761904762E-2</v>
      </c>
      <c r="P204" s="23">
        <v>6.82</v>
      </c>
      <c r="Q204" s="28">
        <v>8.6</v>
      </c>
      <c r="Y204" s="5" t="s">
        <v>1501</v>
      </c>
      <c r="Z204" s="5">
        <v>2</v>
      </c>
    </row>
    <row r="205" spans="1:26" x14ac:dyDescent="0.35">
      <c r="A205" s="21" t="s">
        <v>1727</v>
      </c>
      <c r="B205" s="22" t="s">
        <v>1459</v>
      </c>
      <c r="C205" s="22" t="s">
        <v>1460</v>
      </c>
      <c r="D205" s="22" t="s">
        <v>1479</v>
      </c>
      <c r="E205" s="22" t="s">
        <v>19</v>
      </c>
      <c r="F205" s="22" t="s">
        <v>1462</v>
      </c>
      <c r="G205" s="22">
        <v>17.420000000000002</v>
      </c>
      <c r="H205" s="22">
        <v>10</v>
      </c>
      <c r="I205" s="22">
        <v>8.7100000000000009</v>
      </c>
      <c r="J205" s="23">
        <v>182.91</v>
      </c>
      <c r="K205" s="24" t="s">
        <v>1471</v>
      </c>
      <c r="L205" s="25">
        <v>0.52083333333333337</v>
      </c>
      <c r="M205" s="22" t="s">
        <v>1469</v>
      </c>
      <c r="N205" s="26">
        <v>174.2</v>
      </c>
      <c r="O205" s="27">
        <f t="shared" si="3"/>
        <v>4.761904762E-2</v>
      </c>
      <c r="P205" s="23">
        <v>8.7100000000000009</v>
      </c>
      <c r="Q205" s="28">
        <v>7</v>
      </c>
      <c r="Y205" s="5" t="s">
        <v>1482</v>
      </c>
      <c r="Z205" s="5">
        <v>2</v>
      </c>
    </row>
    <row r="206" spans="1:26" x14ac:dyDescent="0.35">
      <c r="A206" s="21" t="s">
        <v>1728</v>
      </c>
      <c r="B206" s="22" t="s">
        <v>1466</v>
      </c>
      <c r="C206" s="22" t="s">
        <v>1467</v>
      </c>
      <c r="D206" s="22" t="s">
        <v>1461</v>
      </c>
      <c r="E206" s="22" t="s">
        <v>27</v>
      </c>
      <c r="F206" s="22" t="s">
        <v>1482</v>
      </c>
      <c r="G206" s="22">
        <v>73.28</v>
      </c>
      <c r="H206" s="22">
        <v>5</v>
      </c>
      <c r="I206" s="22">
        <v>18.32</v>
      </c>
      <c r="J206" s="23">
        <v>384.72</v>
      </c>
      <c r="K206" s="24" t="s">
        <v>1566</v>
      </c>
      <c r="L206" s="25">
        <v>0.62847222222222221</v>
      </c>
      <c r="M206" s="22" t="s">
        <v>1469</v>
      </c>
      <c r="N206" s="26">
        <v>366.4</v>
      </c>
      <c r="O206" s="27">
        <f t="shared" si="3"/>
        <v>4.761904762E-2</v>
      </c>
      <c r="P206" s="23">
        <v>18.32</v>
      </c>
      <c r="Q206" s="28">
        <v>8.4</v>
      </c>
      <c r="Y206" s="5" t="s">
        <v>1501</v>
      </c>
      <c r="Z206" s="5">
        <v>8</v>
      </c>
    </row>
    <row r="207" spans="1:26" x14ac:dyDescent="0.35">
      <c r="A207" s="21" t="s">
        <v>1729</v>
      </c>
      <c r="B207" s="22" t="s">
        <v>1475</v>
      </c>
      <c r="C207" s="22" t="s">
        <v>1476</v>
      </c>
      <c r="D207" s="22" t="s">
        <v>1479</v>
      </c>
      <c r="E207" s="22" t="s">
        <v>19</v>
      </c>
      <c r="F207" s="22" t="s">
        <v>1468</v>
      </c>
      <c r="G207" s="22">
        <v>84.87</v>
      </c>
      <c r="H207" s="22">
        <v>3</v>
      </c>
      <c r="I207" s="22">
        <v>12.730499999999999</v>
      </c>
      <c r="J207" s="23">
        <v>267.34050000000002</v>
      </c>
      <c r="K207" s="24" t="s">
        <v>1584</v>
      </c>
      <c r="L207" s="25">
        <v>0.77083333333333337</v>
      </c>
      <c r="M207" s="22" t="s">
        <v>1469</v>
      </c>
      <c r="N207" s="26">
        <v>254.61</v>
      </c>
      <c r="O207" s="27">
        <f t="shared" si="3"/>
        <v>4.761904762E-2</v>
      </c>
      <c r="P207" s="23">
        <v>12.730499999999999</v>
      </c>
      <c r="Q207" s="28">
        <v>7.4</v>
      </c>
      <c r="Y207" s="5" t="s">
        <v>1486</v>
      </c>
      <c r="Z207" s="5">
        <v>1</v>
      </c>
    </row>
    <row r="208" spans="1:26" x14ac:dyDescent="0.35">
      <c r="A208" s="21" t="s">
        <v>1730</v>
      </c>
      <c r="B208" s="22" t="s">
        <v>1459</v>
      </c>
      <c r="C208" s="22" t="s">
        <v>1460</v>
      </c>
      <c r="D208" s="22" t="s">
        <v>1461</v>
      </c>
      <c r="E208" s="22" t="s">
        <v>19</v>
      </c>
      <c r="F208" s="22" t="s">
        <v>1468</v>
      </c>
      <c r="G208" s="22">
        <v>97.29</v>
      </c>
      <c r="H208" s="22">
        <v>8</v>
      </c>
      <c r="I208" s="22">
        <v>38.915999999999997</v>
      </c>
      <c r="J208" s="66">
        <v>817.23599999999999</v>
      </c>
      <c r="K208" s="24">
        <v>43711</v>
      </c>
      <c r="L208" s="25">
        <v>0.5541666666666667</v>
      </c>
      <c r="M208" s="22" t="s">
        <v>1477</v>
      </c>
      <c r="N208" s="26">
        <v>778.32</v>
      </c>
      <c r="O208" s="27">
        <f t="shared" si="3"/>
        <v>4.761904762E-2</v>
      </c>
      <c r="P208" s="23">
        <v>38.915999999999997</v>
      </c>
      <c r="Q208" s="28">
        <v>6.2</v>
      </c>
      <c r="Y208" s="5" t="s">
        <v>1468</v>
      </c>
      <c r="Z208" s="5">
        <v>10</v>
      </c>
    </row>
    <row r="209" spans="1:26" x14ac:dyDescent="0.35">
      <c r="A209" s="21" t="s">
        <v>1731</v>
      </c>
      <c r="B209" s="22" t="s">
        <v>1466</v>
      </c>
      <c r="C209" s="22" t="s">
        <v>1467</v>
      </c>
      <c r="D209" s="22" t="s">
        <v>1479</v>
      </c>
      <c r="E209" s="22" t="s">
        <v>19</v>
      </c>
      <c r="F209" s="22" t="s">
        <v>1462</v>
      </c>
      <c r="G209" s="22">
        <v>35.74</v>
      </c>
      <c r="H209" s="22">
        <v>8</v>
      </c>
      <c r="I209" s="22">
        <v>14.295999999999999</v>
      </c>
      <c r="J209" s="23">
        <v>300.21600000000001</v>
      </c>
      <c r="K209" s="24" t="s">
        <v>1546</v>
      </c>
      <c r="L209" s="25">
        <v>0.64444444444444449</v>
      </c>
      <c r="M209" s="22" t="s">
        <v>1469</v>
      </c>
      <c r="N209" s="26">
        <v>285.92</v>
      </c>
      <c r="O209" s="27">
        <f t="shared" si="3"/>
        <v>4.761904762E-2</v>
      </c>
      <c r="P209" s="23">
        <v>14.295999999999999</v>
      </c>
      <c r="Q209" s="28">
        <v>4.9000000000000004</v>
      </c>
      <c r="Y209" s="5" t="s">
        <v>1482</v>
      </c>
      <c r="Z209" s="5">
        <v>5</v>
      </c>
    </row>
    <row r="210" spans="1:26" x14ac:dyDescent="0.35">
      <c r="A210" s="21" t="s">
        <v>1732</v>
      </c>
      <c r="B210" s="22" t="s">
        <v>1459</v>
      </c>
      <c r="C210" s="22" t="s">
        <v>1460</v>
      </c>
      <c r="D210" s="22" t="s">
        <v>1461</v>
      </c>
      <c r="E210" s="22" t="s">
        <v>19</v>
      </c>
      <c r="F210" s="22" t="s">
        <v>1482</v>
      </c>
      <c r="G210" s="22">
        <v>96.52</v>
      </c>
      <c r="H210" s="22">
        <v>6</v>
      </c>
      <c r="I210" s="22">
        <v>28.956</v>
      </c>
      <c r="J210" s="66">
        <v>608.07600000000002</v>
      </c>
      <c r="K210" s="24">
        <v>43770</v>
      </c>
      <c r="L210" s="25">
        <v>0.49444444444444446</v>
      </c>
      <c r="M210" s="22" t="s">
        <v>1464</v>
      </c>
      <c r="N210" s="26">
        <v>579.12</v>
      </c>
      <c r="O210" s="27">
        <f t="shared" si="3"/>
        <v>4.761904762E-2</v>
      </c>
      <c r="P210" s="23">
        <v>28.956</v>
      </c>
      <c r="Q210" s="28">
        <v>4.5</v>
      </c>
      <c r="Y210" s="5" t="s">
        <v>1482</v>
      </c>
      <c r="Z210" s="5">
        <v>9</v>
      </c>
    </row>
    <row r="211" spans="1:26" x14ac:dyDescent="0.35">
      <c r="A211" s="21" t="s">
        <v>1733</v>
      </c>
      <c r="B211" s="22" t="s">
        <v>1459</v>
      </c>
      <c r="C211" s="22" t="s">
        <v>1460</v>
      </c>
      <c r="D211" s="22" t="s">
        <v>1479</v>
      </c>
      <c r="E211" s="22" t="s">
        <v>27</v>
      </c>
      <c r="F211" s="22" t="s">
        <v>1486</v>
      </c>
      <c r="G211" s="22">
        <v>18.850000000000001</v>
      </c>
      <c r="H211" s="22">
        <v>10</v>
      </c>
      <c r="I211" s="22">
        <v>9.4250000000000007</v>
      </c>
      <c r="J211" s="23">
        <v>197.92500000000001</v>
      </c>
      <c r="K211" s="24" t="s">
        <v>1599</v>
      </c>
      <c r="L211" s="25">
        <v>0.76666666666666672</v>
      </c>
      <c r="M211" s="22" t="s">
        <v>1469</v>
      </c>
      <c r="N211" s="26">
        <v>188.5</v>
      </c>
      <c r="O211" s="27">
        <f t="shared" si="3"/>
        <v>4.761904762E-2</v>
      </c>
      <c r="P211" s="23">
        <v>9.4250000000000007</v>
      </c>
      <c r="Q211" s="28">
        <v>5.6</v>
      </c>
      <c r="Y211" s="5" t="s">
        <v>1473</v>
      </c>
      <c r="Z211" s="5">
        <v>7</v>
      </c>
    </row>
    <row r="212" spans="1:26" x14ac:dyDescent="0.35">
      <c r="A212" s="21" t="s">
        <v>1734</v>
      </c>
      <c r="B212" s="22" t="s">
        <v>1459</v>
      </c>
      <c r="C212" s="22" t="s">
        <v>1460</v>
      </c>
      <c r="D212" s="22" t="s">
        <v>1461</v>
      </c>
      <c r="E212" s="22" t="s">
        <v>19</v>
      </c>
      <c r="F212" s="22" t="s">
        <v>1486</v>
      </c>
      <c r="G212" s="22">
        <v>55.39</v>
      </c>
      <c r="H212" s="22">
        <v>4</v>
      </c>
      <c r="I212" s="22">
        <v>11.077999999999999</v>
      </c>
      <c r="J212" s="23">
        <v>232.63800000000001</v>
      </c>
      <c r="K212" s="24" t="s">
        <v>1480</v>
      </c>
      <c r="L212" s="25">
        <v>0.6381944444444444</v>
      </c>
      <c r="M212" s="22" t="s">
        <v>1469</v>
      </c>
      <c r="N212" s="26">
        <v>221.56</v>
      </c>
      <c r="O212" s="27">
        <f t="shared" si="3"/>
        <v>4.761904762E-2</v>
      </c>
      <c r="P212" s="23">
        <v>11.077999999999999</v>
      </c>
      <c r="Q212" s="28">
        <v>8</v>
      </c>
      <c r="Y212" s="5" t="s">
        <v>1468</v>
      </c>
      <c r="Z212" s="5">
        <v>4</v>
      </c>
    </row>
    <row r="213" spans="1:26" x14ac:dyDescent="0.35">
      <c r="A213" s="21" t="s">
        <v>1735</v>
      </c>
      <c r="B213" s="22" t="s">
        <v>1466</v>
      </c>
      <c r="C213" s="22" t="s">
        <v>1467</v>
      </c>
      <c r="D213" s="22" t="s">
        <v>1479</v>
      </c>
      <c r="E213" s="22" t="s">
        <v>19</v>
      </c>
      <c r="F213" s="22" t="s">
        <v>1486</v>
      </c>
      <c r="G213" s="22">
        <v>77.2</v>
      </c>
      <c r="H213" s="22">
        <v>10</v>
      </c>
      <c r="I213" s="22">
        <v>38.6</v>
      </c>
      <c r="J213" s="66">
        <v>810.6</v>
      </c>
      <c r="K213" s="24">
        <v>43771</v>
      </c>
      <c r="L213" s="25">
        <v>0.44305555555555554</v>
      </c>
      <c r="M213" s="22" t="s">
        <v>1477</v>
      </c>
      <c r="N213" s="26">
        <v>772</v>
      </c>
      <c r="O213" s="27">
        <f t="shared" si="3"/>
        <v>4.761904762E-2</v>
      </c>
      <c r="P213" s="23">
        <v>38.6</v>
      </c>
      <c r="Q213" s="28">
        <v>5.6</v>
      </c>
      <c r="Y213" s="5" t="s">
        <v>1486</v>
      </c>
      <c r="Z213" s="5">
        <v>5</v>
      </c>
    </row>
    <row r="214" spans="1:26" x14ac:dyDescent="0.35">
      <c r="A214" s="21" t="s">
        <v>1736</v>
      </c>
      <c r="B214" s="22" t="s">
        <v>1466</v>
      </c>
      <c r="C214" s="22" t="s">
        <v>1467</v>
      </c>
      <c r="D214" s="22" t="s">
        <v>1461</v>
      </c>
      <c r="E214" s="22" t="s">
        <v>27</v>
      </c>
      <c r="F214" s="22" t="s">
        <v>1462</v>
      </c>
      <c r="G214" s="22">
        <v>72.13</v>
      </c>
      <c r="H214" s="22">
        <v>10</v>
      </c>
      <c r="I214" s="22">
        <v>36.064999999999998</v>
      </c>
      <c r="J214" s="66">
        <v>757.36500000000001</v>
      </c>
      <c r="K214" s="24" t="s">
        <v>1677</v>
      </c>
      <c r="L214" s="25">
        <v>0.6333333333333333</v>
      </c>
      <c r="M214" s="22" t="s">
        <v>1477</v>
      </c>
      <c r="N214" s="26">
        <v>721.3</v>
      </c>
      <c r="O214" s="27">
        <f t="shared" si="3"/>
        <v>4.761904762E-2</v>
      </c>
      <c r="P214" s="23">
        <v>36.064999999999998</v>
      </c>
      <c r="Q214" s="28">
        <v>4.2</v>
      </c>
      <c r="Y214" s="5" t="s">
        <v>1462</v>
      </c>
      <c r="Z214" s="5">
        <v>10</v>
      </c>
    </row>
    <row r="215" spans="1:26" x14ac:dyDescent="0.35">
      <c r="A215" s="21" t="s">
        <v>1737</v>
      </c>
      <c r="B215" s="22" t="s">
        <v>1459</v>
      </c>
      <c r="C215" s="22" t="s">
        <v>1460</v>
      </c>
      <c r="D215" s="22" t="s">
        <v>1479</v>
      </c>
      <c r="E215" s="22" t="s">
        <v>19</v>
      </c>
      <c r="F215" s="22" t="s">
        <v>1468</v>
      </c>
      <c r="G215" s="22">
        <v>63.88</v>
      </c>
      <c r="H215" s="22">
        <v>8</v>
      </c>
      <c r="I215" s="22">
        <v>25.552</v>
      </c>
      <c r="J215" s="66">
        <v>536.59199999999998</v>
      </c>
      <c r="K215" s="24" t="s">
        <v>1483</v>
      </c>
      <c r="L215" s="25">
        <v>0.7416666666666667</v>
      </c>
      <c r="M215" s="22" t="s">
        <v>1469</v>
      </c>
      <c r="N215" s="26">
        <v>511.04</v>
      </c>
      <c r="O215" s="27">
        <f t="shared" si="3"/>
        <v>4.761904762E-2</v>
      </c>
      <c r="P215" s="23">
        <v>25.552</v>
      </c>
      <c r="Q215" s="28">
        <v>9.9</v>
      </c>
      <c r="Y215" s="5" t="s">
        <v>1482</v>
      </c>
      <c r="Z215" s="5">
        <v>5</v>
      </c>
    </row>
    <row r="216" spans="1:26" x14ac:dyDescent="0.35">
      <c r="A216" s="21" t="s">
        <v>1738</v>
      </c>
      <c r="B216" s="22" t="s">
        <v>1459</v>
      </c>
      <c r="C216" s="22" t="s">
        <v>1460</v>
      </c>
      <c r="D216" s="22" t="s">
        <v>1479</v>
      </c>
      <c r="E216" s="22" t="s">
        <v>19</v>
      </c>
      <c r="F216" s="22" t="s">
        <v>1473</v>
      </c>
      <c r="G216" s="22">
        <v>10.69</v>
      </c>
      <c r="H216" s="22">
        <v>5</v>
      </c>
      <c r="I216" s="22">
        <v>2.6724999999999999</v>
      </c>
      <c r="J216" s="23">
        <v>56.122500000000002</v>
      </c>
      <c r="K216" s="24" t="s">
        <v>1520</v>
      </c>
      <c r="L216" s="25">
        <v>0.46319444444444446</v>
      </c>
      <c r="M216" s="22" t="s">
        <v>1469</v>
      </c>
      <c r="N216" s="26">
        <v>53.45</v>
      </c>
      <c r="O216" s="27">
        <f t="shared" si="3"/>
        <v>4.761904762E-2</v>
      </c>
      <c r="P216" s="23">
        <v>2.6724999999999999</v>
      </c>
      <c r="Q216" s="28">
        <v>7.6</v>
      </c>
      <c r="Y216" s="5" t="s">
        <v>1468</v>
      </c>
      <c r="Z216" s="5">
        <v>3</v>
      </c>
    </row>
    <row r="217" spans="1:26" x14ac:dyDescent="0.35">
      <c r="A217" s="21" t="s">
        <v>1739</v>
      </c>
      <c r="B217" s="22" t="s">
        <v>1459</v>
      </c>
      <c r="C217" s="22" t="s">
        <v>1460</v>
      </c>
      <c r="D217" s="22" t="s">
        <v>1479</v>
      </c>
      <c r="E217" s="22" t="s">
        <v>27</v>
      </c>
      <c r="F217" s="22" t="s">
        <v>1473</v>
      </c>
      <c r="G217" s="22">
        <v>55.5</v>
      </c>
      <c r="H217" s="22">
        <v>4</v>
      </c>
      <c r="I217" s="22">
        <v>11.1</v>
      </c>
      <c r="J217" s="23">
        <v>233.1</v>
      </c>
      <c r="K217" s="24" t="s">
        <v>1483</v>
      </c>
      <c r="L217" s="25">
        <v>0.65833333333333333</v>
      </c>
      <c r="M217" s="22" t="s">
        <v>1477</v>
      </c>
      <c r="N217" s="26">
        <v>222</v>
      </c>
      <c r="O217" s="27">
        <f t="shared" si="3"/>
        <v>4.761904762E-2</v>
      </c>
      <c r="P217" s="23">
        <v>11.1</v>
      </c>
      <c r="Q217" s="28">
        <v>6.6</v>
      </c>
      <c r="Y217" s="5" t="s">
        <v>1468</v>
      </c>
      <c r="Z217" s="5">
        <v>8</v>
      </c>
    </row>
    <row r="218" spans="1:26" x14ac:dyDescent="0.35">
      <c r="A218" s="21" t="s">
        <v>1740</v>
      </c>
      <c r="B218" s="22" t="s">
        <v>1466</v>
      </c>
      <c r="C218" s="22" t="s">
        <v>1467</v>
      </c>
      <c r="D218" s="22" t="s">
        <v>1461</v>
      </c>
      <c r="E218" s="22" t="s">
        <v>19</v>
      </c>
      <c r="F218" s="22" t="s">
        <v>1482</v>
      </c>
      <c r="G218" s="22">
        <v>95.46</v>
      </c>
      <c r="H218" s="22">
        <v>8</v>
      </c>
      <c r="I218" s="22">
        <v>38.183999999999997</v>
      </c>
      <c r="J218" s="66">
        <v>801.86400000000003</v>
      </c>
      <c r="K218" s="24">
        <v>43588</v>
      </c>
      <c r="L218" s="25">
        <v>0.81944444444444442</v>
      </c>
      <c r="M218" s="22" t="s">
        <v>1469</v>
      </c>
      <c r="N218" s="26">
        <v>763.68</v>
      </c>
      <c r="O218" s="27">
        <f t="shared" si="3"/>
        <v>4.761904762E-2</v>
      </c>
      <c r="P218" s="23">
        <v>38.183999999999997</v>
      </c>
      <c r="Q218" s="28">
        <v>4.7</v>
      </c>
      <c r="Y218" s="5" t="s">
        <v>1462</v>
      </c>
      <c r="Z218" s="5">
        <v>8</v>
      </c>
    </row>
    <row r="219" spans="1:26" x14ac:dyDescent="0.35">
      <c r="A219" s="21" t="s">
        <v>1741</v>
      </c>
      <c r="B219" s="22" t="s">
        <v>1475</v>
      </c>
      <c r="C219" s="22" t="s">
        <v>1476</v>
      </c>
      <c r="D219" s="22" t="s">
        <v>1461</v>
      </c>
      <c r="E219" s="22" t="s">
        <v>19</v>
      </c>
      <c r="F219" s="22" t="s">
        <v>1468</v>
      </c>
      <c r="G219" s="22">
        <v>76.06</v>
      </c>
      <c r="H219" s="22">
        <v>3</v>
      </c>
      <c r="I219" s="22">
        <v>11.409000000000001</v>
      </c>
      <c r="J219" s="23">
        <v>239.589</v>
      </c>
      <c r="K219" s="24">
        <v>43586</v>
      </c>
      <c r="L219" s="25">
        <v>0.85416666666666663</v>
      </c>
      <c r="M219" s="22" t="s">
        <v>1477</v>
      </c>
      <c r="N219" s="26">
        <v>228.18</v>
      </c>
      <c r="O219" s="27">
        <f t="shared" si="3"/>
        <v>4.761904762E-2</v>
      </c>
      <c r="P219" s="23">
        <v>11.409000000000001</v>
      </c>
      <c r="Q219" s="28">
        <v>9.8000000000000007</v>
      </c>
      <c r="Y219" s="5" t="s">
        <v>1482</v>
      </c>
      <c r="Z219" s="5">
        <v>6</v>
      </c>
    </row>
    <row r="220" spans="1:26" x14ac:dyDescent="0.35">
      <c r="A220" s="21" t="s">
        <v>1742</v>
      </c>
      <c r="B220" s="22" t="s">
        <v>1466</v>
      </c>
      <c r="C220" s="22" t="s">
        <v>1467</v>
      </c>
      <c r="D220" s="22" t="s">
        <v>1461</v>
      </c>
      <c r="E220" s="22" t="s">
        <v>27</v>
      </c>
      <c r="F220" s="22" t="s">
        <v>1501</v>
      </c>
      <c r="G220" s="22">
        <v>13.69</v>
      </c>
      <c r="H220" s="22">
        <v>6</v>
      </c>
      <c r="I220" s="22">
        <v>4.1070000000000002</v>
      </c>
      <c r="J220" s="23">
        <v>86.247</v>
      </c>
      <c r="K220" s="24" t="s">
        <v>1525</v>
      </c>
      <c r="L220" s="25">
        <v>0.58263888888888893</v>
      </c>
      <c r="M220" s="22" t="s">
        <v>1464</v>
      </c>
      <c r="N220" s="26">
        <v>82.14</v>
      </c>
      <c r="O220" s="27">
        <f t="shared" si="3"/>
        <v>4.761904762E-2</v>
      </c>
      <c r="P220" s="23">
        <v>4.1070000000000002</v>
      </c>
      <c r="Q220" s="28">
        <v>6.3</v>
      </c>
      <c r="Y220" s="5" t="s">
        <v>1486</v>
      </c>
      <c r="Z220" s="5">
        <v>10</v>
      </c>
    </row>
    <row r="221" spans="1:26" x14ac:dyDescent="0.35">
      <c r="A221" s="21" t="s">
        <v>1743</v>
      </c>
      <c r="B221" s="22" t="s">
        <v>1466</v>
      </c>
      <c r="C221" s="22" t="s">
        <v>1467</v>
      </c>
      <c r="D221" s="22" t="s">
        <v>1461</v>
      </c>
      <c r="E221" s="22" t="s">
        <v>19</v>
      </c>
      <c r="F221" s="22" t="s">
        <v>1462</v>
      </c>
      <c r="G221" s="22">
        <v>95.64</v>
      </c>
      <c r="H221" s="22">
        <v>4</v>
      </c>
      <c r="I221" s="22">
        <v>19.128</v>
      </c>
      <c r="J221" s="23">
        <v>401.68799999999999</v>
      </c>
      <c r="K221" s="24" t="s">
        <v>1702</v>
      </c>
      <c r="L221" s="25">
        <v>0.78541666666666665</v>
      </c>
      <c r="M221" s="22" t="s">
        <v>1464</v>
      </c>
      <c r="N221" s="26">
        <v>382.56</v>
      </c>
      <c r="O221" s="27">
        <f t="shared" si="3"/>
        <v>4.761904762E-2</v>
      </c>
      <c r="P221" s="23">
        <v>19.128</v>
      </c>
      <c r="Q221" s="28">
        <v>7.9</v>
      </c>
      <c r="Y221" s="5" t="s">
        <v>1486</v>
      </c>
      <c r="Z221" s="5">
        <v>4</v>
      </c>
    </row>
    <row r="222" spans="1:26" x14ac:dyDescent="0.35">
      <c r="A222" s="21" t="s">
        <v>1744</v>
      </c>
      <c r="B222" s="22" t="s">
        <v>1459</v>
      </c>
      <c r="C222" s="22" t="s">
        <v>1460</v>
      </c>
      <c r="D222" s="22" t="s">
        <v>1461</v>
      </c>
      <c r="E222" s="22" t="s">
        <v>19</v>
      </c>
      <c r="F222" s="22" t="s">
        <v>1482</v>
      </c>
      <c r="G222" s="22">
        <v>11.43</v>
      </c>
      <c r="H222" s="22">
        <v>6</v>
      </c>
      <c r="I222" s="22">
        <v>3.4289999999999998</v>
      </c>
      <c r="J222" s="23">
        <v>72.009</v>
      </c>
      <c r="K222" s="24" t="s">
        <v>1589</v>
      </c>
      <c r="L222" s="25">
        <v>0.72499999999999998</v>
      </c>
      <c r="M222" s="22" t="s">
        <v>1464</v>
      </c>
      <c r="N222" s="26">
        <v>68.58</v>
      </c>
      <c r="O222" s="27">
        <f t="shared" si="3"/>
        <v>4.761904762E-2</v>
      </c>
      <c r="P222" s="23">
        <v>3.4289999999999998</v>
      </c>
      <c r="Q222" s="28">
        <v>7.7</v>
      </c>
      <c r="Y222" s="5" t="s">
        <v>1486</v>
      </c>
      <c r="Z222" s="5">
        <v>10</v>
      </c>
    </row>
    <row r="223" spans="1:26" x14ac:dyDescent="0.35">
      <c r="A223" s="21" t="s">
        <v>1745</v>
      </c>
      <c r="B223" s="22" t="s">
        <v>1466</v>
      </c>
      <c r="C223" s="22" t="s">
        <v>1467</v>
      </c>
      <c r="D223" s="22" t="s">
        <v>1479</v>
      </c>
      <c r="E223" s="22" t="s">
        <v>19</v>
      </c>
      <c r="F223" s="22" t="s">
        <v>1501</v>
      </c>
      <c r="G223" s="22">
        <v>95.54</v>
      </c>
      <c r="H223" s="22">
        <v>4</v>
      </c>
      <c r="I223" s="22">
        <v>19.108000000000001</v>
      </c>
      <c r="J223" s="23">
        <v>401.26799999999997</v>
      </c>
      <c r="K223" s="24" t="s">
        <v>1626</v>
      </c>
      <c r="L223" s="25">
        <v>0.49861111111111112</v>
      </c>
      <c r="M223" s="22" t="s">
        <v>1469</v>
      </c>
      <c r="N223" s="26">
        <v>382.16</v>
      </c>
      <c r="O223" s="27">
        <f t="shared" si="3"/>
        <v>4.761904762E-2</v>
      </c>
      <c r="P223" s="23">
        <v>19.108000000000001</v>
      </c>
      <c r="Q223" s="28">
        <v>4.5</v>
      </c>
      <c r="Y223" s="5" t="s">
        <v>1462</v>
      </c>
      <c r="Z223" s="5">
        <v>10</v>
      </c>
    </row>
    <row r="224" spans="1:26" x14ac:dyDescent="0.35">
      <c r="A224" s="21" t="s">
        <v>1746</v>
      </c>
      <c r="B224" s="22" t="s">
        <v>1475</v>
      </c>
      <c r="C224" s="22" t="s">
        <v>1476</v>
      </c>
      <c r="D224" s="22" t="s">
        <v>1479</v>
      </c>
      <c r="E224" s="22" t="s">
        <v>19</v>
      </c>
      <c r="F224" s="22" t="s">
        <v>1473</v>
      </c>
      <c r="G224" s="22">
        <v>85.87</v>
      </c>
      <c r="H224" s="22">
        <v>7</v>
      </c>
      <c r="I224" s="22">
        <v>30.054500000000001</v>
      </c>
      <c r="J224" s="66">
        <v>631.14449999999999</v>
      </c>
      <c r="K224" s="24" t="s">
        <v>1599</v>
      </c>
      <c r="L224" s="25">
        <v>0.79236111111111107</v>
      </c>
      <c r="M224" s="22" t="s">
        <v>1477</v>
      </c>
      <c r="N224" s="26">
        <v>601.09</v>
      </c>
      <c r="O224" s="27">
        <f t="shared" si="3"/>
        <v>4.761904762E-2</v>
      </c>
      <c r="P224" s="23">
        <v>30.054500000000001</v>
      </c>
      <c r="Q224" s="28">
        <v>8</v>
      </c>
      <c r="Y224" s="5" t="s">
        <v>1468</v>
      </c>
      <c r="Z224" s="5">
        <v>8</v>
      </c>
    </row>
    <row r="225" spans="1:26" x14ac:dyDescent="0.35">
      <c r="A225" s="21" t="s">
        <v>1747</v>
      </c>
      <c r="B225" s="22" t="s">
        <v>1475</v>
      </c>
      <c r="C225" s="22" t="s">
        <v>1476</v>
      </c>
      <c r="D225" s="22" t="s">
        <v>1479</v>
      </c>
      <c r="E225" s="22" t="s">
        <v>19</v>
      </c>
      <c r="F225" s="22" t="s">
        <v>1501</v>
      </c>
      <c r="G225" s="22">
        <v>67.989999999999995</v>
      </c>
      <c r="H225" s="22">
        <v>7</v>
      </c>
      <c r="I225" s="22">
        <v>23.796500000000002</v>
      </c>
      <c r="J225" s="23">
        <v>499.72649999999999</v>
      </c>
      <c r="K225" s="24" t="s">
        <v>1546</v>
      </c>
      <c r="L225" s="25">
        <v>0.70138888888888884</v>
      </c>
      <c r="M225" s="22" t="s">
        <v>1469</v>
      </c>
      <c r="N225" s="26">
        <v>475.93</v>
      </c>
      <c r="O225" s="27">
        <f t="shared" si="3"/>
        <v>4.761904762E-2</v>
      </c>
      <c r="P225" s="23">
        <v>23.796500000000002</v>
      </c>
      <c r="Q225" s="28">
        <v>5.7</v>
      </c>
      <c r="Y225" s="5" t="s">
        <v>1473</v>
      </c>
      <c r="Z225" s="5">
        <v>5</v>
      </c>
    </row>
    <row r="226" spans="1:26" x14ac:dyDescent="0.35">
      <c r="A226" s="21" t="s">
        <v>1748</v>
      </c>
      <c r="B226" s="22" t="s">
        <v>1475</v>
      </c>
      <c r="C226" s="22" t="s">
        <v>1476</v>
      </c>
      <c r="D226" s="22" t="s">
        <v>1461</v>
      </c>
      <c r="E226" s="22" t="s">
        <v>19</v>
      </c>
      <c r="F226" s="22" t="s">
        <v>1486</v>
      </c>
      <c r="G226" s="22">
        <v>52.42</v>
      </c>
      <c r="H226" s="22">
        <v>1</v>
      </c>
      <c r="I226" s="22">
        <v>2.621</v>
      </c>
      <c r="J226" s="23">
        <v>55.040999999999997</v>
      </c>
      <c r="K226" s="24">
        <v>43618</v>
      </c>
      <c r="L226" s="25">
        <v>0.43194444444444446</v>
      </c>
      <c r="M226" s="22" t="s">
        <v>1477</v>
      </c>
      <c r="N226" s="26">
        <v>52.42</v>
      </c>
      <c r="O226" s="27">
        <f t="shared" si="3"/>
        <v>4.761904762E-2</v>
      </c>
      <c r="P226" s="23">
        <v>2.621</v>
      </c>
      <c r="Q226" s="28">
        <v>6.3</v>
      </c>
      <c r="Y226" s="5" t="s">
        <v>1473</v>
      </c>
      <c r="Z226" s="5">
        <v>4</v>
      </c>
    </row>
    <row r="227" spans="1:26" x14ac:dyDescent="0.35">
      <c r="A227" s="21" t="s">
        <v>1749</v>
      </c>
      <c r="B227" s="22" t="s">
        <v>1475</v>
      </c>
      <c r="C227" s="22" t="s">
        <v>1476</v>
      </c>
      <c r="D227" s="22" t="s">
        <v>1479</v>
      </c>
      <c r="E227" s="22" t="s">
        <v>27</v>
      </c>
      <c r="F227" s="22" t="s">
        <v>1486</v>
      </c>
      <c r="G227" s="22">
        <v>65.650000000000006</v>
      </c>
      <c r="H227" s="22">
        <v>2</v>
      </c>
      <c r="I227" s="22">
        <v>6.5650000000000004</v>
      </c>
      <c r="J227" s="23">
        <v>137.86500000000001</v>
      </c>
      <c r="K227" s="24" t="s">
        <v>1499</v>
      </c>
      <c r="L227" s="25">
        <v>0.69861111111111107</v>
      </c>
      <c r="M227" s="22" t="s">
        <v>1464</v>
      </c>
      <c r="N227" s="26">
        <v>131.30000000000001</v>
      </c>
      <c r="O227" s="27">
        <f t="shared" si="3"/>
        <v>4.761904762E-2</v>
      </c>
      <c r="P227" s="23">
        <v>6.5650000000000004</v>
      </c>
      <c r="Q227" s="28">
        <v>6</v>
      </c>
      <c r="Y227" s="5" t="s">
        <v>1482</v>
      </c>
      <c r="Z227" s="5">
        <v>8</v>
      </c>
    </row>
    <row r="228" spans="1:26" x14ac:dyDescent="0.35">
      <c r="A228" s="21" t="s">
        <v>1750</v>
      </c>
      <c r="B228" s="22" t="s">
        <v>1466</v>
      </c>
      <c r="C228" s="22" t="s">
        <v>1467</v>
      </c>
      <c r="D228" s="22" t="s">
        <v>1461</v>
      </c>
      <c r="E228" s="22" t="s">
        <v>19</v>
      </c>
      <c r="F228" s="22" t="s">
        <v>1486</v>
      </c>
      <c r="G228" s="22">
        <v>28.86</v>
      </c>
      <c r="H228" s="22">
        <v>5</v>
      </c>
      <c r="I228" s="22">
        <v>7.2149999999999999</v>
      </c>
      <c r="J228" s="23">
        <v>151.51499999999999</v>
      </c>
      <c r="K228" s="24" t="s">
        <v>1617</v>
      </c>
      <c r="L228" s="25">
        <v>0.75555555555555554</v>
      </c>
      <c r="M228" s="22" t="s">
        <v>1477</v>
      </c>
      <c r="N228" s="26">
        <v>144.30000000000001</v>
      </c>
      <c r="O228" s="27">
        <f t="shared" si="3"/>
        <v>4.761904762E-2</v>
      </c>
      <c r="P228" s="23">
        <v>7.2149999999999999</v>
      </c>
      <c r="Q228" s="28">
        <v>8</v>
      </c>
      <c r="Y228" s="5" t="s">
        <v>1468</v>
      </c>
      <c r="Z228" s="5">
        <v>3</v>
      </c>
    </row>
    <row r="229" spans="1:26" x14ac:dyDescent="0.35">
      <c r="A229" s="21" t="s">
        <v>1751</v>
      </c>
      <c r="B229" s="22" t="s">
        <v>1475</v>
      </c>
      <c r="C229" s="22" t="s">
        <v>1476</v>
      </c>
      <c r="D229" s="22" t="s">
        <v>1479</v>
      </c>
      <c r="E229" s="22" t="s">
        <v>27</v>
      </c>
      <c r="F229" s="22" t="s">
        <v>1473</v>
      </c>
      <c r="G229" s="22">
        <v>65.31</v>
      </c>
      <c r="H229" s="22">
        <v>7</v>
      </c>
      <c r="I229" s="22">
        <v>22.858499999999999</v>
      </c>
      <c r="J229" s="23">
        <v>480.02850000000001</v>
      </c>
      <c r="K229" s="24">
        <v>43588</v>
      </c>
      <c r="L229" s="25">
        <v>0.75138888888888888</v>
      </c>
      <c r="M229" s="22" t="s">
        <v>1477</v>
      </c>
      <c r="N229" s="26">
        <v>457.17</v>
      </c>
      <c r="O229" s="27">
        <f t="shared" si="3"/>
        <v>4.761904762E-2</v>
      </c>
      <c r="P229" s="23">
        <v>22.858499999999999</v>
      </c>
      <c r="Q229" s="28">
        <v>4.2</v>
      </c>
      <c r="Y229" s="5" t="s">
        <v>1501</v>
      </c>
      <c r="Z229" s="5">
        <v>6</v>
      </c>
    </row>
    <row r="230" spans="1:26" x14ac:dyDescent="0.35">
      <c r="A230" s="21" t="s">
        <v>1752</v>
      </c>
      <c r="B230" s="22" t="s">
        <v>1466</v>
      </c>
      <c r="C230" s="22" t="s">
        <v>1467</v>
      </c>
      <c r="D230" s="22" t="s">
        <v>1461</v>
      </c>
      <c r="E230" s="22" t="s">
        <v>27</v>
      </c>
      <c r="F230" s="22" t="s">
        <v>1501</v>
      </c>
      <c r="G230" s="22">
        <v>93.38</v>
      </c>
      <c r="H230" s="22">
        <v>1</v>
      </c>
      <c r="I230" s="22">
        <v>4.6689999999999996</v>
      </c>
      <c r="J230" s="23">
        <v>98.049000000000007</v>
      </c>
      <c r="K230" s="24">
        <v>43525</v>
      </c>
      <c r="L230" s="25">
        <v>0.54652777777777772</v>
      </c>
      <c r="M230" s="22" t="s">
        <v>1464</v>
      </c>
      <c r="N230" s="26">
        <v>93.38</v>
      </c>
      <c r="O230" s="27">
        <f t="shared" si="3"/>
        <v>4.761904762E-2</v>
      </c>
      <c r="P230" s="23">
        <v>4.6689999999999996</v>
      </c>
      <c r="Q230" s="28">
        <v>9.6</v>
      </c>
      <c r="Y230" s="5" t="s">
        <v>1462</v>
      </c>
      <c r="Z230" s="5">
        <v>4</v>
      </c>
    </row>
    <row r="231" spans="1:26" x14ac:dyDescent="0.35">
      <c r="A231" s="21" t="s">
        <v>1753</v>
      </c>
      <c r="B231" s="22" t="s">
        <v>1475</v>
      </c>
      <c r="C231" s="22" t="s">
        <v>1476</v>
      </c>
      <c r="D231" s="22" t="s">
        <v>1479</v>
      </c>
      <c r="E231" s="22" t="s">
        <v>27</v>
      </c>
      <c r="F231" s="22" t="s">
        <v>1501</v>
      </c>
      <c r="G231" s="22">
        <v>25.25</v>
      </c>
      <c r="H231" s="22">
        <v>5</v>
      </c>
      <c r="I231" s="22">
        <v>6.3125</v>
      </c>
      <c r="J231" s="23">
        <v>132.5625</v>
      </c>
      <c r="K231" s="24" t="s">
        <v>1496</v>
      </c>
      <c r="L231" s="25">
        <v>0.74444444444444446</v>
      </c>
      <c r="M231" s="22" t="s">
        <v>1464</v>
      </c>
      <c r="N231" s="26">
        <v>126.25</v>
      </c>
      <c r="O231" s="27">
        <f t="shared" si="3"/>
        <v>4.761904762E-2</v>
      </c>
      <c r="P231" s="23">
        <v>6.3125</v>
      </c>
      <c r="Q231" s="28">
        <v>6.1</v>
      </c>
      <c r="Y231" s="5" t="s">
        <v>1482</v>
      </c>
      <c r="Z231" s="5">
        <v>6</v>
      </c>
    </row>
    <row r="232" spans="1:26" x14ac:dyDescent="0.35">
      <c r="A232" s="21" t="s">
        <v>1754</v>
      </c>
      <c r="B232" s="22" t="s">
        <v>1466</v>
      </c>
      <c r="C232" s="22" t="s">
        <v>1467</v>
      </c>
      <c r="D232" s="22" t="s">
        <v>1479</v>
      </c>
      <c r="E232" s="22" t="s">
        <v>27</v>
      </c>
      <c r="F232" s="22" t="s">
        <v>1462</v>
      </c>
      <c r="G232" s="22">
        <v>87.87</v>
      </c>
      <c r="H232" s="22">
        <v>9</v>
      </c>
      <c r="I232" s="22">
        <v>39.541499999999999</v>
      </c>
      <c r="J232" s="66">
        <v>830.37149999999997</v>
      </c>
      <c r="K232" s="24" t="s">
        <v>1677</v>
      </c>
      <c r="L232" s="25">
        <v>0.85555555555555551</v>
      </c>
      <c r="M232" s="22" t="s">
        <v>1469</v>
      </c>
      <c r="N232" s="26">
        <v>790.83</v>
      </c>
      <c r="O232" s="27">
        <f t="shared" si="3"/>
        <v>4.761904762E-2</v>
      </c>
      <c r="P232" s="23">
        <v>39.541499999999999</v>
      </c>
      <c r="Q232" s="28">
        <v>5.6</v>
      </c>
      <c r="Y232" s="5" t="s">
        <v>1501</v>
      </c>
      <c r="Z232" s="5">
        <v>4</v>
      </c>
    </row>
    <row r="233" spans="1:26" x14ac:dyDescent="0.35">
      <c r="A233" s="21" t="s">
        <v>1755</v>
      </c>
      <c r="B233" s="22" t="s">
        <v>1475</v>
      </c>
      <c r="C233" s="22" t="s">
        <v>1476</v>
      </c>
      <c r="D233" s="22" t="s">
        <v>1461</v>
      </c>
      <c r="E233" s="22" t="s">
        <v>27</v>
      </c>
      <c r="F233" s="22" t="s">
        <v>1473</v>
      </c>
      <c r="G233" s="22">
        <v>21.8</v>
      </c>
      <c r="H233" s="22">
        <v>8</v>
      </c>
      <c r="I233" s="22">
        <v>8.7200000000000006</v>
      </c>
      <c r="J233" s="23">
        <v>183.12</v>
      </c>
      <c r="K233" s="24" t="s">
        <v>1645</v>
      </c>
      <c r="L233" s="25">
        <v>0.80833333333333335</v>
      </c>
      <c r="M233" s="22" t="s">
        <v>1464</v>
      </c>
      <c r="N233" s="26">
        <v>174.4</v>
      </c>
      <c r="O233" s="27">
        <f t="shared" si="3"/>
        <v>4.761904762E-2</v>
      </c>
      <c r="P233" s="23">
        <v>8.7200000000000006</v>
      </c>
      <c r="Q233" s="28">
        <v>8.3000000000000007</v>
      </c>
      <c r="Y233" s="5" t="s">
        <v>1473</v>
      </c>
      <c r="Z233" s="5">
        <v>7</v>
      </c>
    </row>
    <row r="234" spans="1:26" x14ac:dyDescent="0.35">
      <c r="A234" s="21" t="s">
        <v>1756</v>
      </c>
      <c r="B234" s="22" t="s">
        <v>1459</v>
      </c>
      <c r="C234" s="22" t="s">
        <v>1460</v>
      </c>
      <c r="D234" s="22" t="s">
        <v>1461</v>
      </c>
      <c r="E234" s="22" t="s">
        <v>19</v>
      </c>
      <c r="F234" s="22" t="s">
        <v>1501</v>
      </c>
      <c r="G234" s="22">
        <v>94.76</v>
      </c>
      <c r="H234" s="22">
        <v>4</v>
      </c>
      <c r="I234" s="22">
        <v>18.952000000000002</v>
      </c>
      <c r="J234" s="23">
        <v>397.99200000000002</v>
      </c>
      <c r="K234" s="24">
        <v>43771</v>
      </c>
      <c r="L234" s="25">
        <v>0.67083333333333328</v>
      </c>
      <c r="M234" s="22" t="s">
        <v>1469</v>
      </c>
      <c r="N234" s="26">
        <v>379.04</v>
      </c>
      <c r="O234" s="27">
        <f t="shared" si="3"/>
        <v>4.761904762E-2</v>
      </c>
      <c r="P234" s="23">
        <v>18.952000000000002</v>
      </c>
      <c r="Q234" s="28">
        <v>7.8</v>
      </c>
      <c r="Y234" s="5" t="s">
        <v>1501</v>
      </c>
      <c r="Z234" s="5">
        <v>7</v>
      </c>
    </row>
    <row r="235" spans="1:26" x14ac:dyDescent="0.35">
      <c r="A235" s="21" t="s">
        <v>1757</v>
      </c>
      <c r="B235" s="22" t="s">
        <v>1459</v>
      </c>
      <c r="C235" s="22" t="s">
        <v>1460</v>
      </c>
      <c r="D235" s="22" t="s">
        <v>1479</v>
      </c>
      <c r="E235" s="22" t="s">
        <v>19</v>
      </c>
      <c r="F235" s="22" t="s">
        <v>1468</v>
      </c>
      <c r="G235" s="22">
        <v>30.62</v>
      </c>
      <c r="H235" s="22">
        <v>1</v>
      </c>
      <c r="I235" s="22">
        <v>1.5309999999999999</v>
      </c>
      <c r="J235" s="23">
        <v>32.151000000000003</v>
      </c>
      <c r="K235" s="24">
        <v>43587</v>
      </c>
      <c r="L235" s="25">
        <v>0.59305555555555556</v>
      </c>
      <c r="M235" s="22" t="s">
        <v>1477</v>
      </c>
      <c r="N235" s="26">
        <v>30.62</v>
      </c>
      <c r="O235" s="27">
        <f t="shared" si="3"/>
        <v>4.761904762E-2</v>
      </c>
      <c r="P235" s="23">
        <v>1.5309999999999999</v>
      </c>
      <c r="Q235" s="28">
        <v>4.0999999999999996</v>
      </c>
      <c r="Y235" s="5" t="s">
        <v>1486</v>
      </c>
      <c r="Z235" s="5">
        <v>1</v>
      </c>
    </row>
    <row r="236" spans="1:26" x14ac:dyDescent="0.35">
      <c r="A236" s="21" t="s">
        <v>1758</v>
      </c>
      <c r="B236" s="22" t="s">
        <v>1475</v>
      </c>
      <c r="C236" s="22" t="s">
        <v>1476</v>
      </c>
      <c r="D236" s="22" t="s">
        <v>1461</v>
      </c>
      <c r="E236" s="22" t="s">
        <v>19</v>
      </c>
      <c r="F236" s="22" t="s">
        <v>1482</v>
      </c>
      <c r="G236" s="22">
        <v>44.01</v>
      </c>
      <c r="H236" s="22">
        <v>8</v>
      </c>
      <c r="I236" s="22">
        <v>17.603999999999999</v>
      </c>
      <c r="J236" s="23">
        <v>369.68400000000003</v>
      </c>
      <c r="K236" s="24">
        <v>43527</v>
      </c>
      <c r="L236" s="25">
        <v>0.73333333333333328</v>
      </c>
      <c r="M236" s="22" t="s">
        <v>1464</v>
      </c>
      <c r="N236" s="26">
        <v>352.08</v>
      </c>
      <c r="O236" s="27">
        <f t="shared" si="3"/>
        <v>4.761904762E-2</v>
      </c>
      <c r="P236" s="23">
        <v>17.603999999999999</v>
      </c>
      <c r="Q236" s="28">
        <v>8.8000000000000007</v>
      </c>
      <c r="Y236" s="5" t="s">
        <v>1486</v>
      </c>
      <c r="Z236" s="5">
        <v>2</v>
      </c>
    </row>
    <row r="237" spans="1:26" x14ac:dyDescent="0.35">
      <c r="A237" s="21" t="s">
        <v>1759</v>
      </c>
      <c r="B237" s="22" t="s">
        <v>1475</v>
      </c>
      <c r="C237" s="22" t="s">
        <v>1476</v>
      </c>
      <c r="D237" s="22" t="s">
        <v>1479</v>
      </c>
      <c r="E237" s="22" t="s">
        <v>19</v>
      </c>
      <c r="F237" s="22" t="s">
        <v>1473</v>
      </c>
      <c r="G237" s="22">
        <v>10.16</v>
      </c>
      <c r="H237" s="22">
        <v>5</v>
      </c>
      <c r="I237" s="22">
        <v>2.54</v>
      </c>
      <c r="J237" s="23">
        <v>53.34</v>
      </c>
      <c r="K237" s="24" t="s">
        <v>1614</v>
      </c>
      <c r="L237" s="25">
        <v>0.54722222222222228</v>
      </c>
      <c r="M237" s="22" t="s">
        <v>1469</v>
      </c>
      <c r="N237" s="26">
        <v>50.8</v>
      </c>
      <c r="O237" s="27">
        <f t="shared" si="3"/>
        <v>4.761904762E-2</v>
      </c>
      <c r="P237" s="23">
        <v>2.54</v>
      </c>
      <c r="Q237" s="28">
        <v>4.0999999999999996</v>
      </c>
      <c r="Y237" s="5" t="s">
        <v>1486</v>
      </c>
      <c r="Z237" s="5">
        <v>5</v>
      </c>
    </row>
    <row r="238" spans="1:26" x14ac:dyDescent="0.35">
      <c r="A238" s="21" t="s">
        <v>1760</v>
      </c>
      <c r="B238" s="22" t="s">
        <v>1459</v>
      </c>
      <c r="C238" s="22" t="s">
        <v>1460</v>
      </c>
      <c r="D238" s="22" t="s">
        <v>1461</v>
      </c>
      <c r="E238" s="22" t="s">
        <v>27</v>
      </c>
      <c r="F238" s="22" t="s">
        <v>1462</v>
      </c>
      <c r="G238" s="22">
        <v>74.58</v>
      </c>
      <c r="H238" s="22">
        <v>7</v>
      </c>
      <c r="I238" s="22">
        <v>26.103000000000002</v>
      </c>
      <c r="J238" s="66">
        <v>548.16300000000001</v>
      </c>
      <c r="K238" s="24">
        <v>43557</v>
      </c>
      <c r="L238" s="25">
        <v>0.67291666666666672</v>
      </c>
      <c r="M238" s="22" t="s">
        <v>1477</v>
      </c>
      <c r="N238" s="26">
        <v>522.05999999999995</v>
      </c>
      <c r="O238" s="27">
        <f t="shared" si="3"/>
        <v>4.761904762E-2</v>
      </c>
      <c r="P238" s="23">
        <v>26.103000000000002</v>
      </c>
      <c r="Q238" s="28">
        <v>9</v>
      </c>
      <c r="Y238" s="5" t="s">
        <v>1473</v>
      </c>
      <c r="Z238" s="5">
        <v>7</v>
      </c>
    </row>
    <row r="239" spans="1:26" x14ac:dyDescent="0.35">
      <c r="A239" s="21" t="s">
        <v>1761</v>
      </c>
      <c r="B239" s="22" t="s">
        <v>1475</v>
      </c>
      <c r="C239" s="22" t="s">
        <v>1476</v>
      </c>
      <c r="D239" s="22" t="s">
        <v>1461</v>
      </c>
      <c r="E239" s="22" t="s">
        <v>27</v>
      </c>
      <c r="F239" s="22" t="s">
        <v>1462</v>
      </c>
      <c r="G239" s="22">
        <v>71.89</v>
      </c>
      <c r="H239" s="22">
        <v>8</v>
      </c>
      <c r="I239" s="22">
        <v>28.756</v>
      </c>
      <c r="J239" s="66">
        <v>603.87599999999998</v>
      </c>
      <c r="K239" s="24" t="s">
        <v>1645</v>
      </c>
      <c r="L239" s="25">
        <v>0.48125000000000001</v>
      </c>
      <c r="M239" s="22" t="s">
        <v>1469</v>
      </c>
      <c r="N239" s="26">
        <v>575.12</v>
      </c>
      <c r="O239" s="27">
        <f t="shared" si="3"/>
        <v>4.761904762E-2</v>
      </c>
      <c r="P239" s="23">
        <v>28.756</v>
      </c>
      <c r="Q239" s="28">
        <v>5.5</v>
      </c>
      <c r="Y239" s="5" t="s">
        <v>1501</v>
      </c>
      <c r="Z239" s="5">
        <v>1</v>
      </c>
    </row>
    <row r="240" spans="1:26" x14ac:dyDescent="0.35">
      <c r="A240" s="21" t="s">
        <v>1762</v>
      </c>
      <c r="B240" s="22" t="s">
        <v>1475</v>
      </c>
      <c r="C240" s="22" t="s">
        <v>1476</v>
      </c>
      <c r="D240" s="22" t="s">
        <v>1461</v>
      </c>
      <c r="E240" s="22" t="s">
        <v>19</v>
      </c>
      <c r="F240" s="22" t="s">
        <v>1473</v>
      </c>
      <c r="G240" s="22">
        <v>10.99</v>
      </c>
      <c r="H240" s="22">
        <v>5</v>
      </c>
      <c r="I240" s="22">
        <v>2.7475000000000001</v>
      </c>
      <c r="J240" s="23">
        <v>57.697499999999998</v>
      </c>
      <c r="K240" s="24" t="s">
        <v>1463</v>
      </c>
      <c r="L240" s="25">
        <v>0.42916666666666664</v>
      </c>
      <c r="M240" s="22" t="s">
        <v>1477</v>
      </c>
      <c r="N240" s="26">
        <v>54.95</v>
      </c>
      <c r="O240" s="27">
        <f t="shared" si="3"/>
        <v>4.761904762E-2</v>
      </c>
      <c r="P240" s="23">
        <v>2.7475000000000001</v>
      </c>
      <c r="Q240" s="28">
        <v>9.3000000000000007</v>
      </c>
      <c r="Y240" s="5" t="s">
        <v>1501</v>
      </c>
      <c r="Z240" s="5">
        <v>5</v>
      </c>
    </row>
    <row r="241" spans="1:26" x14ac:dyDescent="0.35">
      <c r="A241" s="21" t="s">
        <v>1763</v>
      </c>
      <c r="B241" s="22" t="s">
        <v>1475</v>
      </c>
      <c r="C241" s="22" t="s">
        <v>1476</v>
      </c>
      <c r="D241" s="22" t="s">
        <v>1479</v>
      </c>
      <c r="E241" s="22" t="s">
        <v>27</v>
      </c>
      <c r="F241" s="22" t="s">
        <v>1473</v>
      </c>
      <c r="G241" s="22">
        <v>60.47</v>
      </c>
      <c r="H241" s="22">
        <v>3</v>
      </c>
      <c r="I241" s="22">
        <v>9.0704999999999991</v>
      </c>
      <c r="J241" s="23">
        <v>190.48050000000001</v>
      </c>
      <c r="K241" s="24" t="s">
        <v>1518</v>
      </c>
      <c r="L241" s="25">
        <v>0.4548611111111111</v>
      </c>
      <c r="M241" s="22" t="s">
        <v>1477</v>
      </c>
      <c r="N241" s="26">
        <v>181.41</v>
      </c>
      <c r="O241" s="27">
        <f t="shared" si="3"/>
        <v>4.761904762E-2</v>
      </c>
      <c r="P241" s="23">
        <v>9.0704999999999991</v>
      </c>
      <c r="Q241" s="28">
        <v>5.6</v>
      </c>
      <c r="Y241" s="5" t="s">
        <v>1462</v>
      </c>
      <c r="Z241" s="5">
        <v>9</v>
      </c>
    </row>
    <row r="242" spans="1:26" x14ac:dyDescent="0.35">
      <c r="A242" s="21" t="s">
        <v>1764</v>
      </c>
      <c r="B242" s="22" t="s">
        <v>1459</v>
      </c>
      <c r="C242" s="22" t="s">
        <v>1460</v>
      </c>
      <c r="D242" s="22" t="s">
        <v>1461</v>
      </c>
      <c r="E242" s="22" t="s">
        <v>27</v>
      </c>
      <c r="F242" s="22" t="s">
        <v>1501</v>
      </c>
      <c r="G242" s="22">
        <v>58.91</v>
      </c>
      <c r="H242" s="22">
        <v>7</v>
      </c>
      <c r="I242" s="22">
        <v>20.618500000000001</v>
      </c>
      <c r="J242" s="23">
        <v>432.98849999999999</v>
      </c>
      <c r="K242" s="24" t="s">
        <v>1499</v>
      </c>
      <c r="L242" s="25">
        <v>0.63541666666666663</v>
      </c>
      <c r="M242" s="22" t="s">
        <v>1469</v>
      </c>
      <c r="N242" s="26">
        <v>412.37</v>
      </c>
      <c r="O242" s="27">
        <f t="shared" si="3"/>
        <v>4.761904762E-2</v>
      </c>
      <c r="P242" s="23">
        <v>20.618500000000001</v>
      </c>
      <c r="Q242" s="28">
        <v>9.6999999999999993</v>
      </c>
      <c r="Y242" s="5" t="s">
        <v>1473</v>
      </c>
      <c r="Z242" s="5">
        <v>8</v>
      </c>
    </row>
    <row r="243" spans="1:26" x14ac:dyDescent="0.35">
      <c r="A243" s="21" t="s">
        <v>1765</v>
      </c>
      <c r="B243" s="22" t="s">
        <v>1459</v>
      </c>
      <c r="C243" s="22" t="s">
        <v>1460</v>
      </c>
      <c r="D243" s="22" t="s">
        <v>1461</v>
      </c>
      <c r="E243" s="22" t="s">
        <v>27</v>
      </c>
      <c r="F243" s="22" t="s">
        <v>1468</v>
      </c>
      <c r="G243" s="22">
        <v>46.41</v>
      </c>
      <c r="H243" s="22">
        <v>1</v>
      </c>
      <c r="I243" s="22">
        <v>2.3205</v>
      </c>
      <c r="J243" s="23">
        <v>48.730499999999999</v>
      </c>
      <c r="K243" s="24">
        <v>43527</v>
      </c>
      <c r="L243" s="25">
        <v>0.83750000000000002</v>
      </c>
      <c r="M243" s="22" t="s">
        <v>1477</v>
      </c>
      <c r="N243" s="26">
        <v>46.41</v>
      </c>
      <c r="O243" s="27">
        <f t="shared" si="3"/>
        <v>4.761904762E-2</v>
      </c>
      <c r="P243" s="23">
        <v>2.3205</v>
      </c>
      <c r="Q243" s="28">
        <v>4</v>
      </c>
      <c r="Y243" s="5" t="s">
        <v>1501</v>
      </c>
      <c r="Z243" s="5">
        <v>4</v>
      </c>
    </row>
    <row r="244" spans="1:26" x14ac:dyDescent="0.35">
      <c r="A244" s="21" t="s">
        <v>1766</v>
      </c>
      <c r="B244" s="22" t="s">
        <v>1475</v>
      </c>
      <c r="C244" s="22" t="s">
        <v>1476</v>
      </c>
      <c r="D244" s="22" t="s">
        <v>1479</v>
      </c>
      <c r="E244" s="22" t="s">
        <v>27</v>
      </c>
      <c r="F244" s="22" t="s">
        <v>1473</v>
      </c>
      <c r="G244" s="22">
        <v>68.55</v>
      </c>
      <c r="H244" s="22">
        <v>4</v>
      </c>
      <c r="I244" s="22">
        <v>13.71</v>
      </c>
      <c r="J244" s="23">
        <v>287.91000000000003</v>
      </c>
      <c r="K244" s="24" t="s">
        <v>1544</v>
      </c>
      <c r="L244" s="25">
        <v>0.84791666666666665</v>
      </c>
      <c r="M244" s="22" t="s">
        <v>1477</v>
      </c>
      <c r="N244" s="26">
        <v>274.2</v>
      </c>
      <c r="O244" s="27">
        <f t="shared" si="3"/>
        <v>4.761904762E-2</v>
      </c>
      <c r="P244" s="23">
        <v>13.71</v>
      </c>
      <c r="Q244" s="28">
        <v>9.1999999999999993</v>
      </c>
      <c r="Y244" s="5" t="s">
        <v>1468</v>
      </c>
      <c r="Z244" s="5">
        <v>1</v>
      </c>
    </row>
    <row r="245" spans="1:26" x14ac:dyDescent="0.35">
      <c r="A245" s="21" t="s">
        <v>1767</v>
      </c>
      <c r="B245" s="22" t="s">
        <v>1466</v>
      </c>
      <c r="C245" s="22" t="s">
        <v>1467</v>
      </c>
      <c r="D245" s="22" t="s">
        <v>1461</v>
      </c>
      <c r="E245" s="22" t="s">
        <v>19</v>
      </c>
      <c r="F245" s="22" t="s">
        <v>1482</v>
      </c>
      <c r="G245" s="22">
        <v>97.37</v>
      </c>
      <c r="H245" s="22">
        <v>10</v>
      </c>
      <c r="I245" s="22">
        <v>48.685000000000002</v>
      </c>
      <c r="J245" s="66">
        <v>1022.385</v>
      </c>
      <c r="K245" s="24" t="s">
        <v>1589</v>
      </c>
      <c r="L245" s="25">
        <v>0.57499999999999996</v>
      </c>
      <c r="M245" s="22" t="s">
        <v>1477</v>
      </c>
      <c r="N245" s="26">
        <v>973.7</v>
      </c>
      <c r="O245" s="27">
        <f t="shared" si="3"/>
        <v>4.761904762E-2</v>
      </c>
      <c r="P245" s="23">
        <v>48.685000000000002</v>
      </c>
      <c r="Q245" s="28">
        <v>4.9000000000000004</v>
      </c>
      <c r="Y245" s="5" t="s">
        <v>1482</v>
      </c>
      <c r="Z245" s="5">
        <v>8</v>
      </c>
    </row>
    <row r="246" spans="1:26" x14ac:dyDescent="0.35">
      <c r="A246" s="21" t="s">
        <v>1768</v>
      </c>
      <c r="B246" s="22" t="s">
        <v>1459</v>
      </c>
      <c r="C246" s="22" t="s">
        <v>1460</v>
      </c>
      <c r="D246" s="22" t="s">
        <v>1479</v>
      </c>
      <c r="E246" s="22" t="s">
        <v>27</v>
      </c>
      <c r="F246" s="22" t="s">
        <v>1462</v>
      </c>
      <c r="G246" s="22">
        <v>92.6</v>
      </c>
      <c r="H246" s="22">
        <v>7</v>
      </c>
      <c r="I246" s="22">
        <v>32.409999999999997</v>
      </c>
      <c r="J246" s="66">
        <v>680.61</v>
      </c>
      <c r="K246" s="24" t="s">
        <v>1599</v>
      </c>
      <c r="L246" s="25">
        <v>0.53611111111111109</v>
      </c>
      <c r="M246" s="22" t="s">
        <v>1477</v>
      </c>
      <c r="N246" s="26">
        <v>648.20000000000005</v>
      </c>
      <c r="O246" s="27">
        <f t="shared" si="3"/>
        <v>4.761904762E-2</v>
      </c>
      <c r="P246" s="23">
        <v>32.409999999999997</v>
      </c>
      <c r="Q246" s="28">
        <v>9.3000000000000007</v>
      </c>
      <c r="Y246" s="5" t="s">
        <v>1473</v>
      </c>
      <c r="Z246" s="5">
        <v>5</v>
      </c>
    </row>
    <row r="247" spans="1:26" x14ac:dyDescent="0.35">
      <c r="A247" s="21" t="s">
        <v>1769</v>
      </c>
      <c r="B247" s="22" t="s">
        <v>1459</v>
      </c>
      <c r="C247" s="22" t="s">
        <v>1460</v>
      </c>
      <c r="D247" s="22" t="s">
        <v>1461</v>
      </c>
      <c r="E247" s="22" t="s">
        <v>19</v>
      </c>
      <c r="F247" s="22" t="s">
        <v>1462</v>
      </c>
      <c r="G247" s="22">
        <v>46.61</v>
      </c>
      <c r="H247" s="22">
        <v>2</v>
      </c>
      <c r="I247" s="22">
        <v>4.6609999999999996</v>
      </c>
      <c r="J247" s="23">
        <v>97.881</v>
      </c>
      <c r="K247" s="24" t="s">
        <v>1626</v>
      </c>
      <c r="L247" s="25">
        <v>0.51944444444444449</v>
      </c>
      <c r="M247" s="22" t="s">
        <v>1477</v>
      </c>
      <c r="N247" s="26">
        <v>93.22</v>
      </c>
      <c r="O247" s="27">
        <f t="shared" si="3"/>
        <v>4.761904762E-2</v>
      </c>
      <c r="P247" s="23">
        <v>4.6609999999999996</v>
      </c>
      <c r="Q247" s="28">
        <v>6.6</v>
      </c>
      <c r="Y247" s="5" t="s">
        <v>1462</v>
      </c>
      <c r="Z247" s="5">
        <v>7</v>
      </c>
    </row>
    <row r="248" spans="1:26" x14ac:dyDescent="0.35">
      <c r="A248" s="21" t="s">
        <v>1770</v>
      </c>
      <c r="B248" s="22" t="s">
        <v>1466</v>
      </c>
      <c r="C248" s="22" t="s">
        <v>1467</v>
      </c>
      <c r="D248" s="22" t="s">
        <v>1461</v>
      </c>
      <c r="E248" s="22" t="s">
        <v>27</v>
      </c>
      <c r="F248" s="22" t="s">
        <v>1468</v>
      </c>
      <c r="G248" s="22">
        <v>27.18</v>
      </c>
      <c r="H248" s="22">
        <v>2</v>
      </c>
      <c r="I248" s="22">
        <v>2.718</v>
      </c>
      <c r="J248" s="23">
        <v>57.078000000000003</v>
      </c>
      <c r="K248" s="24" t="s">
        <v>1541</v>
      </c>
      <c r="L248" s="25">
        <v>0.68472222222222223</v>
      </c>
      <c r="M248" s="22" t="s">
        <v>1469</v>
      </c>
      <c r="N248" s="26">
        <v>54.36</v>
      </c>
      <c r="O248" s="27">
        <f t="shared" si="3"/>
        <v>4.761904762E-2</v>
      </c>
      <c r="P248" s="23">
        <v>2.718</v>
      </c>
      <c r="Q248" s="28">
        <v>4.3</v>
      </c>
      <c r="Y248" s="5" t="s">
        <v>1462</v>
      </c>
      <c r="Z248" s="5">
        <v>8</v>
      </c>
    </row>
    <row r="249" spans="1:26" x14ac:dyDescent="0.35">
      <c r="A249" s="21" t="s">
        <v>1771</v>
      </c>
      <c r="B249" s="22" t="s">
        <v>1475</v>
      </c>
      <c r="C249" s="22" t="s">
        <v>1476</v>
      </c>
      <c r="D249" s="22" t="s">
        <v>1479</v>
      </c>
      <c r="E249" s="22" t="s">
        <v>19</v>
      </c>
      <c r="F249" s="22" t="s">
        <v>1482</v>
      </c>
      <c r="G249" s="22">
        <v>60.87</v>
      </c>
      <c r="H249" s="22">
        <v>1</v>
      </c>
      <c r="I249" s="22">
        <v>3.0434999999999999</v>
      </c>
      <c r="J249" s="23">
        <v>63.913499999999999</v>
      </c>
      <c r="K249" s="24" t="s">
        <v>1566</v>
      </c>
      <c r="L249" s="25">
        <v>0.55833333333333335</v>
      </c>
      <c r="M249" s="22" t="s">
        <v>1464</v>
      </c>
      <c r="N249" s="26">
        <v>60.87</v>
      </c>
      <c r="O249" s="27">
        <f t="shared" si="3"/>
        <v>4.761904762E-2</v>
      </c>
      <c r="P249" s="23">
        <v>3.0434999999999999</v>
      </c>
      <c r="Q249" s="28">
        <v>5.5</v>
      </c>
      <c r="Y249" s="5" t="s">
        <v>1473</v>
      </c>
      <c r="Z249" s="5">
        <v>5</v>
      </c>
    </row>
    <row r="250" spans="1:26" x14ac:dyDescent="0.35">
      <c r="A250" s="21" t="s">
        <v>1772</v>
      </c>
      <c r="B250" s="22" t="s">
        <v>1459</v>
      </c>
      <c r="C250" s="22" t="s">
        <v>1460</v>
      </c>
      <c r="D250" s="22" t="s">
        <v>1479</v>
      </c>
      <c r="E250" s="22" t="s">
        <v>19</v>
      </c>
      <c r="F250" s="22" t="s">
        <v>1501</v>
      </c>
      <c r="G250" s="22">
        <v>24.49</v>
      </c>
      <c r="H250" s="22">
        <v>10</v>
      </c>
      <c r="I250" s="22">
        <v>12.244999999999999</v>
      </c>
      <c r="J250" s="23">
        <v>257.14499999999998</v>
      </c>
      <c r="K250" s="24" t="s">
        <v>1471</v>
      </c>
      <c r="L250" s="25">
        <v>0.63541666666666663</v>
      </c>
      <c r="M250" s="22" t="s">
        <v>1464</v>
      </c>
      <c r="N250" s="26">
        <v>244.9</v>
      </c>
      <c r="O250" s="27">
        <f t="shared" si="3"/>
        <v>4.761904762E-2</v>
      </c>
      <c r="P250" s="23">
        <v>12.244999999999999</v>
      </c>
      <c r="Q250" s="28">
        <v>8.1</v>
      </c>
      <c r="Y250" s="5" t="s">
        <v>1473</v>
      </c>
      <c r="Z250" s="5">
        <v>3</v>
      </c>
    </row>
    <row r="251" spans="1:26" x14ac:dyDescent="0.35">
      <c r="A251" s="21" t="s">
        <v>1773</v>
      </c>
      <c r="B251" s="22" t="s">
        <v>1466</v>
      </c>
      <c r="C251" s="22" t="s">
        <v>1467</v>
      </c>
      <c r="D251" s="22" t="s">
        <v>1461</v>
      </c>
      <c r="E251" s="22" t="s">
        <v>27</v>
      </c>
      <c r="F251" s="22" t="s">
        <v>1473</v>
      </c>
      <c r="G251" s="22">
        <v>92.78</v>
      </c>
      <c r="H251" s="22">
        <v>1</v>
      </c>
      <c r="I251" s="22">
        <v>4.6390000000000002</v>
      </c>
      <c r="J251" s="23">
        <v>97.418999999999997</v>
      </c>
      <c r="K251" s="24" t="s">
        <v>1541</v>
      </c>
      <c r="L251" s="25">
        <v>0.4513888888888889</v>
      </c>
      <c r="M251" s="22" t="s">
        <v>1477</v>
      </c>
      <c r="N251" s="26">
        <v>92.78</v>
      </c>
      <c r="O251" s="27">
        <f t="shared" si="3"/>
        <v>4.761904762E-2</v>
      </c>
      <c r="P251" s="23">
        <v>4.6390000000000002</v>
      </c>
      <c r="Q251" s="28">
        <v>9.8000000000000007</v>
      </c>
      <c r="Y251" s="5" t="s">
        <v>1501</v>
      </c>
      <c r="Z251" s="5">
        <v>7</v>
      </c>
    </row>
    <row r="252" spans="1:26" x14ac:dyDescent="0.35">
      <c r="A252" s="21" t="s">
        <v>1774</v>
      </c>
      <c r="B252" s="22" t="s">
        <v>1475</v>
      </c>
      <c r="C252" s="22" t="s">
        <v>1476</v>
      </c>
      <c r="D252" s="22" t="s">
        <v>1479</v>
      </c>
      <c r="E252" s="22" t="s">
        <v>27</v>
      </c>
      <c r="F252" s="22" t="s">
        <v>1482</v>
      </c>
      <c r="G252" s="22">
        <v>86.69</v>
      </c>
      <c r="H252" s="22">
        <v>5</v>
      </c>
      <c r="I252" s="22">
        <v>21.672499999999999</v>
      </c>
      <c r="J252" s="23">
        <v>455.1225</v>
      </c>
      <c r="K252" s="24">
        <v>43771</v>
      </c>
      <c r="L252" s="25">
        <v>0.77638888888888891</v>
      </c>
      <c r="M252" s="22" t="s">
        <v>1469</v>
      </c>
      <c r="N252" s="26">
        <v>433.45</v>
      </c>
      <c r="O252" s="27">
        <f t="shared" si="3"/>
        <v>4.761904762E-2</v>
      </c>
      <c r="P252" s="23">
        <v>21.672499999999999</v>
      </c>
      <c r="Q252" s="28">
        <v>9.4</v>
      </c>
      <c r="Y252" s="5" t="s">
        <v>1468</v>
      </c>
      <c r="Z252" s="5">
        <v>1</v>
      </c>
    </row>
    <row r="253" spans="1:26" x14ac:dyDescent="0.35">
      <c r="A253" s="21" t="s">
        <v>1775</v>
      </c>
      <c r="B253" s="22" t="s">
        <v>1466</v>
      </c>
      <c r="C253" s="22" t="s">
        <v>1467</v>
      </c>
      <c r="D253" s="22" t="s">
        <v>1461</v>
      </c>
      <c r="E253" s="22" t="s">
        <v>27</v>
      </c>
      <c r="F253" s="22" t="s">
        <v>1501</v>
      </c>
      <c r="G253" s="22">
        <v>23.01</v>
      </c>
      <c r="H253" s="22">
        <v>6</v>
      </c>
      <c r="I253" s="22">
        <v>6.9029999999999996</v>
      </c>
      <c r="J253" s="23">
        <v>144.96299999999999</v>
      </c>
      <c r="K253" s="24">
        <v>43800</v>
      </c>
      <c r="L253" s="25">
        <v>0.69791666666666663</v>
      </c>
      <c r="M253" s="22" t="s">
        <v>1469</v>
      </c>
      <c r="N253" s="26">
        <v>138.06</v>
      </c>
      <c r="O253" s="27">
        <f t="shared" si="3"/>
        <v>4.761904762E-2</v>
      </c>
      <c r="P253" s="23">
        <v>6.9029999999999996</v>
      </c>
      <c r="Q253" s="28">
        <v>7.9</v>
      </c>
      <c r="Y253" s="5" t="s">
        <v>1473</v>
      </c>
      <c r="Z253" s="5">
        <v>4</v>
      </c>
    </row>
    <row r="254" spans="1:26" x14ac:dyDescent="0.35">
      <c r="A254" s="21" t="s">
        <v>1776</v>
      </c>
      <c r="B254" s="22" t="s">
        <v>1475</v>
      </c>
      <c r="C254" s="22" t="s">
        <v>1476</v>
      </c>
      <c r="D254" s="22" t="s">
        <v>1479</v>
      </c>
      <c r="E254" s="22" t="s">
        <v>19</v>
      </c>
      <c r="F254" s="22" t="s">
        <v>1462</v>
      </c>
      <c r="G254" s="22">
        <v>30.2</v>
      </c>
      <c r="H254" s="22">
        <v>8</v>
      </c>
      <c r="I254" s="22">
        <v>12.08</v>
      </c>
      <c r="J254" s="23">
        <v>253.68</v>
      </c>
      <c r="K254" s="24">
        <v>43527</v>
      </c>
      <c r="L254" s="25">
        <v>0.8125</v>
      </c>
      <c r="M254" s="22" t="s">
        <v>1469</v>
      </c>
      <c r="N254" s="26">
        <v>241.6</v>
      </c>
      <c r="O254" s="27">
        <f t="shared" si="3"/>
        <v>4.761904762E-2</v>
      </c>
      <c r="P254" s="23">
        <v>12.08</v>
      </c>
      <c r="Q254" s="28">
        <v>5.0999999999999996</v>
      </c>
      <c r="Y254" s="5" t="s">
        <v>1482</v>
      </c>
      <c r="Z254" s="5">
        <v>10</v>
      </c>
    </row>
    <row r="255" spans="1:26" x14ac:dyDescent="0.35">
      <c r="A255" s="21" t="s">
        <v>1777</v>
      </c>
      <c r="B255" s="22" t="s">
        <v>1475</v>
      </c>
      <c r="C255" s="22" t="s">
        <v>1476</v>
      </c>
      <c r="D255" s="22" t="s">
        <v>1479</v>
      </c>
      <c r="E255" s="22" t="s">
        <v>27</v>
      </c>
      <c r="F255" s="22" t="s">
        <v>1468</v>
      </c>
      <c r="G255" s="22">
        <v>67.39</v>
      </c>
      <c r="H255" s="22">
        <v>7</v>
      </c>
      <c r="I255" s="22">
        <v>23.586500000000001</v>
      </c>
      <c r="J255" s="23">
        <v>495.31650000000002</v>
      </c>
      <c r="K255" s="24" t="s">
        <v>1711</v>
      </c>
      <c r="L255" s="25">
        <v>0.55763888888888891</v>
      </c>
      <c r="M255" s="22" t="s">
        <v>1469</v>
      </c>
      <c r="N255" s="26">
        <v>471.73</v>
      </c>
      <c r="O255" s="27">
        <f t="shared" si="3"/>
        <v>4.761904762E-2</v>
      </c>
      <c r="P255" s="23">
        <v>23.586500000000001</v>
      </c>
      <c r="Q255" s="28">
        <v>6.9</v>
      </c>
      <c r="Y255" s="5" t="s">
        <v>1462</v>
      </c>
      <c r="Z255" s="5">
        <v>7</v>
      </c>
    </row>
    <row r="256" spans="1:26" x14ac:dyDescent="0.35">
      <c r="A256" s="21" t="s">
        <v>1778</v>
      </c>
      <c r="B256" s="22" t="s">
        <v>1459</v>
      </c>
      <c r="C256" s="22" t="s">
        <v>1460</v>
      </c>
      <c r="D256" s="22" t="s">
        <v>1479</v>
      </c>
      <c r="E256" s="22" t="s">
        <v>19</v>
      </c>
      <c r="F256" s="22" t="s">
        <v>1468</v>
      </c>
      <c r="G256" s="22">
        <v>48.96</v>
      </c>
      <c r="H256" s="22">
        <v>9</v>
      </c>
      <c r="I256" s="22">
        <v>22.032</v>
      </c>
      <c r="J256" s="23">
        <v>462.67200000000003</v>
      </c>
      <c r="K256" s="24">
        <v>43558</v>
      </c>
      <c r="L256" s="25">
        <v>0.47708333333333336</v>
      </c>
      <c r="M256" s="22" t="s">
        <v>1464</v>
      </c>
      <c r="N256" s="26">
        <v>440.64</v>
      </c>
      <c r="O256" s="27">
        <f t="shared" si="3"/>
        <v>4.761904762E-2</v>
      </c>
      <c r="P256" s="23">
        <v>22.032</v>
      </c>
      <c r="Q256" s="28">
        <v>8</v>
      </c>
      <c r="Y256" s="5" t="s">
        <v>1462</v>
      </c>
      <c r="Z256" s="5">
        <v>2</v>
      </c>
    </row>
    <row r="257" spans="1:26" x14ac:dyDescent="0.35">
      <c r="A257" s="21" t="s">
        <v>1779</v>
      </c>
      <c r="B257" s="22" t="s">
        <v>1466</v>
      </c>
      <c r="C257" s="22" t="s">
        <v>1467</v>
      </c>
      <c r="D257" s="22" t="s">
        <v>1479</v>
      </c>
      <c r="E257" s="22" t="s">
        <v>19</v>
      </c>
      <c r="F257" s="22" t="s">
        <v>1462</v>
      </c>
      <c r="G257" s="22">
        <v>75.59</v>
      </c>
      <c r="H257" s="22">
        <v>9</v>
      </c>
      <c r="I257" s="22">
        <v>34.015500000000003</v>
      </c>
      <c r="J257" s="66">
        <v>714.32550000000003</v>
      </c>
      <c r="K257" s="24" t="s">
        <v>1601</v>
      </c>
      <c r="L257" s="25">
        <v>0.46666666666666667</v>
      </c>
      <c r="M257" s="22" t="s">
        <v>1464</v>
      </c>
      <c r="N257" s="26">
        <v>680.31</v>
      </c>
      <c r="O257" s="27">
        <f t="shared" si="3"/>
        <v>4.761904762E-2</v>
      </c>
      <c r="P257" s="23">
        <v>34.015500000000003</v>
      </c>
      <c r="Q257" s="28">
        <v>8</v>
      </c>
      <c r="Y257" s="5" t="s">
        <v>1468</v>
      </c>
      <c r="Z257" s="5">
        <v>2</v>
      </c>
    </row>
    <row r="258" spans="1:26" x14ac:dyDescent="0.35">
      <c r="A258" s="21" t="s">
        <v>1780</v>
      </c>
      <c r="B258" s="22" t="s">
        <v>1459</v>
      </c>
      <c r="C258" s="22" t="s">
        <v>1460</v>
      </c>
      <c r="D258" s="22" t="s">
        <v>1461</v>
      </c>
      <c r="E258" s="22" t="s">
        <v>19</v>
      </c>
      <c r="F258" s="22" t="s">
        <v>1482</v>
      </c>
      <c r="G258" s="22">
        <v>77.47</v>
      </c>
      <c r="H258" s="22">
        <v>4</v>
      </c>
      <c r="I258" s="22">
        <v>15.494</v>
      </c>
      <c r="J258" s="23">
        <v>325.37400000000002</v>
      </c>
      <c r="K258" s="24" t="s">
        <v>1555</v>
      </c>
      <c r="L258" s="25">
        <v>0.69166666666666665</v>
      </c>
      <c r="M258" s="22" t="s">
        <v>1464</v>
      </c>
      <c r="N258" s="26">
        <v>309.88</v>
      </c>
      <c r="O258" s="27">
        <f t="shared" ref="O258:O321" si="4">4.761904762/100</f>
        <v>4.761904762E-2</v>
      </c>
      <c r="P258" s="23">
        <v>15.494</v>
      </c>
      <c r="Q258" s="28">
        <v>4.2</v>
      </c>
      <c r="Y258" s="5" t="s">
        <v>1482</v>
      </c>
      <c r="Z258" s="5">
        <v>1</v>
      </c>
    </row>
    <row r="259" spans="1:26" x14ac:dyDescent="0.35">
      <c r="A259" s="21" t="s">
        <v>1781</v>
      </c>
      <c r="B259" s="22" t="s">
        <v>1459</v>
      </c>
      <c r="C259" s="22" t="s">
        <v>1460</v>
      </c>
      <c r="D259" s="22" t="s">
        <v>1461</v>
      </c>
      <c r="E259" s="22" t="s">
        <v>19</v>
      </c>
      <c r="F259" s="22" t="s">
        <v>1501</v>
      </c>
      <c r="G259" s="22">
        <v>93.18</v>
      </c>
      <c r="H259" s="22">
        <v>2</v>
      </c>
      <c r="I259" s="22">
        <v>9.3179999999999996</v>
      </c>
      <c r="J259" s="23">
        <v>195.678</v>
      </c>
      <c r="K259" s="24" t="s">
        <v>1612</v>
      </c>
      <c r="L259" s="25">
        <v>0.77847222222222223</v>
      </c>
      <c r="M259" s="22" t="s">
        <v>1477</v>
      </c>
      <c r="N259" s="26">
        <v>186.36</v>
      </c>
      <c r="O259" s="27">
        <f t="shared" si="4"/>
        <v>4.761904762E-2</v>
      </c>
      <c r="P259" s="23">
        <v>9.3179999999999996</v>
      </c>
      <c r="Q259" s="28">
        <v>8.5</v>
      </c>
      <c r="Y259" s="5" t="s">
        <v>1501</v>
      </c>
      <c r="Z259" s="5">
        <v>10</v>
      </c>
    </row>
    <row r="260" spans="1:26" x14ac:dyDescent="0.35">
      <c r="A260" s="21" t="s">
        <v>1782</v>
      </c>
      <c r="B260" s="22" t="s">
        <v>1459</v>
      </c>
      <c r="C260" s="22" t="s">
        <v>1460</v>
      </c>
      <c r="D260" s="22" t="s">
        <v>1461</v>
      </c>
      <c r="E260" s="22" t="s">
        <v>19</v>
      </c>
      <c r="F260" s="22" t="s">
        <v>1462</v>
      </c>
      <c r="G260" s="22">
        <v>50.23</v>
      </c>
      <c r="H260" s="22">
        <v>4</v>
      </c>
      <c r="I260" s="22">
        <v>10.045999999999999</v>
      </c>
      <c r="J260" s="23">
        <v>210.96600000000001</v>
      </c>
      <c r="K260" s="24">
        <v>43678</v>
      </c>
      <c r="L260" s="25">
        <v>0.71666666666666667</v>
      </c>
      <c r="M260" s="22" t="s">
        <v>1464</v>
      </c>
      <c r="N260" s="26">
        <v>200.92</v>
      </c>
      <c r="O260" s="27">
        <f t="shared" si="4"/>
        <v>4.761904762E-2</v>
      </c>
      <c r="P260" s="23">
        <v>10.045999999999999</v>
      </c>
      <c r="Q260" s="28">
        <v>9</v>
      </c>
      <c r="Y260" s="5" t="s">
        <v>1473</v>
      </c>
      <c r="Z260" s="5">
        <v>1</v>
      </c>
    </row>
    <row r="261" spans="1:26" x14ac:dyDescent="0.35">
      <c r="A261" s="21" t="s">
        <v>1783</v>
      </c>
      <c r="B261" s="22" t="s">
        <v>1466</v>
      </c>
      <c r="C261" s="22" t="s">
        <v>1467</v>
      </c>
      <c r="D261" s="22" t="s">
        <v>1461</v>
      </c>
      <c r="E261" s="22" t="s">
        <v>19</v>
      </c>
      <c r="F261" s="22" t="s">
        <v>1473</v>
      </c>
      <c r="G261" s="22">
        <v>17.75</v>
      </c>
      <c r="H261" s="22">
        <v>1</v>
      </c>
      <c r="I261" s="22">
        <v>0.88749999999999996</v>
      </c>
      <c r="J261" s="23">
        <v>18.637499999999999</v>
      </c>
      <c r="K261" s="24" t="s">
        <v>1518</v>
      </c>
      <c r="L261" s="25">
        <v>0.44305555555555554</v>
      </c>
      <c r="M261" s="22" t="s">
        <v>1464</v>
      </c>
      <c r="N261" s="26">
        <v>17.75</v>
      </c>
      <c r="O261" s="27">
        <f t="shared" si="4"/>
        <v>4.761904762E-2</v>
      </c>
      <c r="P261" s="23">
        <v>0.88749999999999996</v>
      </c>
      <c r="Q261" s="28">
        <v>8.6</v>
      </c>
      <c r="Y261" s="5" t="s">
        <v>1482</v>
      </c>
      <c r="Z261" s="5">
        <v>5</v>
      </c>
    </row>
    <row r="262" spans="1:26" x14ac:dyDescent="0.35">
      <c r="A262" s="21" t="s">
        <v>1784</v>
      </c>
      <c r="B262" s="22" t="s">
        <v>1475</v>
      </c>
      <c r="C262" s="22" t="s">
        <v>1476</v>
      </c>
      <c r="D262" s="22" t="s">
        <v>1461</v>
      </c>
      <c r="E262" s="22" t="s">
        <v>19</v>
      </c>
      <c r="F262" s="22" t="s">
        <v>1468</v>
      </c>
      <c r="G262" s="22">
        <v>62.18</v>
      </c>
      <c r="H262" s="22">
        <v>10</v>
      </c>
      <c r="I262" s="22">
        <v>31.09</v>
      </c>
      <c r="J262" s="66">
        <v>652.89</v>
      </c>
      <c r="K262" s="24" t="s">
        <v>1677</v>
      </c>
      <c r="L262" s="25">
        <v>0.43958333333333333</v>
      </c>
      <c r="M262" s="22" t="s">
        <v>1469</v>
      </c>
      <c r="N262" s="26">
        <v>621.79999999999995</v>
      </c>
      <c r="O262" s="27">
        <f t="shared" si="4"/>
        <v>4.761904762E-2</v>
      </c>
      <c r="P262" s="23">
        <v>31.09</v>
      </c>
      <c r="Q262" s="28">
        <v>6</v>
      </c>
      <c r="Y262" s="5" t="s">
        <v>1501</v>
      </c>
      <c r="Z262" s="5">
        <v>6</v>
      </c>
    </row>
    <row r="263" spans="1:26" x14ac:dyDescent="0.35">
      <c r="A263" s="21" t="s">
        <v>1785</v>
      </c>
      <c r="B263" s="22" t="s">
        <v>1466</v>
      </c>
      <c r="C263" s="22" t="s">
        <v>1467</v>
      </c>
      <c r="D263" s="22" t="s">
        <v>1461</v>
      </c>
      <c r="E263" s="22" t="s">
        <v>27</v>
      </c>
      <c r="F263" s="22" t="s">
        <v>1473</v>
      </c>
      <c r="G263" s="22">
        <v>10.75</v>
      </c>
      <c r="H263" s="22">
        <v>8</v>
      </c>
      <c r="I263" s="22">
        <v>4.3</v>
      </c>
      <c r="J263" s="23">
        <v>90.3</v>
      </c>
      <c r="K263" s="24" t="s">
        <v>1541</v>
      </c>
      <c r="L263" s="25">
        <v>0.60972222222222228</v>
      </c>
      <c r="M263" s="22" t="s">
        <v>1469</v>
      </c>
      <c r="N263" s="26">
        <v>86</v>
      </c>
      <c r="O263" s="27">
        <f t="shared" si="4"/>
        <v>4.761904762E-2</v>
      </c>
      <c r="P263" s="23">
        <v>4.3</v>
      </c>
      <c r="Q263" s="28">
        <v>6.2</v>
      </c>
      <c r="Y263" s="5" t="s">
        <v>1462</v>
      </c>
      <c r="Z263" s="5">
        <v>8</v>
      </c>
    </row>
    <row r="264" spans="1:26" x14ac:dyDescent="0.35">
      <c r="A264" s="21" t="s">
        <v>1786</v>
      </c>
      <c r="B264" s="22" t="s">
        <v>1459</v>
      </c>
      <c r="C264" s="22" t="s">
        <v>1460</v>
      </c>
      <c r="D264" s="22" t="s">
        <v>1461</v>
      </c>
      <c r="E264" s="22" t="s">
        <v>19</v>
      </c>
      <c r="F264" s="22" t="s">
        <v>1462</v>
      </c>
      <c r="G264" s="22">
        <v>40.26</v>
      </c>
      <c r="H264" s="22">
        <v>10</v>
      </c>
      <c r="I264" s="22">
        <v>20.13</v>
      </c>
      <c r="J264" s="23">
        <v>422.73</v>
      </c>
      <c r="K264" s="24" t="s">
        <v>1614</v>
      </c>
      <c r="L264" s="25">
        <v>0.75416666666666665</v>
      </c>
      <c r="M264" s="22" t="s">
        <v>1477</v>
      </c>
      <c r="N264" s="26">
        <v>402.6</v>
      </c>
      <c r="O264" s="27">
        <f t="shared" si="4"/>
        <v>4.761904762E-2</v>
      </c>
      <c r="P264" s="23">
        <v>20.13</v>
      </c>
      <c r="Q264" s="28">
        <v>5</v>
      </c>
      <c r="Y264" s="5" t="s">
        <v>1468</v>
      </c>
      <c r="Z264" s="5">
        <v>7</v>
      </c>
    </row>
    <row r="265" spans="1:26" x14ac:dyDescent="0.35">
      <c r="A265" s="21" t="s">
        <v>1787</v>
      </c>
      <c r="B265" s="22" t="s">
        <v>1475</v>
      </c>
      <c r="C265" s="22" t="s">
        <v>1476</v>
      </c>
      <c r="D265" s="22" t="s">
        <v>1479</v>
      </c>
      <c r="E265" s="22" t="s">
        <v>19</v>
      </c>
      <c r="F265" s="22" t="s">
        <v>1501</v>
      </c>
      <c r="G265" s="22">
        <v>64.97</v>
      </c>
      <c r="H265" s="22">
        <v>5</v>
      </c>
      <c r="I265" s="22">
        <v>16.2425</v>
      </c>
      <c r="J265" s="23">
        <v>341.09249999999997</v>
      </c>
      <c r="K265" s="24">
        <v>43679</v>
      </c>
      <c r="L265" s="25">
        <v>0.53611111111111109</v>
      </c>
      <c r="M265" s="22" t="s">
        <v>1477</v>
      </c>
      <c r="N265" s="26">
        <v>324.85000000000002</v>
      </c>
      <c r="O265" s="27">
        <f t="shared" si="4"/>
        <v>4.761904762E-2</v>
      </c>
      <c r="P265" s="23">
        <v>16.2425</v>
      </c>
      <c r="Q265" s="28">
        <v>6.5</v>
      </c>
      <c r="Y265" s="5" t="s">
        <v>1468</v>
      </c>
      <c r="Z265" s="5">
        <v>9</v>
      </c>
    </row>
    <row r="266" spans="1:26" x14ac:dyDescent="0.35">
      <c r="A266" s="21" t="s">
        <v>1788</v>
      </c>
      <c r="B266" s="22" t="s">
        <v>1459</v>
      </c>
      <c r="C266" s="22" t="s">
        <v>1460</v>
      </c>
      <c r="D266" s="22" t="s">
        <v>1461</v>
      </c>
      <c r="E266" s="22" t="s">
        <v>27</v>
      </c>
      <c r="F266" s="22" t="s">
        <v>1462</v>
      </c>
      <c r="G266" s="22">
        <v>95.15</v>
      </c>
      <c r="H266" s="22">
        <v>1</v>
      </c>
      <c r="I266" s="22">
        <v>4.7575000000000003</v>
      </c>
      <c r="J266" s="23">
        <v>99.907499999999999</v>
      </c>
      <c r="K266" s="24" t="s">
        <v>1513</v>
      </c>
      <c r="L266" s="25">
        <v>0.58333333333333337</v>
      </c>
      <c r="M266" s="22" t="s">
        <v>1464</v>
      </c>
      <c r="N266" s="26">
        <v>95.15</v>
      </c>
      <c r="O266" s="27">
        <f t="shared" si="4"/>
        <v>4.761904762E-2</v>
      </c>
      <c r="P266" s="23">
        <v>4.7575000000000003</v>
      </c>
      <c r="Q266" s="28">
        <v>6</v>
      </c>
      <c r="Y266" s="5" t="s">
        <v>1462</v>
      </c>
      <c r="Z266" s="5">
        <v>9</v>
      </c>
    </row>
    <row r="267" spans="1:26" x14ac:dyDescent="0.35">
      <c r="A267" s="21" t="s">
        <v>1789</v>
      </c>
      <c r="B267" s="22" t="s">
        <v>1459</v>
      </c>
      <c r="C267" s="22" t="s">
        <v>1460</v>
      </c>
      <c r="D267" s="22" t="s">
        <v>1479</v>
      </c>
      <c r="E267" s="22" t="s">
        <v>19</v>
      </c>
      <c r="F267" s="22" t="s">
        <v>1462</v>
      </c>
      <c r="G267" s="22">
        <v>48.62</v>
      </c>
      <c r="H267" s="22">
        <v>8</v>
      </c>
      <c r="I267" s="22">
        <v>19.448</v>
      </c>
      <c r="J267" s="23">
        <v>408.40800000000002</v>
      </c>
      <c r="K267" s="24" t="s">
        <v>1566</v>
      </c>
      <c r="L267" s="25">
        <v>0.45624999999999999</v>
      </c>
      <c r="M267" s="22" t="s">
        <v>1464</v>
      </c>
      <c r="N267" s="26">
        <v>388.96</v>
      </c>
      <c r="O267" s="27">
        <f t="shared" si="4"/>
        <v>4.761904762E-2</v>
      </c>
      <c r="P267" s="23">
        <v>19.448</v>
      </c>
      <c r="Q267" s="28">
        <v>5</v>
      </c>
      <c r="Y267" s="5" t="s">
        <v>1482</v>
      </c>
      <c r="Z267" s="5">
        <v>4</v>
      </c>
    </row>
    <row r="268" spans="1:26" x14ac:dyDescent="0.35">
      <c r="A268" s="21" t="s">
        <v>1790</v>
      </c>
      <c r="B268" s="22" t="s">
        <v>1466</v>
      </c>
      <c r="C268" s="22" t="s">
        <v>1467</v>
      </c>
      <c r="D268" s="22" t="s">
        <v>1461</v>
      </c>
      <c r="E268" s="22" t="s">
        <v>19</v>
      </c>
      <c r="F268" s="22" t="s">
        <v>1486</v>
      </c>
      <c r="G268" s="22">
        <v>53.21</v>
      </c>
      <c r="H268" s="22">
        <v>8</v>
      </c>
      <c r="I268" s="22">
        <v>21.283999999999999</v>
      </c>
      <c r="J268" s="23">
        <v>446.964</v>
      </c>
      <c r="K268" s="24" t="s">
        <v>1492</v>
      </c>
      <c r="L268" s="25">
        <v>0.69791666666666663</v>
      </c>
      <c r="M268" s="22" t="s">
        <v>1469</v>
      </c>
      <c r="N268" s="26">
        <v>425.68</v>
      </c>
      <c r="O268" s="27">
        <f t="shared" si="4"/>
        <v>4.761904762E-2</v>
      </c>
      <c r="P268" s="23">
        <v>21.283999999999999</v>
      </c>
      <c r="Q268" s="28">
        <v>5</v>
      </c>
      <c r="Y268" s="5" t="s">
        <v>1501</v>
      </c>
      <c r="Z268" s="5">
        <v>2</v>
      </c>
    </row>
    <row r="269" spans="1:26" x14ac:dyDescent="0.35">
      <c r="A269" s="21" t="s">
        <v>1791</v>
      </c>
      <c r="B269" s="22" t="s">
        <v>1475</v>
      </c>
      <c r="C269" s="22" t="s">
        <v>1476</v>
      </c>
      <c r="D269" s="22" t="s">
        <v>1461</v>
      </c>
      <c r="E269" s="22" t="s">
        <v>19</v>
      </c>
      <c r="F269" s="22" t="s">
        <v>1468</v>
      </c>
      <c r="G269" s="22">
        <v>45.44</v>
      </c>
      <c r="H269" s="22">
        <v>7</v>
      </c>
      <c r="I269" s="22">
        <v>15.904</v>
      </c>
      <c r="J269" s="23">
        <v>333.98399999999998</v>
      </c>
      <c r="K269" s="24" t="s">
        <v>1463</v>
      </c>
      <c r="L269" s="25">
        <v>0.46875</v>
      </c>
      <c r="M269" s="22" t="s">
        <v>1464</v>
      </c>
      <c r="N269" s="26">
        <v>318.08</v>
      </c>
      <c r="O269" s="27">
        <f t="shared" si="4"/>
        <v>4.761904762E-2</v>
      </c>
      <c r="P269" s="23">
        <v>15.904</v>
      </c>
      <c r="Q269" s="28">
        <v>9.1999999999999993</v>
      </c>
      <c r="Y269" s="5" t="s">
        <v>1462</v>
      </c>
      <c r="Z269" s="5">
        <v>4</v>
      </c>
    </row>
    <row r="270" spans="1:26" x14ac:dyDescent="0.35">
      <c r="A270" s="21" t="s">
        <v>1792</v>
      </c>
      <c r="B270" s="22" t="s">
        <v>1459</v>
      </c>
      <c r="C270" s="22" t="s">
        <v>1460</v>
      </c>
      <c r="D270" s="22" t="s">
        <v>1461</v>
      </c>
      <c r="E270" s="22" t="s">
        <v>27</v>
      </c>
      <c r="F270" s="22" t="s">
        <v>1486</v>
      </c>
      <c r="G270" s="22">
        <v>33.880000000000003</v>
      </c>
      <c r="H270" s="22">
        <v>8</v>
      </c>
      <c r="I270" s="22">
        <v>13.552</v>
      </c>
      <c r="J270" s="23">
        <v>284.59199999999998</v>
      </c>
      <c r="K270" s="24" t="s">
        <v>1528</v>
      </c>
      <c r="L270" s="25">
        <v>0.85347222222222219</v>
      </c>
      <c r="M270" s="22" t="s">
        <v>1469</v>
      </c>
      <c r="N270" s="26">
        <v>271.04000000000002</v>
      </c>
      <c r="O270" s="27">
        <f t="shared" si="4"/>
        <v>4.761904762E-2</v>
      </c>
      <c r="P270" s="23">
        <v>13.552</v>
      </c>
      <c r="Q270" s="28">
        <v>9.6</v>
      </c>
      <c r="Y270" s="5" t="s">
        <v>1473</v>
      </c>
      <c r="Z270" s="5">
        <v>1</v>
      </c>
    </row>
    <row r="271" spans="1:26" x14ac:dyDescent="0.35">
      <c r="A271" s="21" t="s">
        <v>1793</v>
      </c>
      <c r="B271" s="22" t="s">
        <v>1466</v>
      </c>
      <c r="C271" s="22" t="s">
        <v>1467</v>
      </c>
      <c r="D271" s="22" t="s">
        <v>1479</v>
      </c>
      <c r="E271" s="22" t="s">
        <v>27</v>
      </c>
      <c r="F271" s="22" t="s">
        <v>1473</v>
      </c>
      <c r="G271" s="22">
        <v>96.16</v>
      </c>
      <c r="H271" s="22">
        <v>4</v>
      </c>
      <c r="I271" s="22">
        <v>19.231999999999999</v>
      </c>
      <c r="J271" s="23">
        <v>403.87200000000001</v>
      </c>
      <c r="K271" s="24" t="s">
        <v>1537</v>
      </c>
      <c r="L271" s="25">
        <v>0.8354166666666667</v>
      </c>
      <c r="M271" s="22" t="s">
        <v>1477</v>
      </c>
      <c r="N271" s="26">
        <v>384.64</v>
      </c>
      <c r="O271" s="27">
        <f t="shared" si="4"/>
        <v>4.761904762E-2</v>
      </c>
      <c r="P271" s="23">
        <v>19.231999999999999</v>
      </c>
      <c r="Q271" s="28">
        <v>8.4</v>
      </c>
      <c r="Y271" s="5" t="s">
        <v>1468</v>
      </c>
      <c r="Z271" s="5">
        <v>10</v>
      </c>
    </row>
    <row r="272" spans="1:26" x14ac:dyDescent="0.35">
      <c r="A272" s="21" t="s">
        <v>1794</v>
      </c>
      <c r="B272" s="22" t="s">
        <v>1466</v>
      </c>
      <c r="C272" s="22" t="s">
        <v>1467</v>
      </c>
      <c r="D272" s="22" t="s">
        <v>1479</v>
      </c>
      <c r="E272" s="22" t="s">
        <v>27</v>
      </c>
      <c r="F272" s="22" t="s">
        <v>1486</v>
      </c>
      <c r="G272" s="22">
        <v>47.16</v>
      </c>
      <c r="H272" s="22">
        <v>5</v>
      </c>
      <c r="I272" s="22">
        <v>11.79</v>
      </c>
      <c r="J272" s="23">
        <v>247.59</v>
      </c>
      <c r="K272" s="24">
        <v>43526</v>
      </c>
      <c r="L272" s="25">
        <v>0.60763888888888884</v>
      </c>
      <c r="M272" s="22" t="s">
        <v>1477</v>
      </c>
      <c r="N272" s="26">
        <v>235.8</v>
      </c>
      <c r="O272" s="27">
        <f t="shared" si="4"/>
        <v>4.761904762E-2</v>
      </c>
      <c r="P272" s="23">
        <v>11.79</v>
      </c>
      <c r="Q272" s="28">
        <v>6</v>
      </c>
      <c r="Y272" s="5" t="s">
        <v>1473</v>
      </c>
      <c r="Z272" s="5">
        <v>8</v>
      </c>
    </row>
    <row r="273" spans="1:26" x14ac:dyDescent="0.35">
      <c r="A273" s="21" t="s">
        <v>1795</v>
      </c>
      <c r="B273" s="22" t="s">
        <v>1466</v>
      </c>
      <c r="C273" s="22" t="s">
        <v>1467</v>
      </c>
      <c r="D273" s="22" t="s">
        <v>1461</v>
      </c>
      <c r="E273" s="22" t="s">
        <v>27</v>
      </c>
      <c r="F273" s="22" t="s">
        <v>1462</v>
      </c>
      <c r="G273" s="22">
        <v>52.89</v>
      </c>
      <c r="H273" s="22">
        <v>4</v>
      </c>
      <c r="I273" s="22">
        <v>10.577999999999999</v>
      </c>
      <c r="J273" s="23">
        <v>222.13800000000001</v>
      </c>
      <c r="K273" s="24" t="s">
        <v>1480</v>
      </c>
      <c r="L273" s="25">
        <v>0.68888888888888888</v>
      </c>
      <c r="M273" s="22" t="s">
        <v>1469</v>
      </c>
      <c r="N273" s="26">
        <v>211.56</v>
      </c>
      <c r="O273" s="27">
        <f t="shared" si="4"/>
        <v>4.761904762E-2</v>
      </c>
      <c r="P273" s="23">
        <v>10.577999999999999</v>
      </c>
      <c r="Q273" s="28">
        <v>6.7</v>
      </c>
      <c r="Y273" s="5" t="s">
        <v>1462</v>
      </c>
      <c r="Z273" s="5">
        <v>10</v>
      </c>
    </row>
    <row r="274" spans="1:26" x14ac:dyDescent="0.35">
      <c r="A274" s="21" t="s">
        <v>1796</v>
      </c>
      <c r="B274" s="22" t="s">
        <v>1459</v>
      </c>
      <c r="C274" s="22" t="s">
        <v>1460</v>
      </c>
      <c r="D274" s="22" t="s">
        <v>1479</v>
      </c>
      <c r="E274" s="22" t="s">
        <v>19</v>
      </c>
      <c r="F274" s="22" t="s">
        <v>1482</v>
      </c>
      <c r="G274" s="22">
        <v>47.68</v>
      </c>
      <c r="H274" s="22">
        <v>2</v>
      </c>
      <c r="I274" s="22">
        <v>4.7679999999999998</v>
      </c>
      <c r="J274" s="23">
        <v>100.128</v>
      </c>
      <c r="K274" s="24" t="s">
        <v>1614</v>
      </c>
      <c r="L274" s="25">
        <v>0.4236111111111111</v>
      </c>
      <c r="M274" s="22" t="s">
        <v>1477</v>
      </c>
      <c r="N274" s="26">
        <v>95.36</v>
      </c>
      <c r="O274" s="27">
        <f t="shared" si="4"/>
        <v>4.761904762E-2</v>
      </c>
      <c r="P274" s="23">
        <v>4.7679999999999998</v>
      </c>
      <c r="Q274" s="28">
        <v>4.0999999999999996</v>
      </c>
      <c r="Y274" s="5" t="s">
        <v>1501</v>
      </c>
      <c r="Z274" s="5">
        <v>5</v>
      </c>
    </row>
    <row r="275" spans="1:26" x14ac:dyDescent="0.35">
      <c r="A275" s="21" t="s">
        <v>1797</v>
      </c>
      <c r="B275" s="22" t="s">
        <v>1475</v>
      </c>
      <c r="C275" s="22" t="s">
        <v>1476</v>
      </c>
      <c r="D275" s="22" t="s">
        <v>1479</v>
      </c>
      <c r="E275" s="22" t="s">
        <v>27</v>
      </c>
      <c r="F275" s="22" t="s">
        <v>1501</v>
      </c>
      <c r="G275" s="22">
        <v>10.17</v>
      </c>
      <c r="H275" s="22">
        <v>1</v>
      </c>
      <c r="I275" s="22">
        <v>0.50849999999999995</v>
      </c>
      <c r="J275" s="23">
        <v>10.6785</v>
      </c>
      <c r="K275" s="24">
        <v>43648</v>
      </c>
      <c r="L275" s="25">
        <v>0.59375</v>
      </c>
      <c r="M275" s="22" t="s">
        <v>1464</v>
      </c>
      <c r="N275" s="26">
        <v>10.17</v>
      </c>
      <c r="O275" s="27">
        <f t="shared" si="4"/>
        <v>4.761904762E-2</v>
      </c>
      <c r="P275" s="23">
        <v>0.50849999999999995</v>
      </c>
      <c r="Q275" s="28">
        <v>5.9</v>
      </c>
      <c r="Y275" s="5" t="s">
        <v>1462</v>
      </c>
      <c r="Z275" s="5">
        <v>1</v>
      </c>
    </row>
    <row r="276" spans="1:26" x14ac:dyDescent="0.35">
      <c r="A276" s="21" t="s">
        <v>1798</v>
      </c>
      <c r="B276" s="22" t="s">
        <v>1459</v>
      </c>
      <c r="C276" s="22" t="s">
        <v>1460</v>
      </c>
      <c r="D276" s="22" t="s">
        <v>1461</v>
      </c>
      <c r="E276" s="22" t="s">
        <v>19</v>
      </c>
      <c r="F276" s="22" t="s">
        <v>1473</v>
      </c>
      <c r="G276" s="22">
        <v>68.709999999999994</v>
      </c>
      <c r="H276" s="22">
        <v>3</v>
      </c>
      <c r="I276" s="22">
        <v>10.3065</v>
      </c>
      <c r="J276" s="23">
        <v>216.4365</v>
      </c>
      <c r="K276" s="24">
        <v>43558</v>
      </c>
      <c r="L276" s="25">
        <v>0.4201388888888889</v>
      </c>
      <c r="M276" s="22" t="s">
        <v>1464</v>
      </c>
      <c r="N276" s="26">
        <v>206.13</v>
      </c>
      <c r="O276" s="27">
        <f t="shared" si="4"/>
        <v>4.761904762E-2</v>
      </c>
      <c r="P276" s="23">
        <v>10.3065</v>
      </c>
      <c r="Q276" s="28">
        <v>8.6999999999999993</v>
      </c>
      <c r="Y276" s="5" t="s">
        <v>1462</v>
      </c>
      <c r="Z276" s="5">
        <v>8</v>
      </c>
    </row>
    <row r="277" spans="1:26" x14ac:dyDescent="0.35">
      <c r="A277" s="21" t="s">
        <v>1799</v>
      </c>
      <c r="B277" s="22" t="s">
        <v>1466</v>
      </c>
      <c r="C277" s="22" t="s">
        <v>1467</v>
      </c>
      <c r="D277" s="22" t="s">
        <v>1479</v>
      </c>
      <c r="E277" s="22" t="s">
        <v>19</v>
      </c>
      <c r="F277" s="22" t="s">
        <v>1501</v>
      </c>
      <c r="G277" s="22">
        <v>60.08</v>
      </c>
      <c r="H277" s="22">
        <v>7</v>
      </c>
      <c r="I277" s="22">
        <v>21.027999999999999</v>
      </c>
      <c r="J277" s="23">
        <v>441.58800000000002</v>
      </c>
      <c r="K277" s="24" t="s">
        <v>1800</v>
      </c>
      <c r="L277" s="25">
        <v>0.48333333333333334</v>
      </c>
      <c r="M277" s="22" t="s">
        <v>1477</v>
      </c>
      <c r="N277" s="26">
        <v>420.56</v>
      </c>
      <c r="O277" s="27">
        <f t="shared" si="4"/>
        <v>4.761904762E-2</v>
      </c>
      <c r="P277" s="23">
        <v>21.027999999999999</v>
      </c>
      <c r="Q277" s="28">
        <v>4.5</v>
      </c>
      <c r="Y277" s="5" t="s">
        <v>1486</v>
      </c>
      <c r="Z277" s="5">
        <v>8</v>
      </c>
    </row>
    <row r="278" spans="1:26" x14ac:dyDescent="0.35">
      <c r="A278" s="21" t="s">
        <v>1801</v>
      </c>
      <c r="B278" s="22" t="s">
        <v>1459</v>
      </c>
      <c r="C278" s="22" t="s">
        <v>1460</v>
      </c>
      <c r="D278" s="22" t="s">
        <v>1479</v>
      </c>
      <c r="E278" s="22" t="s">
        <v>19</v>
      </c>
      <c r="F278" s="22" t="s">
        <v>1501</v>
      </c>
      <c r="G278" s="22">
        <v>22.01</v>
      </c>
      <c r="H278" s="22">
        <v>4</v>
      </c>
      <c r="I278" s="22">
        <v>4.4020000000000001</v>
      </c>
      <c r="J278" s="23">
        <v>92.441999999999993</v>
      </c>
      <c r="K278" s="24" t="s">
        <v>1508</v>
      </c>
      <c r="L278" s="25">
        <v>0.76041666666666663</v>
      </c>
      <c r="M278" s="22" t="s">
        <v>1477</v>
      </c>
      <c r="N278" s="26">
        <v>88.04</v>
      </c>
      <c r="O278" s="27">
        <f t="shared" si="4"/>
        <v>4.761904762E-2</v>
      </c>
      <c r="P278" s="23">
        <v>4.4020000000000001</v>
      </c>
      <c r="Q278" s="28">
        <v>6.6</v>
      </c>
      <c r="Y278" s="5" t="s">
        <v>1468</v>
      </c>
      <c r="Z278" s="5">
        <v>7</v>
      </c>
    </row>
    <row r="279" spans="1:26" x14ac:dyDescent="0.35">
      <c r="A279" s="21" t="s">
        <v>1802</v>
      </c>
      <c r="B279" s="22" t="s">
        <v>1466</v>
      </c>
      <c r="C279" s="22" t="s">
        <v>1467</v>
      </c>
      <c r="D279" s="22" t="s">
        <v>1479</v>
      </c>
      <c r="E279" s="22" t="s">
        <v>19</v>
      </c>
      <c r="F279" s="22" t="s">
        <v>1473</v>
      </c>
      <c r="G279" s="22">
        <v>72.11</v>
      </c>
      <c r="H279" s="22">
        <v>9</v>
      </c>
      <c r="I279" s="22">
        <v>32.4495</v>
      </c>
      <c r="J279" s="66">
        <v>681.43949999999995</v>
      </c>
      <c r="K279" s="24" t="s">
        <v>1803</v>
      </c>
      <c r="L279" s="25">
        <v>0.57847222222222228</v>
      </c>
      <c r="M279" s="22" t="s">
        <v>1477</v>
      </c>
      <c r="N279" s="26">
        <v>648.99</v>
      </c>
      <c r="O279" s="27">
        <f t="shared" si="4"/>
        <v>4.761904762E-2</v>
      </c>
      <c r="P279" s="23">
        <v>32.4495</v>
      </c>
      <c r="Q279" s="28">
        <v>7.7</v>
      </c>
      <c r="Y279" s="5" t="s">
        <v>1486</v>
      </c>
      <c r="Z279" s="5">
        <v>8</v>
      </c>
    </row>
    <row r="280" spans="1:26" x14ac:dyDescent="0.35">
      <c r="A280" s="21" t="s">
        <v>1804</v>
      </c>
      <c r="B280" s="22" t="s">
        <v>1459</v>
      </c>
      <c r="C280" s="22" t="s">
        <v>1460</v>
      </c>
      <c r="D280" s="22" t="s">
        <v>1479</v>
      </c>
      <c r="E280" s="22" t="s">
        <v>27</v>
      </c>
      <c r="F280" s="22" t="s">
        <v>1468</v>
      </c>
      <c r="G280" s="22">
        <v>41.28</v>
      </c>
      <c r="H280" s="22">
        <v>3</v>
      </c>
      <c r="I280" s="22">
        <v>6.1920000000000002</v>
      </c>
      <c r="J280" s="23">
        <v>130.03200000000001</v>
      </c>
      <c r="K280" s="24" t="s">
        <v>1520</v>
      </c>
      <c r="L280" s="25">
        <v>0.77569444444444446</v>
      </c>
      <c r="M280" s="22" t="s">
        <v>1477</v>
      </c>
      <c r="N280" s="26">
        <v>123.84</v>
      </c>
      <c r="O280" s="27">
        <f t="shared" si="4"/>
        <v>4.761904762E-2</v>
      </c>
      <c r="P280" s="23">
        <v>6.1920000000000002</v>
      </c>
      <c r="Q280" s="28">
        <v>8.5</v>
      </c>
      <c r="Y280" s="5" t="s">
        <v>1473</v>
      </c>
      <c r="Z280" s="5">
        <v>4</v>
      </c>
    </row>
    <row r="281" spans="1:26" x14ac:dyDescent="0.35">
      <c r="A281" s="21" t="s">
        <v>1805</v>
      </c>
      <c r="B281" s="22" t="s">
        <v>1475</v>
      </c>
      <c r="C281" s="22" t="s">
        <v>1476</v>
      </c>
      <c r="D281" s="22" t="s">
        <v>1461</v>
      </c>
      <c r="E281" s="22" t="s">
        <v>27</v>
      </c>
      <c r="F281" s="22" t="s">
        <v>1462</v>
      </c>
      <c r="G281" s="22">
        <v>64.95</v>
      </c>
      <c r="H281" s="22">
        <v>10</v>
      </c>
      <c r="I281" s="22">
        <v>32.475000000000001</v>
      </c>
      <c r="J281" s="66">
        <v>681.97500000000002</v>
      </c>
      <c r="K281" s="24" t="s">
        <v>1550</v>
      </c>
      <c r="L281" s="25">
        <v>0.76875000000000004</v>
      </c>
      <c r="M281" s="22" t="s">
        <v>1464</v>
      </c>
      <c r="N281" s="26">
        <v>649.5</v>
      </c>
      <c r="O281" s="27">
        <f t="shared" si="4"/>
        <v>4.761904762E-2</v>
      </c>
      <c r="P281" s="23">
        <v>32.475000000000001</v>
      </c>
      <c r="Q281" s="28">
        <v>5.2</v>
      </c>
      <c r="Y281" s="5" t="s">
        <v>1486</v>
      </c>
      <c r="Z281" s="5">
        <v>5</v>
      </c>
    </row>
    <row r="282" spans="1:26" x14ac:dyDescent="0.35">
      <c r="A282" s="21" t="s">
        <v>1806</v>
      </c>
      <c r="B282" s="22" t="s">
        <v>1459</v>
      </c>
      <c r="C282" s="22" t="s">
        <v>1460</v>
      </c>
      <c r="D282" s="22" t="s">
        <v>1479</v>
      </c>
      <c r="E282" s="22" t="s">
        <v>19</v>
      </c>
      <c r="F282" s="22" t="s">
        <v>1462</v>
      </c>
      <c r="G282" s="22">
        <v>74.22</v>
      </c>
      <c r="H282" s="22">
        <v>10</v>
      </c>
      <c r="I282" s="22">
        <v>37.11</v>
      </c>
      <c r="J282" s="66">
        <v>779.31</v>
      </c>
      <c r="K282" s="24">
        <v>43466</v>
      </c>
      <c r="L282" s="25">
        <v>0.61250000000000004</v>
      </c>
      <c r="M282" s="22" t="s">
        <v>1477</v>
      </c>
      <c r="N282" s="26">
        <v>742.2</v>
      </c>
      <c r="O282" s="27">
        <f t="shared" si="4"/>
        <v>4.761904762E-2</v>
      </c>
      <c r="P282" s="23">
        <v>37.11</v>
      </c>
      <c r="Q282" s="28">
        <v>4.3</v>
      </c>
      <c r="Y282" s="5" t="s">
        <v>1462</v>
      </c>
      <c r="Z282" s="5">
        <v>4</v>
      </c>
    </row>
    <row r="283" spans="1:26" x14ac:dyDescent="0.35">
      <c r="A283" s="21" t="s">
        <v>1807</v>
      </c>
      <c r="B283" s="22" t="s">
        <v>1459</v>
      </c>
      <c r="C283" s="22" t="s">
        <v>1460</v>
      </c>
      <c r="D283" s="22" t="s">
        <v>1461</v>
      </c>
      <c r="E283" s="22" t="s">
        <v>27</v>
      </c>
      <c r="F283" s="22" t="s">
        <v>1462</v>
      </c>
      <c r="G283" s="22">
        <v>10.56</v>
      </c>
      <c r="H283" s="22">
        <v>8</v>
      </c>
      <c r="I283" s="22">
        <v>4.2240000000000002</v>
      </c>
      <c r="J283" s="23">
        <v>88.703999999999994</v>
      </c>
      <c r="K283" s="24" t="s">
        <v>1566</v>
      </c>
      <c r="L283" s="25">
        <v>0.73819444444444449</v>
      </c>
      <c r="M283" s="22" t="s">
        <v>1464</v>
      </c>
      <c r="N283" s="26">
        <v>84.48</v>
      </c>
      <c r="O283" s="27">
        <f t="shared" si="4"/>
        <v>4.761904762E-2</v>
      </c>
      <c r="P283" s="23">
        <v>4.2240000000000002</v>
      </c>
      <c r="Q283" s="28">
        <v>7.6</v>
      </c>
      <c r="Y283" s="5" t="s">
        <v>1482</v>
      </c>
      <c r="Z283" s="5">
        <v>2</v>
      </c>
    </row>
    <row r="284" spans="1:26" x14ac:dyDescent="0.35">
      <c r="A284" s="21" t="s">
        <v>1808</v>
      </c>
      <c r="B284" s="22" t="s">
        <v>1466</v>
      </c>
      <c r="C284" s="22" t="s">
        <v>1467</v>
      </c>
      <c r="D284" s="22" t="s">
        <v>1461</v>
      </c>
      <c r="E284" s="22" t="s">
        <v>27</v>
      </c>
      <c r="F284" s="22" t="s">
        <v>1473</v>
      </c>
      <c r="G284" s="22">
        <v>62.57</v>
      </c>
      <c r="H284" s="22">
        <v>4</v>
      </c>
      <c r="I284" s="22">
        <v>12.513999999999999</v>
      </c>
      <c r="J284" s="23">
        <v>262.79399999999998</v>
      </c>
      <c r="K284" s="24" t="s">
        <v>1506</v>
      </c>
      <c r="L284" s="25">
        <v>0.77569444444444446</v>
      </c>
      <c r="M284" s="22" t="s">
        <v>1464</v>
      </c>
      <c r="N284" s="26">
        <v>250.28</v>
      </c>
      <c r="O284" s="27">
        <f t="shared" si="4"/>
        <v>4.761904762E-2</v>
      </c>
      <c r="P284" s="23">
        <v>12.513999999999999</v>
      </c>
      <c r="Q284" s="28">
        <v>9.5</v>
      </c>
      <c r="Y284" s="5" t="s">
        <v>1501</v>
      </c>
      <c r="Z284" s="5">
        <v>1</v>
      </c>
    </row>
    <row r="285" spans="1:26" x14ac:dyDescent="0.35">
      <c r="A285" s="21" t="s">
        <v>1809</v>
      </c>
      <c r="B285" s="22" t="s">
        <v>1466</v>
      </c>
      <c r="C285" s="22" t="s">
        <v>1467</v>
      </c>
      <c r="D285" s="22" t="s">
        <v>1479</v>
      </c>
      <c r="E285" s="22" t="s">
        <v>19</v>
      </c>
      <c r="F285" s="22" t="s">
        <v>1501</v>
      </c>
      <c r="G285" s="22">
        <v>11.85</v>
      </c>
      <c r="H285" s="22">
        <v>8</v>
      </c>
      <c r="I285" s="22">
        <v>4.74</v>
      </c>
      <c r="J285" s="23">
        <v>99.54</v>
      </c>
      <c r="K285" s="24">
        <v>43709</v>
      </c>
      <c r="L285" s="25">
        <v>0.69027777777777777</v>
      </c>
      <c r="M285" s="22" t="s">
        <v>1464</v>
      </c>
      <c r="N285" s="26">
        <v>94.8</v>
      </c>
      <c r="O285" s="27">
        <f t="shared" si="4"/>
        <v>4.761904762E-2</v>
      </c>
      <c r="P285" s="23">
        <v>4.74</v>
      </c>
      <c r="Q285" s="28">
        <v>4.0999999999999996</v>
      </c>
      <c r="Y285" s="5" t="s">
        <v>1473</v>
      </c>
      <c r="Z285" s="5">
        <v>3</v>
      </c>
    </row>
    <row r="286" spans="1:26" x14ac:dyDescent="0.35">
      <c r="A286" s="21" t="s">
        <v>1810</v>
      </c>
      <c r="B286" s="22" t="s">
        <v>1459</v>
      </c>
      <c r="C286" s="22" t="s">
        <v>1460</v>
      </c>
      <c r="D286" s="22" t="s">
        <v>1479</v>
      </c>
      <c r="E286" s="22" t="s">
        <v>27</v>
      </c>
      <c r="F286" s="22" t="s">
        <v>1473</v>
      </c>
      <c r="G286" s="22">
        <v>91.3</v>
      </c>
      <c r="H286" s="22">
        <v>1</v>
      </c>
      <c r="I286" s="22">
        <v>4.5650000000000004</v>
      </c>
      <c r="J286" s="23">
        <v>95.864999999999995</v>
      </c>
      <c r="K286" s="24" t="s">
        <v>1800</v>
      </c>
      <c r="L286" s="25">
        <v>0.61250000000000004</v>
      </c>
      <c r="M286" s="22" t="s">
        <v>1469</v>
      </c>
      <c r="N286" s="26">
        <v>91.3</v>
      </c>
      <c r="O286" s="27">
        <f t="shared" si="4"/>
        <v>4.761904762E-2</v>
      </c>
      <c r="P286" s="23">
        <v>4.5650000000000004</v>
      </c>
      <c r="Q286" s="28">
        <v>9.1999999999999993</v>
      </c>
      <c r="Y286" s="5" t="s">
        <v>1501</v>
      </c>
      <c r="Z286" s="5">
        <v>7</v>
      </c>
    </row>
    <row r="287" spans="1:26" x14ac:dyDescent="0.35">
      <c r="A287" s="21" t="s">
        <v>1811</v>
      </c>
      <c r="B287" s="22" t="s">
        <v>1466</v>
      </c>
      <c r="C287" s="22" t="s">
        <v>1467</v>
      </c>
      <c r="D287" s="22" t="s">
        <v>1479</v>
      </c>
      <c r="E287" s="22" t="s">
        <v>19</v>
      </c>
      <c r="F287" s="22" t="s">
        <v>1482</v>
      </c>
      <c r="G287" s="22">
        <v>40.729999999999997</v>
      </c>
      <c r="H287" s="22">
        <v>7</v>
      </c>
      <c r="I287" s="22">
        <v>14.2555</v>
      </c>
      <c r="J287" s="23">
        <v>299.3655</v>
      </c>
      <c r="K287" s="24">
        <v>43802</v>
      </c>
      <c r="L287" s="25">
        <v>0.45902777777777776</v>
      </c>
      <c r="M287" s="22" t="s">
        <v>1469</v>
      </c>
      <c r="N287" s="26">
        <v>285.11</v>
      </c>
      <c r="O287" s="27">
        <f t="shared" si="4"/>
        <v>4.761904762E-2</v>
      </c>
      <c r="P287" s="23">
        <v>14.2555</v>
      </c>
      <c r="Q287" s="28">
        <v>5.4</v>
      </c>
      <c r="Y287" s="5" t="s">
        <v>1501</v>
      </c>
      <c r="Z287" s="5">
        <v>4</v>
      </c>
    </row>
    <row r="288" spans="1:26" x14ac:dyDescent="0.35">
      <c r="A288" s="21" t="s">
        <v>1812</v>
      </c>
      <c r="B288" s="22" t="s">
        <v>1459</v>
      </c>
      <c r="C288" s="22" t="s">
        <v>1460</v>
      </c>
      <c r="D288" s="22" t="s">
        <v>1461</v>
      </c>
      <c r="E288" s="22" t="s">
        <v>27</v>
      </c>
      <c r="F288" s="22" t="s">
        <v>1468</v>
      </c>
      <c r="G288" s="22">
        <v>52.38</v>
      </c>
      <c r="H288" s="22">
        <v>1</v>
      </c>
      <c r="I288" s="22">
        <v>2.6190000000000002</v>
      </c>
      <c r="J288" s="23">
        <v>54.999000000000002</v>
      </c>
      <c r="K288" s="24" t="s">
        <v>1520</v>
      </c>
      <c r="L288" s="25">
        <v>0.82222222222222219</v>
      </c>
      <c r="M288" s="22" t="s">
        <v>1464</v>
      </c>
      <c r="N288" s="26">
        <v>52.38</v>
      </c>
      <c r="O288" s="27">
        <f t="shared" si="4"/>
        <v>4.761904762E-2</v>
      </c>
      <c r="P288" s="23">
        <v>2.6190000000000002</v>
      </c>
      <c r="Q288" s="28">
        <v>5.8</v>
      </c>
      <c r="Y288" s="5" t="s">
        <v>1473</v>
      </c>
      <c r="Z288" s="5">
        <v>9</v>
      </c>
    </row>
    <row r="289" spans="1:26" x14ac:dyDescent="0.35">
      <c r="A289" s="21" t="s">
        <v>1813</v>
      </c>
      <c r="B289" s="22" t="s">
        <v>1459</v>
      </c>
      <c r="C289" s="22" t="s">
        <v>1460</v>
      </c>
      <c r="D289" s="22" t="s">
        <v>1479</v>
      </c>
      <c r="E289" s="22" t="s">
        <v>27</v>
      </c>
      <c r="F289" s="22" t="s">
        <v>1468</v>
      </c>
      <c r="G289" s="22">
        <v>38.54</v>
      </c>
      <c r="H289" s="22">
        <v>5</v>
      </c>
      <c r="I289" s="22">
        <v>9.6349999999999998</v>
      </c>
      <c r="J289" s="23">
        <v>202.33500000000001</v>
      </c>
      <c r="K289" s="24">
        <v>43709</v>
      </c>
      <c r="L289" s="25">
        <v>0.56527777777777777</v>
      </c>
      <c r="M289" s="22" t="s">
        <v>1469</v>
      </c>
      <c r="N289" s="26">
        <v>192.7</v>
      </c>
      <c r="O289" s="27">
        <f t="shared" si="4"/>
        <v>4.761904762E-2</v>
      </c>
      <c r="P289" s="23">
        <v>9.6349999999999998</v>
      </c>
      <c r="Q289" s="28">
        <v>5.6</v>
      </c>
      <c r="Y289" s="5" t="s">
        <v>1468</v>
      </c>
      <c r="Z289" s="5">
        <v>3</v>
      </c>
    </row>
    <row r="290" spans="1:26" x14ac:dyDescent="0.35">
      <c r="A290" s="21" t="s">
        <v>1814</v>
      </c>
      <c r="B290" s="22" t="s">
        <v>1466</v>
      </c>
      <c r="C290" s="22" t="s">
        <v>1467</v>
      </c>
      <c r="D290" s="22" t="s">
        <v>1461</v>
      </c>
      <c r="E290" s="22" t="s">
        <v>27</v>
      </c>
      <c r="F290" s="22" t="s">
        <v>1501</v>
      </c>
      <c r="G290" s="22">
        <v>44.63</v>
      </c>
      <c r="H290" s="22">
        <v>6</v>
      </c>
      <c r="I290" s="22">
        <v>13.388999999999999</v>
      </c>
      <c r="J290" s="23">
        <v>281.16899999999998</v>
      </c>
      <c r="K290" s="24">
        <v>43497</v>
      </c>
      <c r="L290" s="25">
        <v>0.83888888888888891</v>
      </c>
      <c r="M290" s="22" t="s">
        <v>1477</v>
      </c>
      <c r="N290" s="26">
        <v>267.77999999999997</v>
      </c>
      <c r="O290" s="27">
        <f t="shared" si="4"/>
        <v>4.761904762E-2</v>
      </c>
      <c r="P290" s="23">
        <v>13.388999999999999</v>
      </c>
      <c r="Q290" s="28">
        <v>5.0999999999999996</v>
      </c>
      <c r="Y290" s="5" t="s">
        <v>1462</v>
      </c>
      <c r="Z290" s="5">
        <v>10</v>
      </c>
    </row>
    <row r="291" spans="1:26" x14ac:dyDescent="0.35">
      <c r="A291" s="21" t="s">
        <v>1815</v>
      </c>
      <c r="B291" s="22" t="s">
        <v>1475</v>
      </c>
      <c r="C291" s="22" t="s">
        <v>1476</v>
      </c>
      <c r="D291" s="22" t="s">
        <v>1461</v>
      </c>
      <c r="E291" s="22" t="s">
        <v>27</v>
      </c>
      <c r="F291" s="22" t="s">
        <v>1462</v>
      </c>
      <c r="G291" s="22">
        <v>55.87</v>
      </c>
      <c r="H291" s="22">
        <v>10</v>
      </c>
      <c r="I291" s="22">
        <v>27.934999999999999</v>
      </c>
      <c r="J291" s="66">
        <v>586.63499999999999</v>
      </c>
      <c r="K291" s="24" t="s">
        <v>1589</v>
      </c>
      <c r="L291" s="25">
        <v>0.62569444444444444</v>
      </c>
      <c r="M291" s="22" t="s">
        <v>1464</v>
      </c>
      <c r="N291" s="26">
        <v>558.70000000000005</v>
      </c>
      <c r="O291" s="27">
        <f t="shared" si="4"/>
        <v>4.761904762E-2</v>
      </c>
      <c r="P291" s="23">
        <v>27.934999999999999</v>
      </c>
      <c r="Q291" s="28">
        <v>5.8</v>
      </c>
      <c r="Y291" s="5" t="s">
        <v>1462</v>
      </c>
      <c r="Z291" s="5">
        <v>10</v>
      </c>
    </row>
    <row r="292" spans="1:26" x14ac:dyDescent="0.35">
      <c r="A292" s="21" t="s">
        <v>1816</v>
      </c>
      <c r="B292" s="22" t="s">
        <v>1475</v>
      </c>
      <c r="C292" s="22" t="s">
        <v>1476</v>
      </c>
      <c r="D292" s="22" t="s">
        <v>1479</v>
      </c>
      <c r="E292" s="22" t="s">
        <v>19</v>
      </c>
      <c r="F292" s="22" t="s">
        <v>1501</v>
      </c>
      <c r="G292" s="22">
        <v>29.22</v>
      </c>
      <c r="H292" s="22">
        <v>6</v>
      </c>
      <c r="I292" s="22">
        <v>8.766</v>
      </c>
      <c r="J292" s="23">
        <v>184.08600000000001</v>
      </c>
      <c r="K292" s="24">
        <v>43466</v>
      </c>
      <c r="L292" s="25">
        <v>0.4861111111111111</v>
      </c>
      <c r="M292" s="22" t="s">
        <v>1469</v>
      </c>
      <c r="N292" s="26">
        <v>175.32</v>
      </c>
      <c r="O292" s="27">
        <f t="shared" si="4"/>
        <v>4.761904762E-2</v>
      </c>
      <c r="P292" s="23">
        <v>8.766</v>
      </c>
      <c r="Q292" s="28">
        <v>5</v>
      </c>
      <c r="Y292" s="5" t="s">
        <v>1462</v>
      </c>
      <c r="Z292" s="5">
        <v>8</v>
      </c>
    </row>
    <row r="293" spans="1:26" x14ac:dyDescent="0.35">
      <c r="A293" s="21" t="s">
        <v>1817</v>
      </c>
      <c r="B293" s="22" t="s">
        <v>1459</v>
      </c>
      <c r="C293" s="22" t="s">
        <v>1460</v>
      </c>
      <c r="D293" s="22" t="s">
        <v>1461</v>
      </c>
      <c r="E293" s="22" t="s">
        <v>27</v>
      </c>
      <c r="F293" s="22" t="s">
        <v>1468</v>
      </c>
      <c r="G293" s="22">
        <v>51.94</v>
      </c>
      <c r="H293" s="22">
        <v>3</v>
      </c>
      <c r="I293" s="22">
        <v>7.7910000000000004</v>
      </c>
      <c r="J293" s="23">
        <v>163.61099999999999</v>
      </c>
      <c r="K293" s="24" t="s">
        <v>1544</v>
      </c>
      <c r="L293" s="25">
        <v>0.63958333333333328</v>
      </c>
      <c r="M293" s="22" t="s">
        <v>1464</v>
      </c>
      <c r="N293" s="26">
        <v>155.82</v>
      </c>
      <c r="O293" s="27">
        <f t="shared" si="4"/>
        <v>4.761904762E-2</v>
      </c>
      <c r="P293" s="23">
        <v>7.7910000000000004</v>
      </c>
      <c r="Q293" s="28">
        <v>7.9</v>
      </c>
      <c r="Y293" s="5" t="s">
        <v>1473</v>
      </c>
      <c r="Z293" s="5">
        <v>4</v>
      </c>
    </row>
    <row r="294" spans="1:26" x14ac:dyDescent="0.35">
      <c r="A294" s="21" t="s">
        <v>1818</v>
      </c>
      <c r="B294" s="22" t="s">
        <v>1466</v>
      </c>
      <c r="C294" s="22" t="s">
        <v>1467</v>
      </c>
      <c r="D294" s="22" t="s">
        <v>1461</v>
      </c>
      <c r="E294" s="22" t="s">
        <v>27</v>
      </c>
      <c r="F294" s="22" t="s">
        <v>1462</v>
      </c>
      <c r="G294" s="22">
        <v>60.3</v>
      </c>
      <c r="H294" s="22">
        <v>1</v>
      </c>
      <c r="I294" s="22">
        <v>3.0150000000000001</v>
      </c>
      <c r="J294" s="23">
        <v>63.314999999999998</v>
      </c>
      <c r="K294" s="24" t="s">
        <v>1683</v>
      </c>
      <c r="L294" s="25">
        <v>0.73472222222222228</v>
      </c>
      <c r="M294" s="22" t="s">
        <v>1464</v>
      </c>
      <c r="N294" s="26">
        <v>60.3</v>
      </c>
      <c r="O294" s="27">
        <f t="shared" si="4"/>
        <v>4.761904762E-2</v>
      </c>
      <c r="P294" s="23">
        <v>3.0150000000000001</v>
      </c>
      <c r="Q294" s="28">
        <v>6</v>
      </c>
      <c r="Y294" s="5" t="s">
        <v>1501</v>
      </c>
      <c r="Z294" s="5">
        <v>8</v>
      </c>
    </row>
    <row r="295" spans="1:26" x14ac:dyDescent="0.35">
      <c r="A295" s="21" t="s">
        <v>1819</v>
      </c>
      <c r="B295" s="22" t="s">
        <v>1459</v>
      </c>
      <c r="C295" s="22" t="s">
        <v>1460</v>
      </c>
      <c r="D295" s="22" t="s">
        <v>1479</v>
      </c>
      <c r="E295" s="22" t="s">
        <v>19</v>
      </c>
      <c r="F295" s="22" t="s">
        <v>1501</v>
      </c>
      <c r="G295" s="22">
        <v>39.47</v>
      </c>
      <c r="H295" s="22">
        <v>2</v>
      </c>
      <c r="I295" s="22">
        <v>3.9470000000000001</v>
      </c>
      <c r="J295" s="23">
        <v>82.887</v>
      </c>
      <c r="K295" s="24">
        <v>43499</v>
      </c>
      <c r="L295" s="25">
        <v>0.67777777777777781</v>
      </c>
      <c r="M295" s="22" t="s">
        <v>1477</v>
      </c>
      <c r="N295" s="26">
        <v>78.94</v>
      </c>
      <c r="O295" s="27">
        <f t="shared" si="4"/>
        <v>4.761904762E-2</v>
      </c>
      <c r="P295" s="23">
        <v>3.9470000000000001</v>
      </c>
      <c r="Q295" s="28">
        <v>5</v>
      </c>
      <c r="Y295" s="5" t="s">
        <v>1473</v>
      </c>
      <c r="Z295" s="5">
        <v>1</v>
      </c>
    </row>
    <row r="296" spans="1:26" x14ac:dyDescent="0.35">
      <c r="A296" s="21" t="s">
        <v>1820</v>
      </c>
      <c r="B296" s="22" t="s">
        <v>1475</v>
      </c>
      <c r="C296" s="22" t="s">
        <v>1476</v>
      </c>
      <c r="D296" s="22" t="s">
        <v>1479</v>
      </c>
      <c r="E296" s="22" t="s">
        <v>19</v>
      </c>
      <c r="F296" s="22" t="s">
        <v>1486</v>
      </c>
      <c r="G296" s="22">
        <v>14.87</v>
      </c>
      <c r="H296" s="22">
        <v>2</v>
      </c>
      <c r="I296" s="22">
        <v>1.4870000000000001</v>
      </c>
      <c r="J296" s="23">
        <v>31.227</v>
      </c>
      <c r="K296" s="24" t="s">
        <v>1525</v>
      </c>
      <c r="L296" s="25">
        <v>0.76041666666666663</v>
      </c>
      <c r="M296" s="22" t="s">
        <v>1477</v>
      </c>
      <c r="N296" s="26">
        <v>29.74</v>
      </c>
      <c r="O296" s="27">
        <f t="shared" si="4"/>
        <v>4.761904762E-2</v>
      </c>
      <c r="P296" s="23">
        <v>1.4870000000000001</v>
      </c>
      <c r="Q296" s="28">
        <v>8.9</v>
      </c>
      <c r="Y296" s="5" t="s">
        <v>1482</v>
      </c>
      <c r="Z296" s="5">
        <v>7</v>
      </c>
    </row>
    <row r="297" spans="1:26" x14ac:dyDescent="0.35">
      <c r="A297" s="21" t="s">
        <v>1821</v>
      </c>
      <c r="B297" s="22" t="s">
        <v>1459</v>
      </c>
      <c r="C297" s="22" t="s">
        <v>1460</v>
      </c>
      <c r="D297" s="22" t="s">
        <v>1461</v>
      </c>
      <c r="E297" s="22" t="s">
        <v>27</v>
      </c>
      <c r="F297" s="22" t="s">
        <v>1468</v>
      </c>
      <c r="G297" s="22">
        <v>21.32</v>
      </c>
      <c r="H297" s="22">
        <v>1</v>
      </c>
      <c r="I297" s="22">
        <v>1.0660000000000001</v>
      </c>
      <c r="J297" s="23">
        <v>22.385999999999999</v>
      </c>
      <c r="K297" s="24" t="s">
        <v>1548</v>
      </c>
      <c r="L297" s="25">
        <v>0.52986111111111112</v>
      </c>
      <c r="M297" s="22" t="s">
        <v>1464</v>
      </c>
      <c r="N297" s="26">
        <v>21.32</v>
      </c>
      <c r="O297" s="27">
        <f t="shared" si="4"/>
        <v>4.761904762E-2</v>
      </c>
      <c r="P297" s="23">
        <v>1.0660000000000001</v>
      </c>
      <c r="Q297" s="28">
        <v>5.9</v>
      </c>
      <c r="Y297" s="5" t="s">
        <v>1468</v>
      </c>
      <c r="Z297" s="5">
        <v>1</v>
      </c>
    </row>
    <row r="298" spans="1:26" x14ac:dyDescent="0.35">
      <c r="A298" s="21" t="s">
        <v>1822</v>
      </c>
      <c r="B298" s="22" t="s">
        <v>1459</v>
      </c>
      <c r="C298" s="22" t="s">
        <v>1460</v>
      </c>
      <c r="D298" s="22" t="s">
        <v>1479</v>
      </c>
      <c r="E298" s="22" t="s">
        <v>27</v>
      </c>
      <c r="F298" s="22" t="s">
        <v>1462</v>
      </c>
      <c r="G298" s="22">
        <v>93.78</v>
      </c>
      <c r="H298" s="22">
        <v>3</v>
      </c>
      <c r="I298" s="22">
        <v>14.067</v>
      </c>
      <c r="J298" s="23">
        <v>295.40699999999998</v>
      </c>
      <c r="K298" s="24" t="s">
        <v>1487</v>
      </c>
      <c r="L298" s="25">
        <v>0.48055555555555557</v>
      </c>
      <c r="M298" s="22" t="s">
        <v>1477</v>
      </c>
      <c r="N298" s="26">
        <v>281.33999999999997</v>
      </c>
      <c r="O298" s="27">
        <f t="shared" si="4"/>
        <v>4.761904762E-2</v>
      </c>
      <c r="P298" s="23">
        <v>14.067</v>
      </c>
      <c r="Q298" s="28">
        <v>5.9</v>
      </c>
      <c r="Y298" s="5" t="s">
        <v>1468</v>
      </c>
      <c r="Z298" s="5">
        <v>5</v>
      </c>
    </row>
    <row r="299" spans="1:26" x14ac:dyDescent="0.35">
      <c r="A299" s="21" t="s">
        <v>1823</v>
      </c>
      <c r="B299" s="22" t="s">
        <v>1459</v>
      </c>
      <c r="C299" s="22" t="s">
        <v>1460</v>
      </c>
      <c r="D299" s="22" t="s">
        <v>1479</v>
      </c>
      <c r="E299" s="22" t="s">
        <v>27</v>
      </c>
      <c r="F299" s="22" t="s">
        <v>1462</v>
      </c>
      <c r="G299" s="22">
        <v>73.260000000000005</v>
      </c>
      <c r="H299" s="22">
        <v>1</v>
      </c>
      <c r="I299" s="22">
        <v>3.6629999999999998</v>
      </c>
      <c r="J299" s="23">
        <v>76.923000000000002</v>
      </c>
      <c r="K299" s="24" t="s">
        <v>1537</v>
      </c>
      <c r="L299" s="25">
        <v>0.75555555555555554</v>
      </c>
      <c r="M299" s="22" t="s">
        <v>1469</v>
      </c>
      <c r="N299" s="26">
        <v>73.260000000000005</v>
      </c>
      <c r="O299" s="27">
        <f t="shared" si="4"/>
        <v>4.761904762E-2</v>
      </c>
      <c r="P299" s="23">
        <v>3.6629999999999998</v>
      </c>
      <c r="Q299" s="28">
        <v>9.6999999999999993</v>
      </c>
      <c r="Y299" s="5" t="s">
        <v>1501</v>
      </c>
      <c r="Z299" s="5">
        <v>6</v>
      </c>
    </row>
    <row r="300" spans="1:26" x14ac:dyDescent="0.35">
      <c r="A300" s="21" t="s">
        <v>1824</v>
      </c>
      <c r="B300" s="22" t="s">
        <v>1475</v>
      </c>
      <c r="C300" s="22" t="s">
        <v>1476</v>
      </c>
      <c r="D300" s="22" t="s">
        <v>1461</v>
      </c>
      <c r="E300" s="22" t="s">
        <v>19</v>
      </c>
      <c r="F300" s="22" t="s">
        <v>1501</v>
      </c>
      <c r="G300" s="22">
        <v>22.38</v>
      </c>
      <c r="H300" s="22">
        <v>1</v>
      </c>
      <c r="I300" s="22">
        <v>1.119</v>
      </c>
      <c r="J300" s="23">
        <v>23.498999999999999</v>
      </c>
      <c r="K300" s="24" t="s">
        <v>1487</v>
      </c>
      <c r="L300" s="25">
        <v>0.71388888888888891</v>
      </c>
      <c r="M300" s="22" t="s">
        <v>1477</v>
      </c>
      <c r="N300" s="26">
        <v>22.38</v>
      </c>
      <c r="O300" s="27">
        <f t="shared" si="4"/>
        <v>4.761904762E-2</v>
      </c>
      <c r="P300" s="23">
        <v>1.119</v>
      </c>
      <c r="Q300" s="28">
        <v>8.6</v>
      </c>
      <c r="Y300" s="5" t="s">
        <v>1462</v>
      </c>
      <c r="Z300" s="5">
        <v>10</v>
      </c>
    </row>
    <row r="301" spans="1:26" x14ac:dyDescent="0.35">
      <c r="A301" s="21" t="s">
        <v>1825</v>
      </c>
      <c r="B301" s="22" t="s">
        <v>1475</v>
      </c>
      <c r="C301" s="22" t="s">
        <v>1476</v>
      </c>
      <c r="D301" s="22" t="s">
        <v>1479</v>
      </c>
      <c r="E301" s="22" t="s">
        <v>19</v>
      </c>
      <c r="F301" s="22" t="s">
        <v>1486</v>
      </c>
      <c r="G301" s="22">
        <v>72.88</v>
      </c>
      <c r="H301" s="22">
        <v>9</v>
      </c>
      <c r="I301" s="22">
        <v>32.795999999999999</v>
      </c>
      <c r="J301" s="66">
        <v>688.71600000000001</v>
      </c>
      <c r="K301" s="24">
        <v>43678</v>
      </c>
      <c r="L301" s="25">
        <v>0.81805555555555554</v>
      </c>
      <c r="M301" s="22" t="s">
        <v>1464</v>
      </c>
      <c r="N301" s="26">
        <v>655.92</v>
      </c>
      <c r="O301" s="27">
        <f t="shared" si="4"/>
        <v>4.761904762E-2</v>
      </c>
      <c r="P301" s="23">
        <v>32.795999999999999</v>
      </c>
      <c r="Q301" s="28">
        <v>4</v>
      </c>
      <c r="Y301" s="5" t="s">
        <v>1501</v>
      </c>
      <c r="Z301" s="5">
        <v>6</v>
      </c>
    </row>
    <row r="302" spans="1:26" x14ac:dyDescent="0.35">
      <c r="A302" s="21" t="s">
        <v>1826</v>
      </c>
      <c r="B302" s="22" t="s">
        <v>1459</v>
      </c>
      <c r="C302" s="22" t="s">
        <v>1460</v>
      </c>
      <c r="D302" s="22" t="s">
        <v>1461</v>
      </c>
      <c r="E302" s="22" t="s">
        <v>19</v>
      </c>
      <c r="F302" s="22" t="s">
        <v>1468</v>
      </c>
      <c r="G302" s="22">
        <v>99.1</v>
      </c>
      <c r="H302" s="22">
        <v>6</v>
      </c>
      <c r="I302" s="22">
        <v>29.73</v>
      </c>
      <c r="J302" s="66">
        <v>624.33000000000004</v>
      </c>
      <c r="K302" s="24" t="s">
        <v>1528</v>
      </c>
      <c r="L302" s="25">
        <v>0.5493055555555556</v>
      </c>
      <c r="M302" s="22" t="s">
        <v>1464</v>
      </c>
      <c r="N302" s="26">
        <v>594.6</v>
      </c>
      <c r="O302" s="27">
        <f t="shared" si="4"/>
        <v>4.761904762E-2</v>
      </c>
      <c r="P302" s="23">
        <v>29.73</v>
      </c>
      <c r="Q302" s="28">
        <v>4.2</v>
      </c>
      <c r="Y302" s="5" t="s">
        <v>1468</v>
      </c>
      <c r="Z302" s="5">
        <v>3</v>
      </c>
    </row>
    <row r="303" spans="1:26" x14ac:dyDescent="0.35">
      <c r="A303" s="21" t="s">
        <v>1827</v>
      </c>
      <c r="B303" s="22" t="s">
        <v>1459</v>
      </c>
      <c r="C303" s="22" t="s">
        <v>1460</v>
      </c>
      <c r="D303" s="22" t="s">
        <v>1461</v>
      </c>
      <c r="E303" s="22" t="s">
        <v>27</v>
      </c>
      <c r="F303" s="22" t="s">
        <v>1468</v>
      </c>
      <c r="G303" s="22">
        <v>74.099999999999994</v>
      </c>
      <c r="H303" s="22">
        <v>1</v>
      </c>
      <c r="I303" s="22">
        <v>3.7050000000000001</v>
      </c>
      <c r="J303" s="23">
        <v>77.805000000000007</v>
      </c>
      <c r="K303" s="24" t="s">
        <v>1584</v>
      </c>
      <c r="L303" s="25">
        <v>0.46180555555555558</v>
      </c>
      <c r="M303" s="22" t="s">
        <v>1464</v>
      </c>
      <c r="N303" s="26">
        <v>74.099999999999994</v>
      </c>
      <c r="O303" s="27">
        <f t="shared" si="4"/>
        <v>4.761904762E-2</v>
      </c>
      <c r="P303" s="23">
        <v>3.7050000000000001</v>
      </c>
      <c r="Q303" s="28">
        <v>9.1999999999999993</v>
      </c>
      <c r="Y303" s="5" t="s">
        <v>1462</v>
      </c>
      <c r="Z303" s="5">
        <v>1</v>
      </c>
    </row>
    <row r="304" spans="1:26" x14ac:dyDescent="0.35">
      <c r="A304" s="21" t="s">
        <v>1828</v>
      </c>
      <c r="B304" s="22" t="s">
        <v>1459</v>
      </c>
      <c r="C304" s="22" t="s">
        <v>1460</v>
      </c>
      <c r="D304" s="22" t="s">
        <v>1461</v>
      </c>
      <c r="E304" s="22" t="s">
        <v>19</v>
      </c>
      <c r="F304" s="22" t="s">
        <v>1468</v>
      </c>
      <c r="G304" s="22">
        <v>98.48</v>
      </c>
      <c r="H304" s="22">
        <v>2</v>
      </c>
      <c r="I304" s="22">
        <v>9.8480000000000008</v>
      </c>
      <c r="J304" s="23">
        <v>206.80799999999999</v>
      </c>
      <c r="K304" s="24" t="s">
        <v>1645</v>
      </c>
      <c r="L304" s="25">
        <v>0.42499999999999999</v>
      </c>
      <c r="M304" s="22" t="s">
        <v>1469</v>
      </c>
      <c r="N304" s="26">
        <v>196.96</v>
      </c>
      <c r="O304" s="27">
        <f t="shared" si="4"/>
        <v>4.761904762E-2</v>
      </c>
      <c r="P304" s="23">
        <v>9.8480000000000008</v>
      </c>
      <c r="Q304" s="28">
        <v>9.1999999999999993</v>
      </c>
      <c r="Y304" s="5" t="s">
        <v>1501</v>
      </c>
      <c r="Z304" s="5">
        <v>2</v>
      </c>
    </row>
    <row r="305" spans="1:26" x14ac:dyDescent="0.35">
      <c r="A305" s="21" t="s">
        <v>1829</v>
      </c>
      <c r="B305" s="22" t="s">
        <v>1475</v>
      </c>
      <c r="C305" s="22" t="s">
        <v>1476</v>
      </c>
      <c r="D305" s="22" t="s">
        <v>1461</v>
      </c>
      <c r="E305" s="22" t="s">
        <v>27</v>
      </c>
      <c r="F305" s="22" t="s">
        <v>1473</v>
      </c>
      <c r="G305" s="22">
        <v>53.19</v>
      </c>
      <c r="H305" s="22">
        <v>7</v>
      </c>
      <c r="I305" s="22">
        <v>18.616499999999998</v>
      </c>
      <c r="J305" s="23">
        <v>390.94650000000001</v>
      </c>
      <c r="K305" s="24" t="s">
        <v>1518</v>
      </c>
      <c r="L305" s="25">
        <v>0.65416666666666667</v>
      </c>
      <c r="M305" s="22" t="s">
        <v>1469</v>
      </c>
      <c r="N305" s="26">
        <v>372.33</v>
      </c>
      <c r="O305" s="27">
        <f t="shared" si="4"/>
        <v>4.761904762E-2</v>
      </c>
      <c r="P305" s="23">
        <v>18.616499999999998</v>
      </c>
      <c r="Q305" s="28">
        <v>5</v>
      </c>
      <c r="Y305" s="5" t="s">
        <v>1486</v>
      </c>
      <c r="Z305" s="5">
        <v>2</v>
      </c>
    </row>
    <row r="306" spans="1:26" x14ac:dyDescent="0.35">
      <c r="A306" s="21" t="s">
        <v>1830</v>
      </c>
      <c r="B306" s="22" t="s">
        <v>1466</v>
      </c>
      <c r="C306" s="22" t="s">
        <v>1467</v>
      </c>
      <c r="D306" s="22" t="s">
        <v>1461</v>
      </c>
      <c r="E306" s="22" t="s">
        <v>19</v>
      </c>
      <c r="F306" s="22" t="s">
        <v>1462</v>
      </c>
      <c r="G306" s="22">
        <v>52.79</v>
      </c>
      <c r="H306" s="22">
        <v>10</v>
      </c>
      <c r="I306" s="22">
        <v>26.395</v>
      </c>
      <c r="J306" s="66">
        <v>554.29499999999996</v>
      </c>
      <c r="K306" s="24" t="s">
        <v>1506</v>
      </c>
      <c r="L306" s="25">
        <v>0.49861111111111112</v>
      </c>
      <c r="M306" s="22" t="s">
        <v>1469</v>
      </c>
      <c r="N306" s="26">
        <v>527.9</v>
      </c>
      <c r="O306" s="27">
        <f t="shared" si="4"/>
        <v>4.761904762E-2</v>
      </c>
      <c r="P306" s="23">
        <v>26.395</v>
      </c>
      <c r="Q306" s="28">
        <v>10</v>
      </c>
      <c r="Y306" s="5" t="s">
        <v>1468</v>
      </c>
      <c r="Z306" s="5">
        <v>1</v>
      </c>
    </row>
    <row r="307" spans="1:26" x14ac:dyDescent="0.35">
      <c r="A307" s="21" t="s">
        <v>1831</v>
      </c>
      <c r="B307" s="22" t="s">
        <v>1459</v>
      </c>
      <c r="C307" s="22" t="s">
        <v>1460</v>
      </c>
      <c r="D307" s="22" t="s">
        <v>1479</v>
      </c>
      <c r="E307" s="22" t="s">
        <v>19</v>
      </c>
      <c r="F307" s="22" t="s">
        <v>1473</v>
      </c>
      <c r="G307" s="22">
        <v>95.95</v>
      </c>
      <c r="H307" s="22">
        <v>5</v>
      </c>
      <c r="I307" s="22">
        <v>23.987500000000001</v>
      </c>
      <c r="J307" s="66">
        <v>503.73750000000001</v>
      </c>
      <c r="K307" s="24" t="s">
        <v>1463</v>
      </c>
      <c r="L307" s="25">
        <v>0.59791666666666665</v>
      </c>
      <c r="M307" s="22" t="s">
        <v>1469</v>
      </c>
      <c r="N307" s="26">
        <v>479.75</v>
      </c>
      <c r="O307" s="27">
        <f t="shared" si="4"/>
        <v>4.761904762E-2</v>
      </c>
      <c r="P307" s="23">
        <v>23.987500000000001</v>
      </c>
      <c r="Q307" s="28">
        <v>8.8000000000000007</v>
      </c>
      <c r="Y307" s="5" t="s">
        <v>1462</v>
      </c>
      <c r="Z307" s="5">
        <v>3</v>
      </c>
    </row>
    <row r="308" spans="1:26" x14ac:dyDescent="0.35">
      <c r="A308" s="21" t="s">
        <v>1832</v>
      </c>
      <c r="B308" s="22" t="s">
        <v>1466</v>
      </c>
      <c r="C308" s="22" t="s">
        <v>1467</v>
      </c>
      <c r="D308" s="22" t="s">
        <v>1461</v>
      </c>
      <c r="E308" s="22" t="s">
        <v>19</v>
      </c>
      <c r="F308" s="22" t="s">
        <v>1468</v>
      </c>
      <c r="G308" s="22">
        <v>36.51</v>
      </c>
      <c r="H308" s="22">
        <v>9</v>
      </c>
      <c r="I308" s="22">
        <v>16.429500000000001</v>
      </c>
      <c r="J308" s="23">
        <v>345.01949999999999</v>
      </c>
      <c r="K308" s="24" t="s">
        <v>1579</v>
      </c>
      <c r="L308" s="25">
        <v>0.45277777777777778</v>
      </c>
      <c r="M308" s="22" t="s">
        <v>1464</v>
      </c>
      <c r="N308" s="26">
        <v>328.59</v>
      </c>
      <c r="O308" s="27">
        <f t="shared" si="4"/>
        <v>4.761904762E-2</v>
      </c>
      <c r="P308" s="23">
        <v>16.429500000000001</v>
      </c>
      <c r="Q308" s="28">
        <v>4.2</v>
      </c>
      <c r="Y308" s="5" t="s">
        <v>1462</v>
      </c>
      <c r="Z308" s="5">
        <v>1</v>
      </c>
    </row>
    <row r="309" spans="1:26" x14ac:dyDescent="0.35">
      <c r="A309" s="21" t="s">
        <v>1833</v>
      </c>
      <c r="B309" s="22" t="s">
        <v>1466</v>
      </c>
      <c r="C309" s="22" t="s">
        <v>1467</v>
      </c>
      <c r="D309" s="22" t="s">
        <v>1461</v>
      </c>
      <c r="E309" s="22" t="s">
        <v>27</v>
      </c>
      <c r="F309" s="22" t="s">
        <v>1486</v>
      </c>
      <c r="G309" s="22">
        <v>21.12</v>
      </c>
      <c r="H309" s="22">
        <v>8</v>
      </c>
      <c r="I309" s="22">
        <v>8.4480000000000004</v>
      </c>
      <c r="J309" s="23">
        <v>177.40799999999999</v>
      </c>
      <c r="K309" s="24">
        <v>43466</v>
      </c>
      <c r="L309" s="25">
        <v>0.81319444444444444</v>
      </c>
      <c r="M309" s="22" t="s">
        <v>1464</v>
      </c>
      <c r="N309" s="26">
        <v>168.96</v>
      </c>
      <c r="O309" s="27">
        <f t="shared" si="4"/>
        <v>4.761904762E-2</v>
      </c>
      <c r="P309" s="23">
        <v>8.4480000000000004</v>
      </c>
      <c r="Q309" s="28">
        <v>6.3</v>
      </c>
      <c r="Y309" s="5" t="s">
        <v>1501</v>
      </c>
      <c r="Z309" s="5">
        <v>1</v>
      </c>
    </row>
    <row r="310" spans="1:26" x14ac:dyDescent="0.35">
      <c r="A310" s="21" t="s">
        <v>1834</v>
      </c>
      <c r="B310" s="22" t="s">
        <v>1459</v>
      </c>
      <c r="C310" s="22" t="s">
        <v>1460</v>
      </c>
      <c r="D310" s="22" t="s">
        <v>1479</v>
      </c>
      <c r="E310" s="22" t="s">
        <v>19</v>
      </c>
      <c r="F310" s="22" t="s">
        <v>1482</v>
      </c>
      <c r="G310" s="22">
        <v>28.31</v>
      </c>
      <c r="H310" s="22">
        <v>4</v>
      </c>
      <c r="I310" s="22">
        <v>5.6619999999999999</v>
      </c>
      <c r="J310" s="23">
        <v>118.902</v>
      </c>
      <c r="K310" s="24">
        <v>43649</v>
      </c>
      <c r="L310" s="25">
        <v>0.77430555555555558</v>
      </c>
      <c r="M310" s="22" t="s">
        <v>1464</v>
      </c>
      <c r="N310" s="26">
        <v>113.24</v>
      </c>
      <c r="O310" s="27">
        <f t="shared" si="4"/>
        <v>4.761904762E-2</v>
      </c>
      <c r="P310" s="23">
        <v>5.6619999999999999</v>
      </c>
      <c r="Q310" s="28">
        <v>8.1999999999999993</v>
      </c>
      <c r="Y310" s="5" t="s">
        <v>1486</v>
      </c>
      <c r="Z310" s="5">
        <v>9</v>
      </c>
    </row>
    <row r="311" spans="1:26" x14ac:dyDescent="0.35">
      <c r="A311" s="21" t="s">
        <v>1835</v>
      </c>
      <c r="B311" s="22" t="s">
        <v>1466</v>
      </c>
      <c r="C311" s="22" t="s">
        <v>1467</v>
      </c>
      <c r="D311" s="22" t="s">
        <v>1461</v>
      </c>
      <c r="E311" s="22" t="s">
        <v>27</v>
      </c>
      <c r="F311" s="22" t="s">
        <v>1473</v>
      </c>
      <c r="G311" s="22">
        <v>57.59</v>
      </c>
      <c r="H311" s="22">
        <v>6</v>
      </c>
      <c r="I311" s="22">
        <v>17.277000000000001</v>
      </c>
      <c r="J311" s="23">
        <v>362.81700000000001</v>
      </c>
      <c r="K311" s="24" t="s">
        <v>1544</v>
      </c>
      <c r="L311" s="25">
        <v>0.57708333333333328</v>
      </c>
      <c r="M311" s="22" t="s">
        <v>1464</v>
      </c>
      <c r="N311" s="26">
        <v>345.54</v>
      </c>
      <c r="O311" s="27">
        <f t="shared" si="4"/>
        <v>4.761904762E-2</v>
      </c>
      <c r="P311" s="23">
        <v>17.277000000000001</v>
      </c>
      <c r="Q311" s="28">
        <v>5.0999999999999996</v>
      </c>
      <c r="Y311" s="5" t="s">
        <v>1468</v>
      </c>
      <c r="Z311" s="5">
        <v>6</v>
      </c>
    </row>
    <row r="312" spans="1:26" x14ac:dyDescent="0.35">
      <c r="A312" s="21" t="s">
        <v>1836</v>
      </c>
      <c r="B312" s="22" t="s">
        <v>1459</v>
      </c>
      <c r="C312" s="22" t="s">
        <v>1460</v>
      </c>
      <c r="D312" s="22" t="s">
        <v>1479</v>
      </c>
      <c r="E312" s="22" t="s">
        <v>19</v>
      </c>
      <c r="F312" s="22" t="s">
        <v>1486</v>
      </c>
      <c r="G312" s="22">
        <v>47.63</v>
      </c>
      <c r="H312" s="22">
        <v>9</v>
      </c>
      <c r="I312" s="22">
        <v>21.433499999999999</v>
      </c>
      <c r="J312" s="23">
        <v>450.1035</v>
      </c>
      <c r="K312" s="24" t="s">
        <v>1463</v>
      </c>
      <c r="L312" s="25">
        <v>0.52430555555555558</v>
      </c>
      <c r="M312" s="22" t="s">
        <v>1464</v>
      </c>
      <c r="N312" s="26">
        <v>428.67</v>
      </c>
      <c r="O312" s="27">
        <f t="shared" si="4"/>
        <v>4.761904762E-2</v>
      </c>
      <c r="P312" s="23">
        <v>21.433499999999999</v>
      </c>
      <c r="Q312" s="28">
        <v>5</v>
      </c>
      <c r="Y312" s="5" t="s">
        <v>1468</v>
      </c>
      <c r="Z312" s="5">
        <v>1</v>
      </c>
    </row>
    <row r="313" spans="1:26" x14ac:dyDescent="0.35">
      <c r="A313" s="21" t="s">
        <v>1837</v>
      </c>
      <c r="B313" s="22" t="s">
        <v>1475</v>
      </c>
      <c r="C313" s="22" t="s">
        <v>1476</v>
      </c>
      <c r="D313" s="22" t="s">
        <v>1479</v>
      </c>
      <c r="E313" s="22" t="s">
        <v>19</v>
      </c>
      <c r="F313" s="22" t="s">
        <v>1482</v>
      </c>
      <c r="G313" s="22">
        <v>86.27</v>
      </c>
      <c r="H313" s="22">
        <v>1</v>
      </c>
      <c r="I313" s="22">
        <v>4.3135000000000003</v>
      </c>
      <c r="J313" s="23">
        <v>90.583500000000001</v>
      </c>
      <c r="K313" s="24" t="s">
        <v>1516</v>
      </c>
      <c r="L313" s="25">
        <v>0.55833333333333335</v>
      </c>
      <c r="M313" s="22" t="s">
        <v>1469</v>
      </c>
      <c r="N313" s="26">
        <v>86.27</v>
      </c>
      <c r="O313" s="27">
        <f t="shared" si="4"/>
        <v>4.761904762E-2</v>
      </c>
      <c r="P313" s="23">
        <v>4.3135000000000003</v>
      </c>
      <c r="Q313" s="28">
        <v>7</v>
      </c>
      <c r="Y313" s="5" t="s">
        <v>1468</v>
      </c>
      <c r="Z313" s="5">
        <v>2</v>
      </c>
    </row>
    <row r="314" spans="1:26" x14ac:dyDescent="0.35">
      <c r="A314" s="21" t="s">
        <v>1838</v>
      </c>
      <c r="B314" s="22" t="s">
        <v>1459</v>
      </c>
      <c r="C314" s="22" t="s">
        <v>1460</v>
      </c>
      <c r="D314" s="22" t="s">
        <v>1479</v>
      </c>
      <c r="E314" s="22" t="s">
        <v>27</v>
      </c>
      <c r="F314" s="22" t="s">
        <v>1501</v>
      </c>
      <c r="G314" s="22">
        <v>12.76</v>
      </c>
      <c r="H314" s="22">
        <v>2</v>
      </c>
      <c r="I314" s="22">
        <v>1.276</v>
      </c>
      <c r="J314" s="23">
        <v>26.795999999999999</v>
      </c>
      <c r="K314" s="24">
        <v>43678</v>
      </c>
      <c r="L314" s="25">
        <v>0.75416666666666665</v>
      </c>
      <c r="M314" s="22" t="s">
        <v>1469</v>
      </c>
      <c r="N314" s="26">
        <v>25.52</v>
      </c>
      <c r="O314" s="27">
        <f t="shared" si="4"/>
        <v>4.761904762E-2</v>
      </c>
      <c r="P314" s="23">
        <v>1.276</v>
      </c>
      <c r="Q314" s="28">
        <v>7.8</v>
      </c>
      <c r="Y314" s="5" t="s">
        <v>1473</v>
      </c>
      <c r="Z314" s="5">
        <v>7</v>
      </c>
    </row>
    <row r="315" spans="1:26" x14ac:dyDescent="0.35">
      <c r="A315" s="21" t="s">
        <v>1839</v>
      </c>
      <c r="B315" s="22" t="s">
        <v>1466</v>
      </c>
      <c r="C315" s="22" t="s">
        <v>1467</v>
      </c>
      <c r="D315" s="22" t="s">
        <v>1461</v>
      </c>
      <c r="E315" s="22" t="s">
        <v>19</v>
      </c>
      <c r="F315" s="22" t="s">
        <v>1482</v>
      </c>
      <c r="G315" s="22">
        <v>11.28</v>
      </c>
      <c r="H315" s="22">
        <v>9</v>
      </c>
      <c r="I315" s="22">
        <v>5.0759999999999996</v>
      </c>
      <c r="J315" s="23">
        <v>106.596</v>
      </c>
      <c r="K315" s="24" t="s">
        <v>1555</v>
      </c>
      <c r="L315" s="25">
        <v>0.49652777777777779</v>
      </c>
      <c r="M315" s="22" t="s">
        <v>1477</v>
      </c>
      <c r="N315" s="26">
        <v>101.52</v>
      </c>
      <c r="O315" s="27">
        <f t="shared" si="4"/>
        <v>4.761904762E-2</v>
      </c>
      <c r="P315" s="23">
        <v>5.0759999999999996</v>
      </c>
      <c r="Q315" s="28">
        <v>4.3</v>
      </c>
      <c r="Y315" s="5" t="s">
        <v>1462</v>
      </c>
      <c r="Z315" s="5">
        <v>10</v>
      </c>
    </row>
    <row r="316" spans="1:26" x14ac:dyDescent="0.35">
      <c r="A316" s="21" t="s">
        <v>1840</v>
      </c>
      <c r="B316" s="22" t="s">
        <v>1466</v>
      </c>
      <c r="C316" s="22" t="s">
        <v>1467</v>
      </c>
      <c r="D316" s="22" t="s">
        <v>1461</v>
      </c>
      <c r="E316" s="22" t="s">
        <v>19</v>
      </c>
      <c r="F316" s="22" t="s">
        <v>1482</v>
      </c>
      <c r="G316" s="22">
        <v>51.07</v>
      </c>
      <c r="H316" s="22">
        <v>7</v>
      </c>
      <c r="I316" s="22">
        <v>17.874500000000001</v>
      </c>
      <c r="J316" s="23">
        <v>375.36450000000002</v>
      </c>
      <c r="K316" s="24">
        <v>43800</v>
      </c>
      <c r="L316" s="25">
        <v>0.48749999999999999</v>
      </c>
      <c r="M316" s="22" t="s">
        <v>1464</v>
      </c>
      <c r="N316" s="26">
        <v>357.49</v>
      </c>
      <c r="O316" s="27">
        <f t="shared" si="4"/>
        <v>4.761904762E-2</v>
      </c>
      <c r="P316" s="23">
        <v>17.874500000000001</v>
      </c>
      <c r="Q316" s="28">
        <v>7</v>
      </c>
      <c r="Y316" s="5" t="s">
        <v>1473</v>
      </c>
      <c r="Z316" s="5">
        <v>5</v>
      </c>
    </row>
    <row r="317" spans="1:26" x14ac:dyDescent="0.35">
      <c r="A317" s="21" t="s">
        <v>1841</v>
      </c>
      <c r="B317" s="22" t="s">
        <v>1459</v>
      </c>
      <c r="C317" s="22" t="s">
        <v>1460</v>
      </c>
      <c r="D317" s="22" t="s">
        <v>1479</v>
      </c>
      <c r="E317" s="22" t="s">
        <v>19</v>
      </c>
      <c r="F317" s="22" t="s">
        <v>1462</v>
      </c>
      <c r="G317" s="22">
        <v>79.59</v>
      </c>
      <c r="H317" s="22">
        <v>3</v>
      </c>
      <c r="I317" s="22">
        <v>11.938499999999999</v>
      </c>
      <c r="J317" s="23">
        <v>250.70849999999999</v>
      </c>
      <c r="K317" s="24">
        <v>43678</v>
      </c>
      <c r="L317" s="25">
        <v>0.60416666666666663</v>
      </c>
      <c r="M317" s="22" t="s">
        <v>1464</v>
      </c>
      <c r="N317" s="26">
        <v>238.77</v>
      </c>
      <c r="O317" s="27">
        <f t="shared" si="4"/>
        <v>4.761904762E-2</v>
      </c>
      <c r="P317" s="23">
        <v>11.938499999999999</v>
      </c>
      <c r="Q317" s="28">
        <v>6.6</v>
      </c>
      <c r="Y317" s="5" t="s">
        <v>1468</v>
      </c>
      <c r="Z317" s="5">
        <v>9</v>
      </c>
    </row>
    <row r="318" spans="1:26" x14ac:dyDescent="0.35">
      <c r="A318" s="21" t="s">
        <v>1842</v>
      </c>
      <c r="B318" s="22" t="s">
        <v>1475</v>
      </c>
      <c r="C318" s="22" t="s">
        <v>1476</v>
      </c>
      <c r="D318" s="22" t="s">
        <v>1479</v>
      </c>
      <c r="E318" s="22" t="s">
        <v>27</v>
      </c>
      <c r="F318" s="22" t="s">
        <v>1473</v>
      </c>
      <c r="G318" s="22">
        <v>33.81</v>
      </c>
      <c r="H318" s="22">
        <v>3</v>
      </c>
      <c r="I318" s="22">
        <v>5.0715000000000003</v>
      </c>
      <c r="J318" s="23">
        <v>106.50149999999999</v>
      </c>
      <c r="K318" s="24" t="s">
        <v>1548</v>
      </c>
      <c r="L318" s="25">
        <v>0.63263888888888886</v>
      </c>
      <c r="M318" s="22" t="s">
        <v>1469</v>
      </c>
      <c r="N318" s="26">
        <v>101.43</v>
      </c>
      <c r="O318" s="27">
        <f t="shared" si="4"/>
        <v>4.761904762E-2</v>
      </c>
      <c r="P318" s="23">
        <v>5.0715000000000003</v>
      </c>
      <c r="Q318" s="28">
        <v>7.3</v>
      </c>
      <c r="Y318" s="5" t="s">
        <v>1486</v>
      </c>
      <c r="Z318" s="5">
        <v>8</v>
      </c>
    </row>
    <row r="319" spans="1:26" x14ac:dyDescent="0.35">
      <c r="A319" s="21" t="s">
        <v>1843</v>
      </c>
      <c r="B319" s="22" t="s">
        <v>1466</v>
      </c>
      <c r="C319" s="22" t="s">
        <v>1467</v>
      </c>
      <c r="D319" s="22" t="s">
        <v>1479</v>
      </c>
      <c r="E319" s="22" t="s">
        <v>27</v>
      </c>
      <c r="F319" s="22" t="s">
        <v>1501</v>
      </c>
      <c r="G319" s="22">
        <v>90.53</v>
      </c>
      <c r="H319" s="22">
        <v>8</v>
      </c>
      <c r="I319" s="22">
        <v>36.212000000000003</v>
      </c>
      <c r="J319" s="66">
        <v>760.452</v>
      </c>
      <c r="K319" s="24" t="s">
        <v>1541</v>
      </c>
      <c r="L319" s="25">
        <v>0.6166666666666667</v>
      </c>
      <c r="M319" s="22" t="s">
        <v>1477</v>
      </c>
      <c r="N319" s="26">
        <v>724.24</v>
      </c>
      <c r="O319" s="27">
        <f t="shared" si="4"/>
        <v>4.761904762E-2</v>
      </c>
      <c r="P319" s="23">
        <v>36.212000000000003</v>
      </c>
      <c r="Q319" s="28">
        <v>6.5</v>
      </c>
      <c r="Y319" s="5" t="s">
        <v>1482</v>
      </c>
      <c r="Z319" s="5">
        <v>4</v>
      </c>
    </row>
    <row r="320" spans="1:26" x14ac:dyDescent="0.35">
      <c r="A320" s="21" t="s">
        <v>1844</v>
      </c>
      <c r="B320" s="22" t="s">
        <v>1475</v>
      </c>
      <c r="C320" s="22" t="s">
        <v>1476</v>
      </c>
      <c r="D320" s="22" t="s">
        <v>1479</v>
      </c>
      <c r="E320" s="22" t="s">
        <v>19</v>
      </c>
      <c r="F320" s="22" t="s">
        <v>1473</v>
      </c>
      <c r="G320" s="22">
        <v>62.82</v>
      </c>
      <c r="H320" s="22">
        <v>2</v>
      </c>
      <c r="I320" s="22">
        <v>6.282</v>
      </c>
      <c r="J320" s="23">
        <v>131.922</v>
      </c>
      <c r="K320" s="24" t="s">
        <v>1499</v>
      </c>
      <c r="L320" s="25">
        <v>0.52500000000000002</v>
      </c>
      <c r="M320" s="22" t="s">
        <v>1469</v>
      </c>
      <c r="N320" s="26">
        <v>125.64</v>
      </c>
      <c r="O320" s="27">
        <f t="shared" si="4"/>
        <v>4.761904762E-2</v>
      </c>
      <c r="P320" s="23">
        <v>6.282</v>
      </c>
      <c r="Q320" s="28">
        <v>4.9000000000000004</v>
      </c>
      <c r="Y320" s="5" t="s">
        <v>1473</v>
      </c>
      <c r="Z320" s="5">
        <v>6</v>
      </c>
    </row>
    <row r="321" spans="1:26" x14ac:dyDescent="0.35">
      <c r="A321" s="21" t="s">
        <v>1845</v>
      </c>
      <c r="B321" s="22" t="s">
        <v>1475</v>
      </c>
      <c r="C321" s="22" t="s">
        <v>1476</v>
      </c>
      <c r="D321" s="22" t="s">
        <v>1479</v>
      </c>
      <c r="E321" s="22" t="s">
        <v>27</v>
      </c>
      <c r="F321" s="22" t="s">
        <v>1486</v>
      </c>
      <c r="G321" s="22">
        <v>24.31</v>
      </c>
      <c r="H321" s="22">
        <v>3</v>
      </c>
      <c r="I321" s="22">
        <v>3.6465000000000001</v>
      </c>
      <c r="J321" s="23">
        <v>76.576499999999996</v>
      </c>
      <c r="K321" s="24">
        <v>43678</v>
      </c>
      <c r="L321" s="25">
        <v>0.79791666666666672</v>
      </c>
      <c r="M321" s="22" t="s">
        <v>1477</v>
      </c>
      <c r="N321" s="26">
        <v>72.930000000000007</v>
      </c>
      <c r="O321" s="27">
        <f t="shared" si="4"/>
        <v>4.761904762E-2</v>
      </c>
      <c r="P321" s="23">
        <v>3.6465000000000001</v>
      </c>
      <c r="Q321" s="28">
        <v>4.3</v>
      </c>
      <c r="Y321" s="5" t="s">
        <v>1486</v>
      </c>
      <c r="Z321" s="5">
        <v>9</v>
      </c>
    </row>
    <row r="322" spans="1:26" x14ac:dyDescent="0.35">
      <c r="A322" s="21" t="s">
        <v>1846</v>
      </c>
      <c r="B322" s="22" t="s">
        <v>1459</v>
      </c>
      <c r="C322" s="22" t="s">
        <v>1460</v>
      </c>
      <c r="D322" s="22" t="s">
        <v>1461</v>
      </c>
      <c r="E322" s="22" t="s">
        <v>27</v>
      </c>
      <c r="F322" s="22" t="s">
        <v>1501</v>
      </c>
      <c r="G322" s="22">
        <v>64.59</v>
      </c>
      <c r="H322" s="22">
        <v>4</v>
      </c>
      <c r="I322" s="22">
        <v>12.917999999999999</v>
      </c>
      <c r="J322" s="23">
        <v>271.27800000000002</v>
      </c>
      <c r="K322" s="24">
        <v>43617</v>
      </c>
      <c r="L322" s="25">
        <v>0.56597222222222221</v>
      </c>
      <c r="M322" s="22" t="s">
        <v>1469</v>
      </c>
      <c r="N322" s="26">
        <v>258.36</v>
      </c>
      <c r="O322" s="27">
        <f t="shared" ref="O322:O385" si="5">4.761904762/100</f>
        <v>4.761904762E-2</v>
      </c>
      <c r="P322" s="23">
        <v>12.917999999999999</v>
      </c>
      <c r="Q322" s="28">
        <v>9.3000000000000007</v>
      </c>
      <c r="Y322" s="5" t="s">
        <v>1482</v>
      </c>
      <c r="Z322" s="5">
        <v>1</v>
      </c>
    </row>
    <row r="323" spans="1:26" x14ac:dyDescent="0.35">
      <c r="A323" s="21" t="s">
        <v>1847</v>
      </c>
      <c r="B323" s="22" t="s">
        <v>1459</v>
      </c>
      <c r="C323" s="22" t="s">
        <v>1460</v>
      </c>
      <c r="D323" s="22" t="s">
        <v>1479</v>
      </c>
      <c r="E323" s="22" t="s">
        <v>27</v>
      </c>
      <c r="F323" s="22" t="s">
        <v>1486</v>
      </c>
      <c r="G323" s="22">
        <v>24.82</v>
      </c>
      <c r="H323" s="22">
        <v>7</v>
      </c>
      <c r="I323" s="22">
        <v>8.6869999999999994</v>
      </c>
      <c r="J323" s="23">
        <v>182.42699999999999</v>
      </c>
      <c r="K323" s="24" t="s">
        <v>1579</v>
      </c>
      <c r="L323" s="25">
        <v>0.43958333333333333</v>
      </c>
      <c r="M323" s="22" t="s">
        <v>1477</v>
      </c>
      <c r="N323" s="26">
        <v>173.74</v>
      </c>
      <c r="O323" s="27">
        <f t="shared" si="5"/>
        <v>4.761904762E-2</v>
      </c>
      <c r="P323" s="23">
        <v>8.6869999999999994</v>
      </c>
      <c r="Q323" s="28">
        <v>7.1</v>
      </c>
      <c r="Y323" s="5" t="s">
        <v>1501</v>
      </c>
      <c r="Z323" s="5">
        <v>2</v>
      </c>
    </row>
    <row r="324" spans="1:26" x14ac:dyDescent="0.35">
      <c r="A324" s="21" t="s">
        <v>1848</v>
      </c>
      <c r="B324" s="22" t="s">
        <v>1475</v>
      </c>
      <c r="C324" s="22" t="s">
        <v>1476</v>
      </c>
      <c r="D324" s="22" t="s">
        <v>1461</v>
      </c>
      <c r="E324" s="22" t="s">
        <v>27</v>
      </c>
      <c r="F324" s="22" t="s">
        <v>1468</v>
      </c>
      <c r="G324" s="22">
        <v>56.5</v>
      </c>
      <c r="H324" s="22">
        <v>1</v>
      </c>
      <c r="I324" s="22">
        <v>2.8250000000000002</v>
      </c>
      <c r="J324" s="23">
        <v>59.325000000000003</v>
      </c>
      <c r="K324" s="24" t="s">
        <v>1658</v>
      </c>
      <c r="L324" s="25">
        <v>0.65625</v>
      </c>
      <c r="M324" s="22" t="s">
        <v>1469</v>
      </c>
      <c r="N324" s="26">
        <v>56.5</v>
      </c>
      <c r="O324" s="27">
        <f t="shared" si="5"/>
        <v>4.761904762E-2</v>
      </c>
      <c r="P324" s="23">
        <v>2.8250000000000002</v>
      </c>
      <c r="Q324" s="28">
        <v>9.6</v>
      </c>
      <c r="Y324" s="5" t="s">
        <v>1482</v>
      </c>
      <c r="Z324" s="5">
        <v>9</v>
      </c>
    </row>
    <row r="325" spans="1:26" x14ac:dyDescent="0.35">
      <c r="A325" s="21" t="s">
        <v>1849</v>
      </c>
      <c r="B325" s="22" t="s">
        <v>1466</v>
      </c>
      <c r="C325" s="22" t="s">
        <v>1467</v>
      </c>
      <c r="D325" s="22" t="s">
        <v>1479</v>
      </c>
      <c r="E325" s="22" t="s">
        <v>19</v>
      </c>
      <c r="F325" s="22" t="s">
        <v>1462</v>
      </c>
      <c r="G325" s="22">
        <v>21.43</v>
      </c>
      <c r="H325" s="22">
        <v>10</v>
      </c>
      <c r="I325" s="22">
        <v>10.715</v>
      </c>
      <c r="J325" s="23">
        <v>225.01499999999999</v>
      </c>
      <c r="K325" s="24" t="s">
        <v>1803</v>
      </c>
      <c r="L325" s="25">
        <v>0.49375000000000002</v>
      </c>
      <c r="M325" s="22" t="s">
        <v>1464</v>
      </c>
      <c r="N325" s="26">
        <v>214.3</v>
      </c>
      <c r="O325" s="27">
        <f t="shared" si="5"/>
        <v>4.761904762E-2</v>
      </c>
      <c r="P325" s="23">
        <v>10.715</v>
      </c>
      <c r="Q325" s="28">
        <v>6.2</v>
      </c>
      <c r="Y325" s="5" t="s">
        <v>1482</v>
      </c>
      <c r="Z325" s="5">
        <v>7</v>
      </c>
    </row>
    <row r="326" spans="1:26" x14ac:dyDescent="0.35">
      <c r="A326" s="21" t="s">
        <v>1850</v>
      </c>
      <c r="B326" s="22" t="s">
        <v>1459</v>
      </c>
      <c r="C326" s="22" t="s">
        <v>1460</v>
      </c>
      <c r="D326" s="22" t="s">
        <v>1479</v>
      </c>
      <c r="E326" s="22" t="s">
        <v>27</v>
      </c>
      <c r="F326" s="22" t="s">
        <v>1501</v>
      </c>
      <c r="G326" s="22">
        <v>89.06</v>
      </c>
      <c r="H326" s="22">
        <v>6</v>
      </c>
      <c r="I326" s="22">
        <v>26.718</v>
      </c>
      <c r="J326" s="66">
        <v>561.07799999999997</v>
      </c>
      <c r="K326" s="24" t="s">
        <v>1608</v>
      </c>
      <c r="L326" s="25">
        <v>0.72638888888888886</v>
      </c>
      <c r="M326" s="22" t="s">
        <v>1464</v>
      </c>
      <c r="N326" s="26">
        <v>534.36</v>
      </c>
      <c r="O326" s="27">
        <f t="shared" si="5"/>
        <v>4.761904762E-2</v>
      </c>
      <c r="P326" s="23">
        <v>26.718</v>
      </c>
      <c r="Q326" s="28">
        <v>9.9</v>
      </c>
      <c r="Y326" s="5" t="s">
        <v>1462</v>
      </c>
      <c r="Z326" s="5">
        <v>3</v>
      </c>
    </row>
    <row r="327" spans="1:26" x14ac:dyDescent="0.35">
      <c r="A327" s="21" t="s">
        <v>1851</v>
      </c>
      <c r="B327" s="22" t="s">
        <v>1459</v>
      </c>
      <c r="C327" s="22" t="s">
        <v>1460</v>
      </c>
      <c r="D327" s="22" t="s">
        <v>1479</v>
      </c>
      <c r="E327" s="22" t="s">
        <v>27</v>
      </c>
      <c r="F327" s="22" t="s">
        <v>1482</v>
      </c>
      <c r="G327" s="22">
        <v>23.29</v>
      </c>
      <c r="H327" s="22">
        <v>4</v>
      </c>
      <c r="I327" s="22">
        <v>4.6580000000000004</v>
      </c>
      <c r="J327" s="23">
        <v>97.817999999999998</v>
      </c>
      <c r="K327" s="24" t="s">
        <v>1596</v>
      </c>
      <c r="L327" s="25">
        <v>0.49444444444444446</v>
      </c>
      <c r="M327" s="22" t="s">
        <v>1477</v>
      </c>
      <c r="N327" s="26">
        <v>93.16</v>
      </c>
      <c r="O327" s="27">
        <f t="shared" si="5"/>
        <v>4.761904762E-2</v>
      </c>
      <c r="P327" s="23">
        <v>4.6580000000000004</v>
      </c>
      <c r="Q327" s="28">
        <v>5.9</v>
      </c>
      <c r="Y327" s="5" t="s">
        <v>1473</v>
      </c>
      <c r="Z327" s="5">
        <v>3</v>
      </c>
    </row>
    <row r="328" spans="1:26" x14ac:dyDescent="0.35">
      <c r="A328" s="21" t="s">
        <v>1852</v>
      </c>
      <c r="B328" s="22" t="s">
        <v>1475</v>
      </c>
      <c r="C328" s="22" t="s">
        <v>1476</v>
      </c>
      <c r="D328" s="22" t="s">
        <v>1461</v>
      </c>
      <c r="E328" s="22" t="s">
        <v>27</v>
      </c>
      <c r="F328" s="22" t="s">
        <v>1482</v>
      </c>
      <c r="G328" s="22">
        <v>65.260000000000005</v>
      </c>
      <c r="H328" s="22">
        <v>8</v>
      </c>
      <c r="I328" s="22">
        <v>26.103999999999999</v>
      </c>
      <c r="J328" s="66">
        <v>548.18399999999997</v>
      </c>
      <c r="K328" s="24" t="s">
        <v>1541</v>
      </c>
      <c r="L328" s="25">
        <v>0.58611111111111114</v>
      </c>
      <c r="M328" s="22" t="s">
        <v>1469</v>
      </c>
      <c r="N328" s="26">
        <v>522.08000000000004</v>
      </c>
      <c r="O328" s="27">
        <f t="shared" si="5"/>
        <v>4.761904762E-2</v>
      </c>
      <c r="P328" s="23">
        <v>26.103999999999999</v>
      </c>
      <c r="Q328" s="28">
        <v>6.3</v>
      </c>
      <c r="Y328" s="5" t="s">
        <v>1501</v>
      </c>
      <c r="Z328" s="5">
        <v>8</v>
      </c>
    </row>
    <row r="329" spans="1:26" x14ac:dyDescent="0.35">
      <c r="A329" s="21" t="s">
        <v>1853</v>
      </c>
      <c r="B329" s="22" t="s">
        <v>1475</v>
      </c>
      <c r="C329" s="22" t="s">
        <v>1476</v>
      </c>
      <c r="D329" s="22" t="s">
        <v>1479</v>
      </c>
      <c r="E329" s="22" t="s">
        <v>27</v>
      </c>
      <c r="F329" s="22" t="s">
        <v>1468</v>
      </c>
      <c r="G329" s="22">
        <v>52.35</v>
      </c>
      <c r="H329" s="22">
        <v>1</v>
      </c>
      <c r="I329" s="22">
        <v>2.6175000000000002</v>
      </c>
      <c r="J329" s="23">
        <v>54.967500000000001</v>
      </c>
      <c r="K329" s="24">
        <v>43801</v>
      </c>
      <c r="L329" s="25">
        <v>0.74236111111111114</v>
      </c>
      <c r="M329" s="22" t="s">
        <v>1464</v>
      </c>
      <c r="N329" s="26">
        <v>52.35</v>
      </c>
      <c r="O329" s="27">
        <f t="shared" si="5"/>
        <v>4.761904762E-2</v>
      </c>
      <c r="P329" s="23">
        <v>2.6175000000000002</v>
      </c>
      <c r="Q329" s="28">
        <v>4</v>
      </c>
      <c r="Y329" s="5" t="s">
        <v>1473</v>
      </c>
      <c r="Z329" s="5">
        <v>2</v>
      </c>
    </row>
    <row r="330" spans="1:26" x14ac:dyDescent="0.35">
      <c r="A330" s="21" t="s">
        <v>1854</v>
      </c>
      <c r="B330" s="22" t="s">
        <v>1466</v>
      </c>
      <c r="C330" s="22" t="s">
        <v>1467</v>
      </c>
      <c r="D330" s="22" t="s">
        <v>1479</v>
      </c>
      <c r="E330" s="22" t="s">
        <v>27</v>
      </c>
      <c r="F330" s="22" t="s">
        <v>1462</v>
      </c>
      <c r="G330" s="22">
        <v>39.75</v>
      </c>
      <c r="H330" s="22">
        <v>1</v>
      </c>
      <c r="I330" s="22">
        <v>1.9875</v>
      </c>
      <c r="J330" s="23">
        <v>41.737499999999997</v>
      </c>
      <c r="K330" s="24" t="s">
        <v>1506</v>
      </c>
      <c r="L330" s="25">
        <v>0.84652777777777777</v>
      </c>
      <c r="M330" s="22" t="s">
        <v>1464</v>
      </c>
      <c r="N330" s="26">
        <v>39.75</v>
      </c>
      <c r="O330" s="27">
        <f t="shared" si="5"/>
        <v>4.761904762E-2</v>
      </c>
      <c r="P330" s="23">
        <v>1.9875</v>
      </c>
      <c r="Q330" s="28">
        <v>6.1</v>
      </c>
      <c r="Y330" s="5" t="s">
        <v>1486</v>
      </c>
      <c r="Z330" s="5">
        <v>3</v>
      </c>
    </row>
    <row r="331" spans="1:26" x14ac:dyDescent="0.35">
      <c r="A331" s="21" t="s">
        <v>1855</v>
      </c>
      <c r="B331" s="22" t="s">
        <v>1459</v>
      </c>
      <c r="C331" s="22" t="s">
        <v>1460</v>
      </c>
      <c r="D331" s="22" t="s">
        <v>1461</v>
      </c>
      <c r="E331" s="22" t="s">
        <v>19</v>
      </c>
      <c r="F331" s="22" t="s">
        <v>1462</v>
      </c>
      <c r="G331" s="22">
        <v>90.02</v>
      </c>
      <c r="H331" s="22">
        <v>8</v>
      </c>
      <c r="I331" s="22">
        <v>36.008000000000003</v>
      </c>
      <c r="J331" s="66">
        <v>756.16800000000001</v>
      </c>
      <c r="K331" s="24" t="s">
        <v>1856</v>
      </c>
      <c r="L331" s="25">
        <v>0.67222222222222228</v>
      </c>
      <c r="M331" s="22" t="s">
        <v>1477</v>
      </c>
      <c r="N331" s="26">
        <v>720.16</v>
      </c>
      <c r="O331" s="27">
        <f t="shared" si="5"/>
        <v>4.761904762E-2</v>
      </c>
      <c r="P331" s="23">
        <v>36.008000000000003</v>
      </c>
      <c r="Q331" s="28">
        <v>4.5</v>
      </c>
      <c r="Y331" s="5" t="s">
        <v>1501</v>
      </c>
      <c r="Z331" s="5">
        <v>4</v>
      </c>
    </row>
    <row r="332" spans="1:26" x14ac:dyDescent="0.35">
      <c r="A332" s="21" t="s">
        <v>1857</v>
      </c>
      <c r="B332" s="22" t="s">
        <v>1466</v>
      </c>
      <c r="C332" s="22" t="s">
        <v>1467</v>
      </c>
      <c r="D332" s="22" t="s">
        <v>1479</v>
      </c>
      <c r="E332" s="22" t="s">
        <v>19</v>
      </c>
      <c r="F332" s="22" t="s">
        <v>1462</v>
      </c>
      <c r="G332" s="22">
        <v>12.1</v>
      </c>
      <c r="H332" s="22">
        <v>8</v>
      </c>
      <c r="I332" s="22">
        <v>4.84</v>
      </c>
      <c r="J332" s="23">
        <v>101.64</v>
      </c>
      <c r="K332" s="24" t="s">
        <v>1528</v>
      </c>
      <c r="L332" s="25">
        <v>0.4284722222222222</v>
      </c>
      <c r="M332" s="22" t="s">
        <v>1469</v>
      </c>
      <c r="N332" s="26">
        <v>96.8</v>
      </c>
      <c r="O332" s="27">
        <f t="shared" si="5"/>
        <v>4.761904762E-2</v>
      </c>
      <c r="P332" s="23">
        <v>4.84</v>
      </c>
      <c r="Q332" s="28">
        <v>8.6</v>
      </c>
      <c r="Y332" s="5" t="s">
        <v>1486</v>
      </c>
      <c r="Z332" s="5">
        <v>7</v>
      </c>
    </row>
    <row r="333" spans="1:26" x14ac:dyDescent="0.35">
      <c r="A333" s="21" t="s">
        <v>1858</v>
      </c>
      <c r="B333" s="22" t="s">
        <v>1466</v>
      </c>
      <c r="C333" s="22" t="s">
        <v>1467</v>
      </c>
      <c r="D333" s="22" t="s">
        <v>1479</v>
      </c>
      <c r="E333" s="22" t="s">
        <v>19</v>
      </c>
      <c r="F333" s="22" t="s">
        <v>1486</v>
      </c>
      <c r="G333" s="22">
        <v>33.21</v>
      </c>
      <c r="H333" s="22">
        <v>10</v>
      </c>
      <c r="I333" s="22">
        <v>16.605</v>
      </c>
      <c r="J333" s="23">
        <v>348.70499999999998</v>
      </c>
      <c r="K333" s="24">
        <v>43678</v>
      </c>
      <c r="L333" s="25">
        <v>0.60069444444444442</v>
      </c>
      <c r="M333" s="22" t="s">
        <v>1469</v>
      </c>
      <c r="N333" s="26">
        <v>332.1</v>
      </c>
      <c r="O333" s="27">
        <f t="shared" si="5"/>
        <v>4.761904762E-2</v>
      </c>
      <c r="P333" s="23">
        <v>16.605</v>
      </c>
      <c r="Q333" s="28">
        <v>6</v>
      </c>
      <c r="Y333" s="5" t="s">
        <v>1468</v>
      </c>
      <c r="Z333" s="5">
        <v>1</v>
      </c>
    </row>
    <row r="334" spans="1:26" x14ac:dyDescent="0.35">
      <c r="A334" s="21" t="s">
        <v>1859</v>
      </c>
      <c r="B334" s="22" t="s">
        <v>1475</v>
      </c>
      <c r="C334" s="22" t="s">
        <v>1476</v>
      </c>
      <c r="D334" s="22" t="s">
        <v>1479</v>
      </c>
      <c r="E334" s="22" t="s">
        <v>19</v>
      </c>
      <c r="F334" s="22" t="s">
        <v>1468</v>
      </c>
      <c r="G334" s="22">
        <v>10.18</v>
      </c>
      <c r="H334" s="22">
        <v>8</v>
      </c>
      <c r="I334" s="22">
        <v>4.0720000000000001</v>
      </c>
      <c r="J334" s="23">
        <v>85.512</v>
      </c>
      <c r="K334" s="24" t="s">
        <v>1605</v>
      </c>
      <c r="L334" s="25">
        <v>0.53541666666666665</v>
      </c>
      <c r="M334" s="22" t="s">
        <v>1477</v>
      </c>
      <c r="N334" s="26">
        <v>81.44</v>
      </c>
      <c r="O334" s="27">
        <f t="shared" si="5"/>
        <v>4.761904762E-2</v>
      </c>
      <c r="P334" s="23">
        <v>4.0720000000000001</v>
      </c>
      <c r="Q334" s="28">
        <v>9.5</v>
      </c>
      <c r="Y334" s="5" t="s">
        <v>1462</v>
      </c>
      <c r="Z334" s="5">
        <v>10</v>
      </c>
    </row>
    <row r="335" spans="1:26" x14ac:dyDescent="0.35">
      <c r="A335" s="21" t="s">
        <v>1860</v>
      </c>
      <c r="B335" s="22" t="s">
        <v>1466</v>
      </c>
      <c r="C335" s="22" t="s">
        <v>1467</v>
      </c>
      <c r="D335" s="22" t="s">
        <v>1479</v>
      </c>
      <c r="E335" s="22" t="s">
        <v>27</v>
      </c>
      <c r="F335" s="22" t="s">
        <v>1501</v>
      </c>
      <c r="G335" s="22">
        <v>31.99</v>
      </c>
      <c r="H335" s="22">
        <v>10</v>
      </c>
      <c r="I335" s="22">
        <v>15.994999999999999</v>
      </c>
      <c r="J335" s="23">
        <v>335.89499999999998</v>
      </c>
      <c r="K335" s="24" t="s">
        <v>1516</v>
      </c>
      <c r="L335" s="25">
        <v>0.63749999999999996</v>
      </c>
      <c r="M335" s="22" t="s">
        <v>1477</v>
      </c>
      <c r="N335" s="26">
        <v>319.89999999999998</v>
      </c>
      <c r="O335" s="27">
        <f t="shared" si="5"/>
        <v>4.761904762E-2</v>
      </c>
      <c r="P335" s="23">
        <v>15.994999999999999</v>
      </c>
      <c r="Q335" s="28">
        <v>9.9</v>
      </c>
      <c r="Y335" s="5" t="s">
        <v>1501</v>
      </c>
      <c r="Z335" s="5">
        <v>6</v>
      </c>
    </row>
    <row r="336" spans="1:26" x14ac:dyDescent="0.35">
      <c r="A336" s="21" t="s">
        <v>1861</v>
      </c>
      <c r="B336" s="22" t="s">
        <v>1459</v>
      </c>
      <c r="C336" s="22" t="s">
        <v>1460</v>
      </c>
      <c r="D336" s="22" t="s">
        <v>1479</v>
      </c>
      <c r="E336" s="22" t="s">
        <v>19</v>
      </c>
      <c r="F336" s="22" t="s">
        <v>1482</v>
      </c>
      <c r="G336" s="22">
        <v>34.42</v>
      </c>
      <c r="H336" s="22">
        <v>6</v>
      </c>
      <c r="I336" s="22">
        <v>10.326000000000001</v>
      </c>
      <c r="J336" s="23">
        <v>216.846</v>
      </c>
      <c r="K336" s="24" t="s">
        <v>1605</v>
      </c>
      <c r="L336" s="25">
        <v>0.53125</v>
      </c>
      <c r="M336" s="22" t="s">
        <v>1469</v>
      </c>
      <c r="N336" s="26">
        <v>206.52</v>
      </c>
      <c r="O336" s="27">
        <f t="shared" si="5"/>
        <v>4.761904762E-2</v>
      </c>
      <c r="P336" s="23">
        <v>10.326000000000001</v>
      </c>
      <c r="Q336" s="28">
        <v>7.5</v>
      </c>
      <c r="Y336" s="5" t="s">
        <v>1482</v>
      </c>
      <c r="Z336" s="5">
        <v>4</v>
      </c>
    </row>
    <row r="337" spans="1:26" x14ac:dyDescent="0.35">
      <c r="A337" s="21" t="s">
        <v>1862</v>
      </c>
      <c r="B337" s="22" t="s">
        <v>1459</v>
      </c>
      <c r="C337" s="22" t="s">
        <v>1460</v>
      </c>
      <c r="D337" s="22" t="s">
        <v>1479</v>
      </c>
      <c r="E337" s="22" t="s">
        <v>19</v>
      </c>
      <c r="F337" s="22" t="s">
        <v>1486</v>
      </c>
      <c r="G337" s="22">
        <v>83.34</v>
      </c>
      <c r="H337" s="22">
        <v>2</v>
      </c>
      <c r="I337" s="22">
        <v>8.3339999999999996</v>
      </c>
      <c r="J337" s="23">
        <v>175.01400000000001</v>
      </c>
      <c r="K337" s="24" t="s">
        <v>1596</v>
      </c>
      <c r="L337" s="25">
        <v>0.56736111111111109</v>
      </c>
      <c r="M337" s="22" t="s">
        <v>1464</v>
      </c>
      <c r="N337" s="26">
        <v>166.68</v>
      </c>
      <c r="O337" s="27">
        <f t="shared" si="5"/>
        <v>4.761904762E-2</v>
      </c>
      <c r="P337" s="23">
        <v>8.3339999999999996</v>
      </c>
      <c r="Q337" s="28">
        <v>7.6</v>
      </c>
      <c r="Y337" s="5" t="s">
        <v>1482</v>
      </c>
      <c r="Z337" s="5">
        <v>8</v>
      </c>
    </row>
    <row r="338" spans="1:26" x14ac:dyDescent="0.35">
      <c r="A338" s="21" t="s">
        <v>1863</v>
      </c>
      <c r="B338" s="22" t="s">
        <v>1459</v>
      </c>
      <c r="C338" s="22" t="s">
        <v>1460</v>
      </c>
      <c r="D338" s="22" t="s">
        <v>1461</v>
      </c>
      <c r="E338" s="22" t="s">
        <v>27</v>
      </c>
      <c r="F338" s="22" t="s">
        <v>1501</v>
      </c>
      <c r="G338" s="22">
        <v>45.58</v>
      </c>
      <c r="H338" s="22">
        <v>7</v>
      </c>
      <c r="I338" s="22">
        <v>15.952999999999999</v>
      </c>
      <c r="J338" s="23">
        <v>335.01299999999998</v>
      </c>
      <c r="K338" s="24" t="s">
        <v>1511</v>
      </c>
      <c r="L338" s="25">
        <v>0.41875000000000001</v>
      </c>
      <c r="M338" s="22" t="s">
        <v>1464</v>
      </c>
      <c r="N338" s="26">
        <v>319.06</v>
      </c>
      <c r="O338" s="27">
        <f t="shared" si="5"/>
        <v>4.761904762E-2</v>
      </c>
      <c r="P338" s="23">
        <v>15.952999999999999</v>
      </c>
      <c r="Q338" s="28">
        <v>5</v>
      </c>
      <c r="Y338" s="5" t="s">
        <v>1468</v>
      </c>
      <c r="Z338" s="5">
        <v>1</v>
      </c>
    </row>
    <row r="339" spans="1:26" x14ac:dyDescent="0.35">
      <c r="A339" s="21" t="s">
        <v>1864</v>
      </c>
      <c r="B339" s="22" t="s">
        <v>1459</v>
      </c>
      <c r="C339" s="22" t="s">
        <v>1460</v>
      </c>
      <c r="D339" s="22" t="s">
        <v>1479</v>
      </c>
      <c r="E339" s="22" t="s">
        <v>27</v>
      </c>
      <c r="F339" s="22" t="s">
        <v>1486</v>
      </c>
      <c r="G339" s="22">
        <v>87.9</v>
      </c>
      <c r="H339" s="22">
        <v>1</v>
      </c>
      <c r="I339" s="22">
        <v>4.3949999999999996</v>
      </c>
      <c r="J339" s="23">
        <v>92.295000000000002</v>
      </c>
      <c r="K339" s="24">
        <v>43587</v>
      </c>
      <c r="L339" s="25">
        <v>0.8208333333333333</v>
      </c>
      <c r="M339" s="22" t="s">
        <v>1469</v>
      </c>
      <c r="N339" s="26">
        <v>87.9</v>
      </c>
      <c r="O339" s="27">
        <f t="shared" si="5"/>
        <v>4.761904762E-2</v>
      </c>
      <c r="P339" s="23">
        <v>4.3949999999999996</v>
      </c>
      <c r="Q339" s="28">
        <v>6.7</v>
      </c>
      <c r="Y339" s="5" t="s">
        <v>1462</v>
      </c>
      <c r="Z339" s="5">
        <v>1</v>
      </c>
    </row>
    <row r="340" spans="1:26" x14ac:dyDescent="0.35">
      <c r="A340" s="21" t="s">
        <v>1865</v>
      </c>
      <c r="B340" s="22" t="s">
        <v>1459</v>
      </c>
      <c r="C340" s="22" t="s">
        <v>1460</v>
      </c>
      <c r="D340" s="22" t="s">
        <v>1479</v>
      </c>
      <c r="E340" s="22" t="s">
        <v>19</v>
      </c>
      <c r="F340" s="22" t="s">
        <v>1462</v>
      </c>
      <c r="G340" s="22">
        <v>73.47</v>
      </c>
      <c r="H340" s="22">
        <v>10</v>
      </c>
      <c r="I340" s="22">
        <v>36.734999999999999</v>
      </c>
      <c r="J340" s="66">
        <v>771.43499999999995</v>
      </c>
      <c r="K340" s="24" t="s">
        <v>1711</v>
      </c>
      <c r="L340" s="25">
        <v>0.55138888888888893</v>
      </c>
      <c r="M340" s="22" t="s">
        <v>1469</v>
      </c>
      <c r="N340" s="26">
        <v>734.7</v>
      </c>
      <c r="O340" s="27">
        <f t="shared" si="5"/>
        <v>4.761904762E-2</v>
      </c>
      <c r="P340" s="23">
        <v>36.734999999999999</v>
      </c>
      <c r="Q340" s="28">
        <v>9.5</v>
      </c>
      <c r="Y340" s="5" t="s">
        <v>1462</v>
      </c>
      <c r="Z340" s="5">
        <v>8</v>
      </c>
    </row>
    <row r="341" spans="1:26" x14ac:dyDescent="0.35">
      <c r="A341" s="21" t="s">
        <v>1866</v>
      </c>
      <c r="B341" s="22" t="s">
        <v>1475</v>
      </c>
      <c r="C341" s="22" t="s">
        <v>1476</v>
      </c>
      <c r="D341" s="22" t="s">
        <v>1461</v>
      </c>
      <c r="E341" s="22" t="s">
        <v>19</v>
      </c>
      <c r="F341" s="22" t="s">
        <v>1468</v>
      </c>
      <c r="G341" s="22">
        <v>12.19</v>
      </c>
      <c r="H341" s="22">
        <v>8</v>
      </c>
      <c r="I341" s="22">
        <v>4.8760000000000003</v>
      </c>
      <c r="J341" s="23">
        <v>102.396</v>
      </c>
      <c r="K341" s="24" t="s">
        <v>1658</v>
      </c>
      <c r="L341" s="25">
        <v>0.53263888888888888</v>
      </c>
      <c r="M341" s="22" t="s">
        <v>1469</v>
      </c>
      <c r="N341" s="26">
        <v>97.52</v>
      </c>
      <c r="O341" s="27">
        <f t="shared" si="5"/>
        <v>4.761904762E-2</v>
      </c>
      <c r="P341" s="23">
        <v>4.8760000000000003</v>
      </c>
      <c r="Q341" s="28">
        <v>6.8</v>
      </c>
      <c r="Y341" s="5" t="s">
        <v>1462</v>
      </c>
      <c r="Z341" s="5">
        <v>8</v>
      </c>
    </row>
    <row r="342" spans="1:26" x14ac:dyDescent="0.35">
      <c r="A342" s="21" t="s">
        <v>1867</v>
      </c>
      <c r="B342" s="22" t="s">
        <v>1459</v>
      </c>
      <c r="C342" s="22" t="s">
        <v>1460</v>
      </c>
      <c r="D342" s="22" t="s">
        <v>1479</v>
      </c>
      <c r="E342" s="22" t="s">
        <v>27</v>
      </c>
      <c r="F342" s="22" t="s">
        <v>1501</v>
      </c>
      <c r="G342" s="22">
        <v>76.92</v>
      </c>
      <c r="H342" s="22">
        <v>10</v>
      </c>
      <c r="I342" s="22">
        <v>38.46</v>
      </c>
      <c r="J342" s="66">
        <v>807.66</v>
      </c>
      <c r="K342" s="24" t="s">
        <v>1555</v>
      </c>
      <c r="L342" s="25">
        <v>0.82847222222222228</v>
      </c>
      <c r="M342" s="22" t="s">
        <v>1469</v>
      </c>
      <c r="N342" s="26">
        <v>769.2</v>
      </c>
      <c r="O342" s="27">
        <f t="shared" si="5"/>
        <v>4.761904762E-2</v>
      </c>
      <c r="P342" s="23">
        <v>38.46</v>
      </c>
      <c r="Q342" s="28">
        <v>5.6</v>
      </c>
      <c r="Y342" s="5" t="s">
        <v>1486</v>
      </c>
      <c r="Z342" s="5">
        <v>10</v>
      </c>
    </row>
    <row r="343" spans="1:26" x14ac:dyDescent="0.35">
      <c r="A343" s="21" t="s">
        <v>1868</v>
      </c>
      <c r="B343" s="22" t="s">
        <v>1475</v>
      </c>
      <c r="C343" s="22" t="s">
        <v>1476</v>
      </c>
      <c r="D343" s="22" t="s">
        <v>1461</v>
      </c>
      <c r="E343" s="22" t="s">
        <v>19</v>
      </c>
      <c r="F343" s="22" t="s">
        <v>1473</v>
      </c>
      <c r="G343" s="22">
        <v>83.66</v>
      </c>
      <c r="H343" s="22">
        <v>5</v>
      </c>
      <c r="I343" s="22">
        <v>20.914999999999999</v>
      </c>
      <c r="J343" s="23">
        <v>439.21499999999997</v>
      </c>
      <c r="K343" s="24" t="s">
        <v>1632</v>
      </c>
      <c r="L343" s="25">
        <v>0.43472222222222223</v>
      </c>
      <c r="M343" s="22" t="s">
        <v>1464</v>
      </c>
      <c r="N343" s="26">
        <v>418.3</v>
      </c>
      <c r="O343" s="27">
        <f t="shared" si="5"/>
        <v>4.761904762E-2</v>
      </c>
      <c r="P343" s="23">
        <v>20.914999999999999</v>
      </c>
      <c r="Q343" s="28">
        <v>7.2</v>
      </c>
      <c r="Y343" s="5" t="s">
        <v>1468</v>
      </c>
      <c r="Z343" s="5">
        <v>8</v>
      </c>
    </row>
    <row r="344" spans="1:26" x14ac:dyDescent="0.35">
      <c r="A344" s="21" t="s">
        <v>1869</v>
      </c>
      <c r="B344" s="22" t="s">
        <v>1466</v>
      </c>
      <c r="C344" s="22" t="s">
        <v>1467</v>
      </c>
      <c r="D344" s="22" t="s">
        <v>1461</v>
      </c>
      <c r="E344" s="22" t="s">
        <v>19</v>
      </c>
      <c r="F344" s="22" t="s">
        <v>1462</v>
      </c>
      <c r="G344" s="22">
        <v>57.91</v>
      </c>
      <c r="H344" s="22">
        <v>8</v>
      </c>
      <c r="I344" s="22">
        <v>23.164000000000001</v>
      </c>
      <c r="J344" s="23">
        <v>486.44400000000002</v>
      </c>
      <c r="K344" s="24">
        <v>43648</v>
      </c>
      <c r="L344" s="25">
        <v>0.62916666666666665</v>
      </c>
      <c r="M344" s="22" t="s">
        <v>1464</v>
      </c>
      <c r="N344" s="26">
        <v>463.28</v>
      </c>
      <c r="O344" s="27">
        <f t="shared" si="5"/>
        <v>4.761904762E-2</v>
      </c>
      <c r="P344" s="23">
        <v>23.164000000000001</v>
      </c>
      <c r="Q344" s="28">
        <v>8.1</v>
      </c>
      <c r="Y344" s="5" t="s">
        <v>1501</v>
      </c>
      <c r="Z344" s="5">
        <v>10</v>
      </c>
    </row>
    <row r="345" spans="1:26" x14ac:dyDescent="0.35">
      <c r="A345" s="21" t="s">
        <v>1870</v>
      </c>
      <c r="B345" s="22" t="s">
        <v>1475</v>
      </c>
      <c r="C345" s="22" t="s">
        <v>1476</v>
      </c>
      <c r="D345" s="22" t="s">
        <v>1479</v>
      </c>
      <c r="E345" s="22" t="s">
        <v>19</v>
      </c>
      <c r="F345" s="22" t="s">
        <v>1468</v>
      </c>
      <c r="G345" s="22">
        <v>92.49</v>
      </c>
      <c r="H345" s="22">
        <v>5</v>
      </c>
      <c r="I345" s="22">
        <v>23.122499999999999</v>
      </c>
      <c r="J345" s="23">
        <v>485.57249999999999</v>
      </c>
      <c r="K345" s="24">
        <v>43499</v>
      </c>
      <c r="L345" s="25">
        <v>0.69097222222222221</v>
      </c>
      <c r="M345" s="22" t="s">
        <v>1477</v>
      </c>
      <c r="N345" s="26">
        <v>462.45</v>
      </c>
      <c r="O345" s="27">
        <f t="shared" si="5"/>
        <v>4.761904762E-2</v>
      </c>
      <c r="P345" s="23">
        <v>23.122499999999999</v>
      </c>
      <c r="Q345" s="28">
        <v>8.6</v>
      </c>
      <c r="Y345" s="5" t="s">
        <v>1482</v>
      </c>
      <c r="Z345" s="5">
        <v>6</v>
      </c>
    </row>
    <row r="346" spans="1:26" x14ac:dyDescent="0.35">
      <c r="A346" s="21" t="s">
        <v>1871</v>
      </c>
      <c r="B346" s="22" t="s">
        <v>1466</v>
      </c>
      <c r="C346" s="22" t="s">
        <v>1467</v>
      </c>
      <c r="D346" s="22" t="s">
        <v>1461</v>
      </c>
      <c r="E346" s="22" t="s">
        <v>27</v>
      </c>
      <c r="F346" s="22" t="s">
        <v>1462</v>
      </c>
      <c r="G346" s="22">
        <v>28.38</v>
      </c>
      <c r="H346" s="22">
        <v>5</v>
      </c>
      <c r="I346" s="22">
        <v>7.0949999999999998</v>
      </c>
      <c r="J346" s="23">
        <v>148.995</v>
      </c>
      <c r="K346" s="24">
        <v>43619</v>
      </c>
      <c r="L346" s="25">
        <v>0.87291666666666667</v>
      </c>
      <c r="M346" s="22" t="s">
        <v>1464</v>
      </c>
      <c r="N346" s="26">
        <v>141.9</v>
      </c>
      <c r="O346" s="27">
        <f t="shared" si="5"/>
        <v>4.761904762E-2</v>
      </c>
      <c r="P346" s="23">
        <v>7.0949999999999998</v>
      </c>
      <c r="Q346" s="28">
        <v>9.4</v>
      </c>
      <c r="Y346" s="5" t="s">
        <v>1486</v>
      </c>
      <c r="Z346" s="5">
        <v>2</v>
      </c>
    </row>
    <row r="347" spans="1:26" x14ac:dyDescent="0.35">
      <c r="A347" s="21" t="s">
        <v>1872</v>
      </c>
      <c r="B347" s="22" t="s">
        <v>1466</v>
      </c>
      <c r="C347" s="22" t="s">
        <v>1467</v>
      </c>
      <c r="D347" s="22" t="s">
        <v>1479</v>
      </c>
      <c r="E347" s="22" t="s">
        <v>27</v>
      </c>
      <c r="F347" s="22" t="s">
        <v>1462</v>
      </c>
      <c r="G347" s="22">
        <v>50.45</v>
      </c>
      <c r="H347" s="22">
        <v>6</v>
      </c>
      <c r="I347" s="22">
        <v>15.135</v>
      </c>
      <c r="J347" s="23">
        <v>317.83499999999998</v>
      </c>
      <c r="K347" s="24">
        <v>43618</v>
      </c>
      <c r="L347" s="25">
        <v>0.63611111111111107</v>
      </c>
      <c r="M347" s="22" t="s">
        <v>1477</v>
      </c>
      <c r="N347" s="26">
        <v>302.7</v>
      </c>
      <c r="O347" s="27">
        <f t="shared" si="5"/>
        <v>4.761904762E-2</v>
      </c>
      <c r="P347" s="23">
        <v>15.135</v>
      </c>
      <c r="Q347" s="28">
        <v>8.9</v>
      </c>
      <c r="Y347" s="5" t="s">
        <v>1501</v>
      </c>
      <c r="Z347" s="5">
        <v>7</v>
      </c>
    </row>
    <row r="348" spans="1:26" x14ac:dyDescent="0.35">
      <c r="A348" s="21" t="s">
        <v>1873</v>
      </c>
      <c r="B348" s="22" t="s">
        <v>1466</v>
      </c>
      <c r="C348" s="22" t="s">
        <v>1467</v>
      </c>
      <c r="D348" s="22" t="s">
        <v>1461</v>
      </c>
      <c r="E348" s="22" t="s">
        <v>27</v>
      </c>
      <c r="F348" s="22" t="s">
        <v>1473</v>
      </c>
      <c r="G348" s="22">
        <v>99.16</v>
      </c>
      <c r="H348" s="22">
        <v>8</v>
      </c>
      <c r="I348" s="22">
        <v>39.664000000000001</v>
      </c>
      <c r="J348" s="66">
        <v>832.94399999999996</v>
      </c>
      <c r="K348" s="24" t="s">
        <v>1803</v>
      </c>
      <c r="L348" s="25">
        <v>0.74097222222222225</v>
      </c>
      <c r="M348" s="22" t="s">
        <v>1477</v>
      </c>
      <c r="N348" s="26">
        <v>793.28</v>
      </c>
      <c r="O348" s="27">
        <f t="shared" si="5"/>
        <v>4.761904762E-2</v>
      </c>
      <c r="P348" s="23">
        <v>39.664000000000001</v>
      </c>
      <c r="Q348" s="28">
        <v>4.2</v>
      </c>
      <c r="Y348" s="5" t="s">
        <v>1486</v>
      </c>
      <c r="Z348" s="5">
        <v>1</v>
      </c>
    </row>
    <row r="349" spans="1:26" x14ac:dyDescent="0.35">
      <c r="A349" s="21" t="s">
        <v>1874</v>
      </c>
      <c r="B349" s="22" t="s">
        <v>1475</v>
      </c>
      <c r="C349" s="22" t="s">
        <v>1476</v>
      </c>
      <c r="D349" s="22" t="s">
        <v>1461</v>
      </c>
      <c r="E349" s="22" t="s">
        <v>27</v>
      </c>
      <c r="F349" s="22" t="s">
        <v>1468</v>
      </c>
      <c r="G349" s="22">
        <v>60.74</v>
      </c>
      <c r="H349" s="22">
        <v>7</v>
      </c>
      <c r="I349" s="22">
        <v>21.259</v>
      </c>
      <c r="J349" s="23">
        <v>446.43900000000002</v>
      </c>
      <c r="K349" s="24" t="s">
        <v>1608</v>
      </c>
      <c r="L349" s="25">
        <v>0.68263888888888891</v>
      </c>
      <c r="M349" s="22" t="s">
        <v>1469</v>
      </c>
      <c r="N349" s="26">
        <v>425.18</v>
      </c>
      <c r="O349" s="27">
        <f t="shared" si="5"/>
        <v>4.761904762E-2</v>
      </c>
      <c r="P349" s="23">
        <v>21.259</v>
      </c>
      <c r="Q349" s="28">
        <v>5</v>
      </c>
      <c r="Y349" s="5" t="s">
        <v>1462</v>
      </c>
      <c r="Z349" s="5">
        <v>10</v>
      </c>
    </row>
    <row r="350" spans="1:26" x14ac:dyDescent="0.35">
      <c r="A350" s="21" t="s">
        <v>1875</v>
      </c>
      <c r="B350" s="22" t="s">
        <v>1475</v>
      </c>
      <c r="C350" s="22" t="s">
        <v>1476</v>
      </c>
      <c r="D350" s="22" t="s">
        <v>1479</v>
      </c>
      <c r="E350" s="22" t="s">
        <v>19</v>
      </c>
      <c r="F350" s="22" t="s">
        <v>1486</v>
      </c>
      <c r="G350" s="22">
        <v>47.27</v>
      </c>
      <c r="H350" s="22">
        <v>6</v>
      </c>
      <c r="I350" s="22">
        <v>14.180999999999999</v>
      </c>
      <c r="J350" s="23">
        <v>297.80099999999999</v>
      </c>
      <c r="K350" s="24">
        <v>43587</v>
      </c>
      <c r="L350" s="25">
        <v>0.4284722222222222</v>
      </c>
      <c r="M350" s="22" t="s">
        <v>1464</v>
      </c>
      <c r="N350" s="26">
        <v>283.62</v>
      </c>
      <c r="O350" s="27">
        <f t="shared" si="5"/>
        <v>4.761904762E-2</v>
      </c>
      <c r="P350" s="23">
        <v>14.180999999999999</v>
      </c>
      <c r="Q350" s="28">
        <v>8.8000000000000007</v>
      </c>
      <c r="Y350" s="5" t="s">
        <v>1468</v>
      </c>
      <c r="Z350" s="5">
        <v>8</v>
      </c>
    </row>
    <row r="351" spans="1:26" x14ac:dyDescent="0.35">
      <c r="A351" s="21" t="s">
        <v>1876</v>
      </c>
      <c r="B351" s="22" t="s">
        <v>1475</v>
      </c>
      <c r="C351" s="22" t="s">
        <v>1476</v>
      </c>
      <c r="D351" s="22" t="s">
        <v>1479</v>
      </c>
      <c r="E351" s="22" t="s">
        <v>27</v>
      </c>
      <c r="F351" s="22" t="s">
        <v>1473</v>
      </c>
      <c r="G351" s="22">
        <v>85.6</v>
      </c>
      <c r="H351" s="22">
        <v>7</v>
      </c>
      <c r="I351" s="22">
        <v>29.96</v>
      </c>
      <c r="J351" s="66">
        <v>629.16</v>
      </c>
      <c r="K351" s="24">
        <v>43499</v>
      </c>
      <c r="L351" s="25">
        <v>0.57638888888888884</v>
      </c>
      <c r="M351" s="22" t="s">
        <v>1464</v>
      </c>
      <c r="N351" s="26">
        <v>599.20000000000005</v>
      </c>
      <c r="O351" s="27">
        <f t="shared" si="5"/>
        <v>4.761904762E-2</v>
      </c>
      <c r="P351" s="23">
        <v>29.96</v>
      </c>
      <c r="Q351" s="28">
        <v>5.3</v>
      </c>
      <c r="Y351" s="5" t="s">
        <v>1501</v>
      </c>
      <c r="Z351" s="5">
        <v>10</v>
      </c>
    </row>
    <row r="352" spans="1:26" x14ac:dyDescent="0.35">
      <c r="A352" s="21" t="s">
        <v>1877</v>
      </c>
      <c r="B352" s="22" t="s">
        <v>1459</v>
      </c>
      <c r="C352" s="22" t="s">
        <v>1460</v>
      </c>
      <c r="D352" s="22" t="s">
        <v>1479</v>
      </c>
      <c r="E352" s="22" t="s">
        <v>27</v>
      </c>
      <c r="F352" s="22" t="s">
        <v>1486</v>
      </c>
      <c r="G352" s="22">
        <v>35.04</v>
      </c>
      <c r="H352" s="22">
        <v>9</v>
      </c>
      <c r="I352" s="22">
        <v>15.768000000000001</v>
      </c>
      <c r="J352" s="23">
        <v>331.12799999999999</v>
      </c>
      <c r="K352" s="24">
        <v>43710</v>
      </c>
      <c r="L352" s="25">
        <v>0.80347222222222225</v>
      </c>
      <c r="M352" s="22" t="s">
        <v>1469</v>
      </c>
      <c r="N352" s="26">
        <v>315.36</v>
      </c>
      <c r="O352" s="27">
        <f t="shared" si="5"/>
        <v>4.761904762E-2</v>
      </c>
      <c r="P352" s="23">
        <v>15.768000000000001</v>
      </c>
      <c r="Q352" s="28">
        <v>4.5999999999999996</v>
      </c>
      <c r="Y352" s="5" t="s">
        <v>1473</v>
      </c>
      <c r="Z352" s="5">
        <v>5</v>
      </c>
    </row>
    <row r="353" spans="1:26" x14ac:dyDescent="0.35">
      <c r="A353" s="21" t="s">
        <v>1878</v>
      </c>
      <c r="B353" s="22" t="s">
        <v>1475</v>
      </c>
      <c r="C353" s="22" t="s">
        <v>1476</v>
      </c>
      <c r="D353" s="22" t="s">
        <v>1479</v>
      </c>
      <c r="E353" s="22" t="s">
        <v>19</v>
      </c>
      <c r="F353" s="22" t="s">
        <v>1462</v>
      </c>
      <c r="G353" s="22">
        <v>44.84</v>
      </c>
      <c r="H353" s="22">
        <v>9</v>
      </c>
      <c r="I353" s="22">
        <v>20.178000000000001</v>
      </c>
      <c r="J353" s="23">
        <v>423.738</v>
      </c>
      <c r="K353" s="24" t="s">
        <v>1518</v>
      </c>
      <c r="L353" s="25">
        <v>0.58333333333333337</v>
      </c>
      <c r="M353" s="22" t="s">
        <v>1477</v>
      </c>
      <c r="N353" s="26">
        <v>403.56</v>
      </c>
      <c r="O353" s="27">
        <f t="shared" si="5"/>
        <v>4.761904762E-2</v>
      </c>
      <c r="P353" s="23">
        <v>20.178000000000001</v>
      </c>
      <c r="Q353" s="28">
        <v>7.5</v>
      </c>
      <c r="Y353" s="5" t="s">
        <v>1462</v>
      </c>
      <c r="Z353" s="5">
        <v>8</v>
      </c>
    </row>
    <row r="354" spans="1:26" x14ac:dyDescent="0.35">
      <c r="A354" s="21" t="s">
        <v>1879</v>
      </c>
      <c r="B354" s="22" t="s">
        <v>1466</v>
      </c>
      <c r="C354" s="22" t="s">
        <v>1467</v>
      </c>
      <c r="D354" s="22" t="s">
        <v>1461</v>
      </c>
      <c r="E354" s="22" t="s">
        <v>27</v>
      </c>
      <c r="F354" s="22" t="s">
        <v>1482</v>
      </c>
      <c r="G354" s="22">
        <v>45.97</v>
      </c>
      <c r="H354" s="22">
        <v>4</v>
      </c>
      <c r="I354" s="22">
        <v>9.1940000000000008</v>
      </c>
      <c r="J354" s="23">
        <v>193.07400000000001</v>
      </c>
      <c r="K354" s="24">
        <v>43710</v>
      </c>
      <c r="L354" s="25">
        <v>0.50138888888888888</v>
      </c>
      <c r="M354" s="22" t="s">
        <v>1469</v>
      </c>
      <c r="N354" s="26">
        <v>183.88</v>
      </c>
      <c r="O354" s="27">
        <f t="shared" si="5"/>
        <v>4.761904762E-2</v>
      </c>
      <c r="P354" s="23">
        <v>9.1940000000000008</v>
      </c>
      <c r="Q354" s="28">
        <v>5.0999999999999996</v>
      </c>
      <c r="Y354" s="5" t="s">
        <v>1468</v>
      </c>
      <c r="Z354" s="5">
        <v>5</v>
      </c>
    </row>
    <row r="355" spans="1:26" x14ac:dyDescent="0.35">
      <c r="A355" s="21" t="s">
        <v>1880</v>
      </c>
      <c r="B355" s="22" t="s">
        <v>1459</v>
      </c>
      <c r="C355" s="22" t="s">
        <v>1460</v>
      </c>
      <c r="D355" s="22" t="s">
        <v>1479</v>
      </c>
      <c r="E355" s="22" t="s">
        <v>19</v>
      </c>
      <c r="F355" s="22" t="s">
        <v>1473</v>
      </c>
      <c r="G355" s="22">
        <v>27.73</v>
      </c>
      <c r="H355" s="22">
        <v>5</v>
      </c>
      <c r="I355" s="22">
        <v>6.9325000000000001</v>
      </c>
      <c r="J355" s="23">
        <v>145.58250000000001</v>
      </c>
      <c r="K355" s="24" t="s">
        <v>1520</v>
      </c>
      <c r="L355" s="25">
        <v>0.84791666666666665</v>
      </c>
      <c r="M355" s="22" t="s">
        <v>1477</v>
      </c>
      <c r="N355" s="26">
        <v>138.65</v>
      </c>
      <c r="O355" s="27">
        <f t="shared" si="5"/>
        <v>4.761904762E-2</v>
      </c>
      <c r="P355" s="23">
        <v>6.9325000000000001</v>
      </c>
      <c r="Q355" s="28">
        <v>4.2</v>
      </c>
      <c r="Y355" s="5" t="s">
        <v>1462</v>
      </c>
      <c r="Z355" s="5">
        <v>5</v>
      </c>
    </row>
    <row r="356" spans="1:26" x14ac:dyDescent="0.35">
      <c r="A356" s="21" t="s">
        <v>1881</v>
      </c>
      <c r="B356" s="22" t="s">
        <v>1459</v>
      </c>
      <c r="C356" s="22" t="s">
        <v>1460</v>
      </c>
      <c r="D356" s="22" t="s">
        <v>1461</v>
      </c>
      <c r="E356" s="22" t="s">
        <v>27</v>
      </c>
      <c r="F356" s="22" t="s">
        <v>1486</v>
      </c>
      <c r="G356" s="22">
        <v>11.53</v>
      </c>
      <c r="H356" s="22">
        <v>7</v>
      </c>
      <c r="I356" s="22">
        <v>4.0354999999999999</v>
      </c>
      <c r="J356" s="23">
        <v>84.745500000000007</v>
      </c>
      <c r="K356" s="24" t="s">
        <v>1803</v>
      </c>
      <c r="L356" s="25">
        <v>0.73263888888888884</v>
      </c>
      <c r="M356" s="22" t="s">
        <v>1464</v>
      </c>
      <c r="N356" s="26">
        <v>80.709999999999994</v>
      </c>
      <c r="O356" s="27">
        <f t="shared" si="5"/>
        <v>4.761904762E-2</v>
      </c>
      <c r="P356" s="23">
        <v>4.0354999999999999</v>
      </c>
      <c r="Q356" s="28">
        <v>8.1</v>
      </c>
      <c r="Y356" s="5" t="s">
        <v>1462</v>
      </c>
      <c r="Z356" s="5">
        <v>6</v>
      </c>
    </row>
    <row r="357" spans="1:26" x14ac:dyDescent="0.35">
      <c r="A357" s="21" t="s">
        <v>1882</v>
      </c>
      <c r="B357" s="22" t="s">
        <v>1475</v>
      </c>
      <c r="C357" s="22" t="s">
        <v>1476</v>
      </c>
      <c r="D357" s="22" t="s">
        <v>1461</v>
      </c>
      <c r="E357" s="22" t="s">
        <v>19</v>
      </c>
      <c r="F357" s="22" t="s">
        <v>1473</v>
      </c>
      <c r="G357" s="22">
        <v>58.32</v>
      </c>
      <c r="H357" s="22">
        <v>2</v>
      </c>
      <c r="I357" s="22">
        <v>5.8319999999999999</v>
      </c>
      <c r="J357" s="23">
        <v>122.47199999999999</v>
      </c>
      <c r="K357" s="24" t="s">
        <v>1800</v>
      </c>
      <c r="L357" s="25">
        <v>0.52916666666666667</v>
      </c>
      <c r="M357" s="22" t="s">
        <v>1469</v>
      </c>
      <c r="N357" s="26">
        <v>116.64</v>
      </c>
      <c r="O357" s="27">
        <f t="shared" si="5"/>
        <v>4.761904762E-2</v>
      </c>
      <c r="P357" s="23">
        <v>5.8319999999999999</v>
      </c>
      <c r="Q357" s="28">
        <v>6</v>
      </c>
      <c r="Y357" s="5" t="s">
        <v>1473</v>
      </c>
      <c r="Z357" s="5">
        <v>8</v>
      </c>
    </row>
    <row r="358" spans="1:26" x14ac:dyDescent="0.35">
      <c r="A358" s="21" t="s">
        <v>1883</v>
      </c>
      <c r="B358" s="22" t="s">
        <v>1475</v>
      </c>
      <c r="C358" s="22" t="s">
        <v>1476</v>
      </c>
      <c r="D358" s="22" t="s">
        <v>1479</v>
      </c>
      <c r="E358" s="22" t="s">
        <v>19</v>
      </c>
      <c r="F358" s="22" t="s">
        <v>1482</v>
      </c>
      <c r="G358" s="22">
        <v>78.38</v>
      </c>
      <c r="H358" s="22">
        <v>4</v>
      </c>
      <c r="I358" s="22">
        <v>15.676</v>
      </c>
      <c r="J358" s="23">
        <v>329.19600000000003</v>
      </c>
      <c r="K358" s="24" t="s">
        <v>1550</v>
      </c>
      <c r="L358" s="25">
        <v>0.74722222222222223</v>
      </c>
      <c r="M358" s="22" t="s">
        <v>1464</v>
      </c>
      <c r="N358" s="26">
        <v>313.52</v>
      </c>
      <c r="O358" s="27">
        <f t="shared" si="5"/>
        <v>4.761904762E-2</v>
      </c>
      <c r="P358" s="23">
        <v>15.676</v>
      </c>
      <c r="Q358" s="28">
        <v>7.9</v>
      </c>
      <c r="Y358" s="5" t="s">
        <v>1468</v>
      </c>
      <c r="Z358" s="5">
        <v>7</v>
      </c>
    </row>
    <row r="359" spans="1:26" x14ac:dyDescent="0.35">
      <c r="A359" s="21" t="s">
        <v>1884</v>
      </c>
      <c r="B359" s="22" t="s">
        <v>1475</v>
      </c>
      <c r="C359" s="22" t="s">
        <v>1476</v>
      </c>
      <c r="D359" s="22" t="s">
        <v>1461</v>
      </c>
      <c r="E359" s="22" t="s">
        <v>27</v>
      </c>
      <c r="F359" s="22" t="s">
        <v>1473</v>
      </c>
      <c r="G359" s="22">
        <v>84.61</v>
      </c>
      <c r="H359" s="22">
        <v>10</v>
      </c>
      <c r="I359" s="22">
        <v>42.305</v>
      </c>
      <c r="J359" s="66">
        <v>888.40499999999997</v>
      </c>
      <c r="K359" s="24">
        <v>43710</v>
      </c>
      <c r="L359" s="25">
        <v>0.79027777777777775</v>
      </c>
      <c r="M359" s="22" t="s">
        <v>1477</v>
      </c>
      <c r="N359" s="26">
        <v>846.1</v>
      </c>
      <c r="O359" s="27">
        <f t="shared" si="5"/>
        <v>4.761904762E-2</v>
      </c>
      <c r="P359" s="23">
        <v>42.305</v>
      </c>
      <c r="Q359" s="28">
        <v>8.8000000000000007</v>
      </c>
      <c r="Y359" s="5" t="s">
        <v>1486</v>
      </c>
      <c r="Z359" s="5">
        <v>6</v>
      </c>
    </row>
    <row r="360" spans="1:26" x14ac:dyDescent="0.35">
      <c r="A360" s="21" t="s">
        <v>1885</v>
      </c>
      <c r="B360" s="22" t="s">
        <v>1466</v>
      </c>
      <c r="C360" s="22" t="s">
        <v>1467</v>
      </c>
      <c r="D360" s="22" t="s">
        <v>1461</v>
      </c>
      <c r="E360" s="22" t="s">
        <v>19</v>
      </c>
      <c r="F360" s="22" t="s">
        <v>1473</v>
      </c>
      <c r="G360" s="22">
        <v>82.88</v>
      </c>
      <c r="H360" s="22">
        <v>5</v>
      </c>
      <c r="I360" s="22">
        <v>20.72</v>
      </c>
      <c r="J360" s="23">
        <v>435.12</v>
      </c>
      <c r="K360" s="24" t="s">
        <v>1550</v>
      </c>
      <c r="L360" s="25">
        <v>0.58888888888888891</v>
      </c>
      <c r="M360" s="22" t="s">
        <v>1477</v>
      </c>
      <c r="N360" s="26">
        <v>414.4</v>
      </c>
      <c r="O360" s="27">
        <f t="shared" si="5"/>
        <v>4.761904762E-2</v>
      </c>
      <c r="P360" s="23">
        <v>20.72</v>
      </c>
      <c r="Q360" s="28">
        <v>6.6</v>
      </c>
      <c r="Y360" s="5" t="s">
        <v>1473</v>
      </c>
      <c r="Z360" s="5">
        <v>7</v>
      </c>
    </row>
    <row r="361" spans="1:26" x14ac:dyDescent="0.35">
      <c r="A361" s="21" t="s">
        <v>1886</v>
      </c>
      <c r="B361" s="22" t="s">
        <v>1459</v>
      </c>
      <c r="C361" s="22" t="s">
        <v>1460</v>
      </c>
      <c r="D361" s="22" t="s">
        <v>1479</v>
      </c>
      <c r="E361" s="22" t="s">
        <v>19</v>
      </c>
      <c r="F361" s="22" t="s">
        <v>1486</v>
      </c>
      <c r="G361" s="22">
        <v>79.540000000000006</v>
      </c>
      <c r="H361" s="22">
        <v>2</v>
      </c>
      <c r="I361" s="22">
        <v>7.9539999999999997</v>
      </c>
      <c r="J361" s="23">
        <v>167.03399999999999</v>
      </c>
      <c r="K361" s="24" t="s">
        <v>1531</v>
      </c>
      <c r="L361" s="25">
        <v>0.6875</v>
      </c>
      <c r="M361" s="22" t="s">
        <v>1469</v>
      </c>
      <c r="N361" s="26">
        <v>159.08000000000001</v>
      </c>
      <c r="O361" s="27">
        <f t="shared" si="5"/>
        <v>4.761904762E-2</v>
      </c>
      <c r="P361" s="23">
        <v>7.9539999999999997</v>
      </c>
      <c r="Q361" s="28">
        <v>6.2</v>
      </c>
      <c r="Y361" s="5" t="s">
        <v>1486</v>
      </c>
      <c r="Z361" s="5">
        <v>9</v>
      </c>
    </row>
    <row r="362" spans="1:26" x14ac:dyDescent="0.35">
      <c r="A362" s="21" t="s">
        <v>1887</v>
      </c>
      <c r="B362" s="22" t="s">
        <v>1466</v>
      </c>
      <c r="C362" s="22" t="s">
        <v>1467</v>
      </c>
      <c r="D362" s="22" t="s">
        <v>1461</v>
      </c>
      <c r="E362" s="22" t="s">
        <v>19</v>
      </c>
      <c r="F362" s="22" t="s">
        <v>1482</v>
      </c>
      <c r="G362" s="22">
        <v>49.01</v>
      </c>
      <c r="H362" s="22">
        <v>10</v>
      </c>
      <c r="I362" s="22">
        <v>24.504999999999999</v>
      </c>
      <c r="J362" s="66">
        <v>514.60500000000002</v>
      </c>
      <c r="K362" s="24" t="s">
        <v>1537</v>
      </c>
      <c r="L362" s="25">
        <v>0.44722222222222224</v>
      </c>
      <c r="M362" s="22" t="s">
        <v>1477</v>
      </c>
      <c r="N362" s="26">
        <v>490.1</v>
      </c>
      <c r="O362" s="27">
        <f t="shared" si="5"/>
        <v>4.761904762E-2</v>
      </c>
      <c r="P362" s="23">
        <v>24.504999999999999</v>
      </c>
      <c r="Q362" s="28">
        <v>4.2</v>
      </c>
      <c r="Y362" s="5" t="s">
        <v>1462</v>
      </c>
      <c r="Z362" s="5">
        <v>9</v>
      </c>
    </row>
    <row r="363" spans="1:26" x14ac:dyDescent="0.35">
      <c r="A363" s="21" t="s">
        <v>1888</v>
      </c>
      <c r="B363" s="22" t="s">
        <v>1466</v>
      </c>
      <c r="C363" s="22" t="s">
        <v>1467</v>
      </c>
      <c r="D363" s="22" t="s">
        <v>1479</v>
      </c>
      <c r="E363" s="22" t="s">
        <v>19</v>
      </c>
      <c r="F363" s="22" t="s">
        <v>1486</v>
      </c>
      <c r="G363" s="22">
        <v>29.15</v>
      </c>
      <c r="H363" s="22">
        <v>3</v>
      </c>
      <c r="I363" s="22">
        <v>4.3724999999999996</v>
      </c>
      <c r="J363" s="23">
        <v>91.822500000000005</v>
      </c>
      <c r="K363" s="24" t="s">
        <v>1531</v>
      </c>
      <c r="L363" s="25">
        <v>0.85347222222222219</v>
      </c>
      <c r="M363" s="22" t="s">
        <v>1477</v>
      </c>
      <c r="N363" s="26">
        <v>87.45</v>
      </c>
      <c r="O363" s="27">
        <f t="shared" si="5"/>
        <v>4.761904762E-2</v>
      </c>
      <c r="P363" s="23">
        <v>4.3724999999999996</v>
      </c>
      <c r="Q363" s="28">
        <v>7.3</v>
      </c>
      <c r="Y363" s="5" t="s">
        <v>1482</v>
      </c>
      <c r="Z363" s="5">
        <v>4</v>
      </c>
    </row>
    <row r="364" spans="1:26" x14ac:dyDescent="0.35">
      <c r="A364" s="21" t="s">
        <v>1889</v>
      </c>
      <c r="B364" s="22" t="s">
        <v>1475</v>
      </c>
      <c r="C364" s="22" t="s">
        <v>1476</v>
      </c>
      <c r="D364" s="22" t="s">
        <v>1461</v>
      </c>
      <c r="E364" s="22" t="s">
        <v>19</v>
      </c>
      <c r="F364" s="22" t="s">
        <v>1462</v>
      </c>
      <c r="G364" s="22">
        <v>56.13</v>
      </c>
      <c r="H364" s="22">
        <v>4</v>
      </c>
      <c r="I364" s="22">
        <v>11.226000000000001</v>
      </c>
      <c r="J364" s="23">
        <v>235.74600000000001</v>
      </c>
      <c r="K364" s="24" t="s">
        <v>1528</v>
      </c>
      <c r="L364" s="25">
        <v>0.48819444444444443</v>
      </c>
      <c r="M364" s="22" t="s">
        <v>1469</v>
      </c>
      <c r="N364" s="26">
        <v>224.52</v>
      </c>
      <c r="O364" s="27">
        <f t="shared" si="5"/>
        <v>4.761904762E-2</v>
      </c>
      <c r="P364" s="23">
        <v>11.226000000000001</v>
      </c>
      <c r="Q364" s="28">
        <v>8.6</v>
      </c>
      <c r="Y364" s="5" t="s">
        <v>1473</v>
      </c>
      <c r="Z364" s="5">
        <v>5</v>
      </c>
    </row>
    <row r="365" spans="1:26" x14ac:dyDescent="0.35">
      <c r="A365" s="21" t="s">
        <v>1890</v>
      </c>
      <c r="B365" s="22" t="s">
        <v>1459</v>
      </c>
      <c r="C365" s="22" t="s">
        <v>1460</v>
      </c>
      <c r="D365" s="22" t="s">
        <v>1461</v>
      </c>
      <c r="E365" s="22" t="s">
        <v>19</v>
      </c>
      <c r="F365" s="22" t="s">
        <v>1482</v>
      </c>
      <c r="G365" s="22">
        <v>93.12</v>
      </c>
      <c r="H365" s="22">
        <v>8</v>
      </c>
      <c r="I365" s="22">
        <v>37.247999999999998</v>
      </c>
      <c r="J365" s="66">
        <v>782.20799999999997</v>
      </c>
      <c r="K365" s="24">
        <v>43648</v>
      </c>
      <c r="L365" s="25">
        <v>0.42291666666666666</v>
      </c>
      <c r="M365" s="22" t="s">
        <v>1464</v>
      </c>
      <c r="N365" s="26">
        <v>744.96</v>
      </c>
      <c r="O365" s="27">
        <f t="shared" si="5"/>
        <v>4.761904762E-2</v>
      </c>
      <c r="P365" s="23">
        <v>37.247999999999998</v>
      </c>
      <c r="Q365" s="28">
        <v>6.8</v>
      </c>
      <c r="Y365" s="5" t="s">
        <v>1486</v>
      </c>
      <c r="Z365" s="5">
        <v>7</v>
      </c>
    </row>
    <row r="366" spans="1:26" x14ac:dyDescent="0.35">
      <c r="A366" s="21" t="s">
        <v>1891</v>
      </c>
      <c r="B366" s="22" t="s">
        <v>1459</v>
      </c>
      <c r="C366" s="22" t="s">
        <v>1460</v>
      </c>
      <c r="D366" s="22" t="s">
        <v>1479</v>
      </c>
      <c r="E366" s="22" t="s">
        <v>27</v>
      </c>
      <c r="F366" s="22" t="s">
        <v>1468</v>
      </c>
      <c r="G366" s="22">
        <v>51.34</v>
      </c>
      <c r="H366" s="22">
        <v>8</v>
      </c>
      <c r="I366" s="22">
        <v>20.536000000000001</v>
      </c>
      <c r="J366" s="23">
        <v>431.25599999999997</v>
      </c>
      <c r="K366" s="24" t="s">
        <v>1677</v>
      </c>
      <c r="L366" s="25">
        <v>0.41666666666666669</v>
      </c>
      <c r="M366" s="22" t="s">
        <v>1469</v>
      </c>
      <c r="N366" s="26">
        <v>410.72</v>
      </c>
      <c r="O366" s="27">
        <f t="shared" si="5"/>
        <v>4.761904762E-2</v>
      </c>
      <c r="P366" s="23">
        <v>20.536000000000001</v>
      </c>
      <c r="Q366" s="28">
        <v>7.6</v>
      </c>
      <c r="Y366" s="5" t="s">
        <v>1473</v>
      </c>
      <c r="Z366" s="5">
        <v>2</v>
      </c>
    </row>
    <row r="367" spans="1:26" x14ac:dyDescent="0.35">
      <c r="A367" s="21" t="s">
        <v>1892</v>
      </c>
      <c r="B367" s="22" t="s">
        <v>1459</v>
      </c>
      <c r="C367" s="22" t="s">
        <v>1460</v>
      </c>
      <c r="D367" s="22" t="s">
        <v>1479</v>
      </c>
      <c r="E367" s="22" t="s">
        <v>19</v>
      </c>
      <c r="F367" s="22" t="s">
        <v>1486</v>
      </c>
      <c r="G367" s="22">
        <v>99.6</v>
      </c>
      <c r="H367" s="22">
        <v>3</v>
      </c>
      <c r="I367" s="22">
        <v>14.94</v>
      </c>
      <c r="J367" s="23">
        <v>313.74</v>
      </c>
      <c r="K367" s="24" t="s">
        <v>1506</v>
      </c>
      <c r="L367" s="25">
        <v>0.78125</v>
      </c>
      <c r="M367" s="22" t="s">
        <v>1464</v>
      </c>
      <c r="N367" s="26">
        <v>298.8</v>
      </c>
      <c r="O367" s="27">
        <f t="shared" si="5"/>
        <v>4.761904762E-2</v>
      </c>
      <c r="P367" s="23">
        <v>14.94</v>
      </c>
      <c r="Q367" s="28">
        <v>5.8</v>
      </c>
      <c r="Y367" s="5" t="s">
        <v>1482</v>
      </c>
      <c r="Z367" s="5">
        <v>4</v>
      </c>
    </row>
    <row r="368" spans="1:26" x14ac:dyDescent="0.35">
      <c r="A368" s="21" t="s">
        <v>1893</v>
      </c>
      <c r="B368" s="22" t="s">
        <v>1475</v>
      </c>
      <c r="C368" s="22" t="s">
        <v>1476</v>
      </c>
      <c r="D368" s="22" t="s">
        <v>1461</v>
      </c>
      <c r="E368" s="22" t="s">
        <v>19</v>
      </c>
      <c r="F368" s="22" t="s">
        <v>1462</v>
      </c>
      <c r="G368" s="22">
        <v>35.49</v>
      </c>
      <c r="H368" s="22">
        <v>6</v>
      </c>
      <c r="I368" s="22">
        <v>10.647</v>
      </c>
      <c r="J368" s="23">
        <v>223.58699999999999</v>
      </c>
      <c r="K368" s="24">
        <v>43498</v>
      </c>
      <c r="L368" s="25">
        <v>0.52777777777777779</v>
      </c>
      <c r="M368" s="22" t="s">
        <v>1464</v>
      </c>
      <c r="N368" s="26">
        <v>212.94</v>
      </c>
      <c r="O368" s="27">
        <f t="shared" si="5"/>
        <v>4.761904762E-2</v>
      </c>
      <c r="P368" s="23">
        <v>10.647</v>
      </c>
      <c r="Q368" s="28">
        <v>4.0999999999999996</v>
      </c>
      <c r="Y368" s="5" t="s">
        <v>1473</v>
      </c>
      <c r="Z368" s="5">
        <v>10</v>
      </c>
    </row>
    <row r="369" spans="1:26" x14ac:dyDescent="0.35">
      <c r="A369" s="21" t="s">
        <v>1894</v>
      </c>
      <c r="B369" s="22" t="s">
        <v>1475</v>
      </c>
      <c r="C369" s="22" t="s">
        <v>1476</v>
      </c>
      <c r="D369" s="22" t="s">
        <v>1479</v>
      </c>
      <c r="E369" s="22" t="s">
        <v>27</v>
      </c>
      <c r="F369" s="22" t="s">
        <v>1501</v>
      </c>
      <c r="G369" s="22">
        <v>42.85</v>
      </c>
      <c r="H369" s="22">
        <v>1</v>
      </c>
      <c r="I369" s="22">
        <v>2.1425000000000001</v>
      </c>
      <c r="J369" s="23">
        <v>44.9925</v>
      </c>
      <c r="K369" s="24" t="s">
        <v>1492</v>
      </c>
      <c r="L369" s="25">
        <v>0.65</v>
      </c>
      <c r="M369" s="22" t="s">
        <v>1477</v>
      </c>
      <c r="N369" s="26">
        <v>42.85</v>
      </c>
      <c r="O369" s="27">
        <f t="shared" si="5"/>
        <v>4.761904762E-2</v>
      </c>
      <c r="P369" s="23">
        <v>2.1425000000000001</v>
      </c>
      <c r="Q369" s="28">
        <v>9.3000000000000007</v>
      </c>
      <c r="Y369" s="5" t="s">
        <v>1473</v>
      </c>
      <c r="Z369" s="5">
        <v>5</v>
      </c>
    </row>
    <row r="370" spans="1:26" x14ac:dyDescent="0.35">
      <c r="A370" s="21" t="s">
        <v>1895</v>
      </c>
      <c r="B370" s="22" t="s">
        <v>1459</v>
      </c>
      <c r="C370" s="22" t="s">
        <v>1460</v>
      </c>
      <c r="D370" s="22" t="s">
        <v>1461</v>
      </c>
      <c r="E370" s="22" t="s">
        <v>19</v>
      </c>
      <c r="F370" s="22" t="s">
        <v>1468</v>
      </c>
      <c r="G370" s="22">
        <v>94.67</v>
      </c>
      <c r="H370" s="22">
        <v>4</v>
      </c>
      <c r="I370" s="22">
        <v>18.934000000000001</v>
      </c>
      <c r="J370" s="23">
        <v>397.61399999999998</v>
      </c>
      <c r="K370" s="24">
        <v>43772</v>
      </c>
      <c r="L370" s="25">
        <v>0.50277777777777777</v>
      </c>
      <c r="M370" s="22" t="s">
        <v>1464</v>
      </c>
      <c r="N370" s="26">
        <v>378.68</v>
      </c>
      <c r="O370" s="27">
        <f t="shared" si="5"/>
        <v>4.761904762E-2</v>
      </c>
      <c r="P370" s="23">
        <v>18.934000000000001</v>
      </c>
      <c r="Q370" s="28">
        <v>6.8</v>
      </c>
      <c r="Y370" s="5" t="s">
        <v>1486</v>
      </c>
      <c r="Z370" s="5">
        <v>2</v>
      </c>
    </row>
    <row r="371" spans="1:26" x14ac:dyDescent="0.35">
      <c r="A371" s="21" t="s">
        <v>1896</v>
      </c>
      <c r="B371" s="22" t="s">
        <v>1466</v>
      </c>
      <c r="C371" s="22" t="s">
        <v>1467</v>
      </c>
      <c r="D371" s="22" t="s">
        <v>1461</v>
      </c>
      <c r="E371" s="22" t="s">
        <v>27</v>
      </c>
      <c r="F371" s="22" t="s">
        <v>1482</v>
      </c>
      <c r="G371" s="22">
        <v>68.97</v>
      </c>
      <c r="H371" s="22">
        <v>3</v>
      </c>
      <c r="I371" s="22">
        <v>10.345499999999999</v>
      </c>
      <c r="J371" s="23">
        <v>217.25550000000001</v>
      </c>
      <c r="K371" s="24" t="s">
        <v>1471</v>
      </c>
      <c r="L371" s="25">
        <v>0.47638888888888886</v>
      </c>
      <c r="M371" s="22" t="s">
        <v>1469</v>
      </c>
      <c r="N371" s="26">
        <v>206.91</v>
      </c>
      <c r="O371" s="27">
        <f t="shared" si="5"/>
        <v>4.761904762E-2</v>
      </c>
      <c r="P371" s="23">
        <v>10.345499999999999</v>
      </c>
      <c r="Q371" s="28">
        <v>8.6999999999999993</v>
      </c>
      <c r="Y371" s="5" t="s">
        <v>1482</v>
      </c>
      <c r="Z371" s="5">
        <v>10</v>
      </c>
    </row>
    <row r="372" spans="1:26" x14ac:dyDescent="0.35">
      <c r="A372" s="21" t="s">
        <v>1897</v>
      </c>
      <c r="B372" s="22" t="s">
        <v>1466</v>
      </c>
      <c r="C372" s="22" t="s">
        <v>1467</v>
      </c>
      <c r="D372" s="22" t="s">
        <v>1479</v>
      </c>
      <c r="E372" s="22" t="s">
        <v>19</v>
      </c>
      <c r="F372" s="22" t="s">
        <v>1462</v>
      </c>
      <c r="G372" s="22">
        <v>26.26</v>
      </c>
      <c r="H372" s="22">
        <v>3</v>
      </c>
      <c r="I372" s="22">
        <v>3.9390000000000001</v>
      </c>
      <c r="J372" s="23">
        <v>82.718999999999994</v>
      </c>
      <c r="K372" s="24">
        <v>43499</v>
      </c>
      <c r="L372" s="25">
        <v>0.52500000000000002</v>
      </c>
      <c r="M372" s="22" t="s">
        <v>1469</v>
      </c>
      <c r="N372" s="26">
        <v>78.78</v>
      </c>
      <c r="O372" s="27">
        <f t="shared" si="5"/>
        <v>4.761904762E-2</v>
      </c>
      <c r="P372" s="23">
        <v>3.9390000000000001</v>
      </c>
      <c r="Q372" s="28">
        <v>6.3</v>
      </c>
      <c r="Y372" s="5" t="s">
        <v>1486</v>
      </c>
      <c r="Z372" s="5">
        <v>3</v>
      </c>
    </row>
    <row r="373" spans="1:26" x14ac:dyDescent="0.35">
      <c r="A373" s="21" t="s">
        <v>1898</v>
      </c>
      <c r="B373" s="22" t="s">
        <v>1475</v>
      </c>
      <c r="C373" s="22" t="s">
        <v>1476</v>
      </c>
      <c r="D373" s="22" t="s">
        <v>1479</v>
      </c>
      <c r="E373" s="22" t="s">
        <v>19</v>
      </c>
      <c r="F373" s="22" t="s">
        <v>1482</v>
      </c>
      <c r="G373" s="22">
        <v>35.79</v>
      </c>
      <c r="H373" s="22">
        <v>9</v>
      </c>
      <c r="I373" s="22">
        <v>16.105499999999999</v>
      </c>
      <c r="J373" s="23">
        <v>338.21550000000002</v>
      </c>
      <c r="K373" s="24">
        <v>43741</v>
      </c>
      <c r="L373" s="25">
        <v>0.62916666666666665</v>
      </c>
      <c r="M373" s="22" t="s">
        <v>1477</v>
      </c>
      <c r="N373" s="26">
        <v>322.11</v>
      </c>
      <c r="O373" s="27">
        <f t="shared" si="5"/>
        <v>4.761904762E-2</v>
      </c>
      <c r="P373" s="23">
        <v>16.105499999999999</v>
      </c>
      <c r="Q373" s="28">
        <v>5.0999999999999996</v>
      </c>
      <c r="Y373" s="5" t="s">
        <v>1462</v>
      </c>
      <c r="Z373" s="5">
        <v>4</v>
      </c>
    </row>
    <row r="374" spans="1:26" x14ac:dyDescent="0.35">
      <c r="A374" s="21" t="s">
        <v>1899</v>
      </c>
      <c r="B374" s="22" t="s">
        <v>1466</v>
      </c>
      <c r="C374" s="22" t="s">
        <v>1467</v>
      </c>
      <c r="D374" s="22" t="s">
        <v>1461</v>
      </c>
      <c r="E374" s="22" t="s">
        <v>19</v>
      </c>
      <c r="F374" s="22" t="s">
        <v>1482</v>
      </c>
      <c r="G374" s="22">
        <v>16.37</v>
      </c>
      <c r="H374" s="22">
        <v>6</v>
      </c>
      <c r="I374" s="22">
        <v>4.9109999999999996</v>
      </c>
      <c r="J374" s="23">
        <v>103.131</v>
      </c>
      <c r="K374" s="24">
        <v>43679</v>
      </c>
      <c r="L374" s="25">
        <v>0.45694444444444443</v>
      </c>
      <c r="M374" s="22" t="s">
        <v>1464</v>
      </c>
      <c r="N374" s="26">
        <v>98.22</v>
      </c>
      <c r="O374" s="27">
        <f t="shared" si="5"/>
        <v>4.761904762E-2</v>
      </c>
      <c r="P374" s="23">
        <v>4.9109999999999996</v>
      </c>
      <c r="Q374" s="28">
        <v>7</v>
      </c>
      <c r="Y374" s="5" t="s">
        <v>1482</v>
      </c>
      <c r="Z374" s="5">
        <v>8</v>
      </c>
    </row>
    <row r="375" spans="1:26" x14ac:dyDescent="0.35">
      <c r="A375" s="21" t="s">
        <v>1900</v>
      </c>
      <c r="B375" s="22" t="s">
        <v>1475</v>
      </c>
      <c r="C375" s="22" t="s">
        <v>1476</v>
      </c>
      <c r="D375" s="22" t="s">
        <v>1479</v>
      </c>
      <c r="E375" s="22" t="s">
        <v>19</v>
      </c>
      <c r="F375" s="22" t="s">
        <v>1482</v>
      </c>
      <c r="G375" s="22">
        <v>12.73</v>
      </c>
      <c r="H375" s="22">
        <v>2</v>
      </c>
      <c r="I375" s="22">
        <v>1.2729999999999999</v>
      </c>
      <c r="J375" s="23">
        <v>26.733000000000001</v>
      </c>
      <c r="K375" s="24" t="s">
        <v>1471</v>
      </c>
      <c r="L375" s="25">
        <v>0.50694444444444442</v>
      </c>
      <c r="M375" s="22" t="s">
        <v>1477</v>
      </c>
      <c r="N375" s="26">
        <v>25.46</v>
      </c>
      <c r="O375" s="27">
        <f t="shared" si="5"/>
        <v>4.761904762E-2</v>
      </c>
      <c r="P375" s="23">
        <v>1.2729999999999999</v>
      </c>
      <c r="Q375" s="28">
        <v>5.2</v>
      </c>
      <c r="Y375" s="5" t="s">
        <v>1468</v>
      </c>
      <c r="Z375" s="5">
        <v>8</v>
      </c>
    </row>
    <row r="376" spans="1:26" x14ac:dyDescent="0.35">
      <c r="A376" s="21" t="s">
        <v>1901</v>
      </c>
      <c r="B376" s="22" t="s">
        <v>1475</v>
      </c>
      <c r="C376" s="22" t="s">
        <v>1476</v>
      </c>
      <c r="D376" s="22" t="s">
        <v>1461</v>
      </c>
      <c r="E376" s="22" t="s">
        <v>19</v>
      </c>
      <c r="F376" s="22" t="s">
        <v>1501</v>
      </c>
      <c r="G376" s="22">
        <v>83.14</v>
      </c>
      <c r="H376" s="22">
        <v>7</v>
      </c>
      <c r="I376" s="22">
        <v>29.099</v>
      </c>
      <c r="J376" s="66">
        <v>611.07899999999995</v>
      </c>
      <c r="K376" s="24">
        <v>43739</v>
      </c>
      <c r="L376" s="25">
        <v>0.43819444444444444</v>
      </c>
      <c r="M376" s="22" t="s">
        <v>1477</v>
      </c>
      <c r="N376" s="26">
        <v>581.98</v>
      </c>
      <c r="O376" s="27">
        <f t="shared" si="5"/>
        <v>4.761904762E-2</v>
      </c>
      <c r="P376" s="23">
        <v>29.099</v>
      </c>
      <c r="Q376" s="28">
        <v>6.6</v>
      </c>
      <c r="Y376" s="5" t="s">
        <v>1486</v>
      </c>
      <c r="Z376" s="5">
        <v>3</v>
      </c>
    </row>
    <row r="377" spans="1:26" x14ac:dyDescent="0.35">
      <c r="A377" s="21" t="s">
        <v>1902</v>
      </c>
      <c r="B377" s="22" t="s">
        <v>1475</v>
      </c>
      <c r="C377" s="22" t="s">
        <v>1476</v>
      </c>
      <c r="D377" s="22" t="s">
        <v>1479</v>
      </c>
      <c r="E377" s="22" t="s">
        <v>19</v>
      </c>
      <c r="F377" s="22" t="s">
        <v>1501</v>
      </c>
      <c r="G377" s="22">
        <v>35.22</v>
      </c>
      <c r="H377" s="22">
        <v>6</v>
      </c>
      <c r="I377" s="22">
        <v>10.566000000000001</v>
      </c>
      <c r="J377" s="23">
        <v>221.886</v>
      </c>
      <c r="K377" s="24" t="s">
        <v>1492</v>
      </c>
      <c r="L377" s="25">
        <v>0.5756944444444444</v>
      </c>
      <c r="M377" s="22" t="s">
        <v>1469</v>
      </c>
      <c r="N377" s="26">
        <v>211.32</v>
      </c>
      <c r="O377" s="27">
        <f t="shared" si="5"/>
        <v>4.761904762E-2</v>
      </c>
      <c r="P377" s="23">
        <v>10.566000000000001</v>
      </c>
      <c r="Q377" s="28">
        <v>6.5</v>
      </c>
      <c r="Y377" s="5" t="s">
        <v>1462</v>
      </c>
      <c r="Z377" s="5">
        <v>6</v>
      </c>
    </row>
    <row r="378" spans="1:26" x14ac:dyDescent="0.35">
      <c r="A378" s="21" t="s">
        <v>1903</v>
      </c>
      <c r="B378" s="22" t="s">
        <v>1466</v>
      </c>
      <c r="C378" s="22" t="s">
        <v>1467</v>
      </c>
      <c r="D378" s="22" t="s">
        <v>1461</v>
      </c>
      <c r="E378" s="22" t="s">
        <v>19</v>
      </c>
      <c r="F378" s="22" t="s">
        <v>1462</v>
      </c>
      <c r="G378" s="22">
        <v>13.78</v>
      </c>
      <c r="H378" s="22">
        <v>4</v>
      </c>
      <c r="I378" s="22">
        <v>2.7559999999999998</v>
      </c>
      <c r="J378" s="23">
        <v>57.875999999999998</v>
      </c>
      <c r="K378" s="24">
        <v>43739</v>
      </c>
      <c r="L378" s="25">
        <v>0.46527777777777779</v>
      </c>
      <c r="M378" s="22" t="s">
        <v>1469</v>
      </c>
      <c r="N378" s="26">
        <v>55.12</v>
      </c>
      <c r="O378" s="27">
        <f t="shared" si="5"/>
        <v>4.761904762E-2</v>
      </c>
      <c r="P378" s="23">
        <v>2.7559999999999998</v>
      </c>
      <c r="Q378" s="28">
        <v>9</v>
      </c>
      <c r="Y378" s="5" t="s">
        <v>1501</v>
      </c>
      <c r="Z378" s="5">
        <v>1</v>
      </c>
    </row>
    <row r="379" spans="1:26" x14ac:dyDescent="0.35">
      <c r="A379" s="21" t="s">
        <v>1904</v>
      </c>
      <c r="B379" s="22" t="s">
        <v>1466</v>
      </c>
      <c r="C379" s="22" t="s">
        <v>1467</v>
      </c>
      <c r="D379" s="22" t="s">
        <v>1479</v>
      </c>
      <c r="E379" s="22" t="s">
        <v>27</v>
      </c>
      <c r="F379" s="22" t="s">
        <v>1501</v>
      </c>
      <c r="G379" s="22">
        <v>88.31</v>
      </c>
      <c r="H379" s="22">
        <v>1</v>
      </c>
      <c r="I379" s="22">
        <v>4.4154999999999998</v>
      </c>
      <c r="J379" s="23">
        <v>92.725499999999997</v>
      </c>
      <c r="K379" s="24" t="s">
        <v>1544</v>
      </c>
      <c r="L379" s="25">
        <v>0.73472222222222228</v>
      </c>
      <c r="M379" s="22" t="s">
        <v>1477</v>
      </c>
      <c r="N379" s="26">
        <v>88.31</v>
      </c>
      <c r="O379" s="27">
        <f t="shared" si="5"/>
        <v>4.761904762E-2</v>
      </c>
      <c r="P379" s="23">
        <v>4.4154999999999998</v>
      </c>
      <c r="Q379" s="28">
        <v>5.2</v>
      </c>
      <c r="Y379" s="5" t="s">
        <v>1468</v>
      </c>
      <c r="Z379" s="5">
        <v>4</v>
      </c>
    </row>
    <row r="380" spans="1:26" x14ac:dyDescent="0.35">
      <c r="A380" s="21" t="s">
        <v>1905</v>
      </c>
      <c r="B380" s="22" t="s">
        <v>1459</v>
      </c>
      <c r="C380" s="22" t="s">
        <v>1460</v>
      </c>
      <c r="D380" s="22" t="s">
        <v>1479</v>
      </c>
      <c r="E380" s="22" t="s">
        <v>19</v>
      </c>
      <c r="F380" s="22" t="s">
        <v>1473</v>
      </c>
      <c r="G380" s="22">
        <v>39.619999999999997</v>
      </c>
      <c r="H380" s="22">
        <v>9</v>
      </c>
      <c r="I380" s="22">
        <v>17.829000000000001</v>
      </c>
      <c r="J380" s="23">
        <v>374.40899999999999</v>
      </c>
      <c r="K380" s="24" t="s">
        <v>1511</v>
      </c>
      <c r="L380" s="25">
        <v>0.74583333333333335</v>
      </c>
      <c r="M380" s="22" t="s">
        <v>1477</v>
      </c>
      <c r="N380" s="26">
        <v>356.58</v>
      </c>
      <c r="O380" s="27">
        <f t="shared" si="5"/>
        <v>4.761904762E-2</v>
      </c>
      <c r="P380" s="23">
        <v>17.829000000000001</v>
      </c>
      <c r="Q380" s="28">
        <v>6.8</v>
      </c>
      <c r="Y380" s="5" t="s">
        <v>1482</v>
      </c>
      <c r="Z380" s="5">
        <v>3</v>
      </c>
    </row>
    <row r="381" spans="1:26" x14ac:dyDescent="0.35">
      <c r="A381" s="21" t="s">
        <v>1906</v>
      </c>
      <c r="B381" s="22" t="s">
        <v>1466</v>
      </c>
      <c r="C381" s="22" t="s">
        <v>1467</v>
      </c>
      <c r="D381" s="22" t="s">
        <v>1461</v>
      </c>
      <c r="E381" s="22" t="s">
        <v>19</v>
      </c>
      <c r="F381" s="22" t="s">
        <v>1462</v>
      </c>
      <c r="G381" s="22">
        <v>88.25</v>
      </c>
      <c r="H381" s="22">
        <v>9</v>
      </c>
      <c r="I381" s="22">
        <v>39.712499999999999</v>
      </c>
      <c r="J381" s="66">
        <v>833.96249999999998</v>
      </c>
      <c r="K381" s="24" t="s">
        <v>1544</v>
      </c>
      <c r="L381" s="25">
        <v>0.86875000000000002</v>
      </c>
      <c r="M381" s="22" t="s">
        <v>1477</v>
      </c>
      <c r="N381" s="26">
        <v>794.25</v>
      </c>
      <c r="O381" s="27">
        <f t="shared" si="5"/>
        <v>4.761904762E-2</v>
      </c>
      <c r="P381" s="23">
        <v>39.712499999999999</v>
      </c>
      <c r="Q381" s="28">
        <v>7.6</v>
      </c>
      <c r="Y381" s="5" t="s">
        <v>1462</v>
      </c>
      <c r="Z381" s="5">
        <v>3</v>
      </c>
    </row>
    <row r="382" spans="1:26" x14ac:dyDescent="0.35">
      <c r="A382" s="21" t="s">
        <v>1907</v>
      </c>
      <c r="B382" s="22" t="s">
        <v>1466</v>
      </c>
      <c r="C382" s="22" t="s">
        <v>1467</v>
      </c>
      <c r="D382" s="22" t="s">
        <v>1461</v>
      </c>
      <c r="E382" s="22" t="s">
        <v>27</v>
      </c>
      <c r="F382" s="22" t="s">
        <v>1501</v>
      </c>
      <c r="G382" s="22">
        <v>25.31</v>
      </c>
      <c r="H382" s="22">
        <v>2</v>
      </c>
      <c r="I382" s="22">
        <v>2.5310000000000001</v>
      </c>
      <c r="J382" s="23">
        <v>53.151000000000003</v>
      </c>
      <c r="K382" s="24">
        <v>43499</v>
      </c>
      <c r="L382" s="25">
        <v>0.80972222222222223</v>
      </c>
      <c r="M382" s="22" t="s">
        <v>1469</v>
      </c>
      <c r="N382" s="26">
        <v>50.62</v>
      </c>
      <c r="O382" s="27">
        <f t="shared" si="5"/>
        <v>4.761904762E-2</v>
      </c>
      <c r="P382" s="23">
        <v>2.5310000000000001</v>
      </c>
      <c r="Q382" s="28">
        <v>7.2</v>
      </c>
      <c r="Y382" s="5" t="s">
        <v>1482</v>
      </c>
      <c r="Z382" s="5">
        <v>9</v>
      </c>
    </row>
    <row r="383" spans="1:26" x14ac:dyDescent="0.35">
      <c r="A383" s="21" t="s">
        <v>1908</v>
      </c>
      <c r="B383" s="22" t="s">
        <v>1466</v>
      </c>
      <c r="C383" s="22" t="s">
        <v>1467</v>
      </c>
      <c r="D383" s="22" t="s">
        <v>1461</v>
      </c>
      <c r="E383" s="22" t="s">
        <v>27</v>
      </c>
      <c r="F383" s="22" t="s">
        <v>1482</v>
      </c>
      <c r="G383" s="22">
        <v>99.92</v>
      </c>
      <c r="H383" s="22">
        <v>6</v>
      </c>
      <c r="I383" s="22">
        <v>29.975999999999999</v>
      </c>
      <c r="J383" s="66">
        <v>629.49599999999998</v>
      </c>
      <c r="K383" s="24" t="s">
        <v>1550</v>
      </c>
      <c r="L383" s="25">
        <v>0.56458333333333333</v>
      </c>
      <c r="M383" s="22" t="s">
        <v>1469</v>
      </c>
      <c r="N383" s="26">
        <v>599.52</v>
      </c>
      <c r="O383" s="27">
        <f t="shared" si="5"/>
        <v>4.761904762E-2</v>
      </c>
      <c r="P383" s="23">
        <v>29.975999999999999</v>
      </c>
      <c r="Q383" s="28">
        <v>7.1</v>
      </c>
      <c r="Y383" s="5" t="s">
        <v>1482</v>
      </c>
      <c r="Z383" s="5">
        <v>6</v>
      </c>
    </row>
    <row r="384" spans="1:26" x14ac:dyDescent="0.35">
      <c r="A384" s="21" t="s">
        <v>1909</v>
      </c>
      <c r="B384" s="22" t="s">
        <v>1475</v>
      </c>
      <c r="C384" s="22" t="s">
        <v>1476</v>
      </c>
      <c r="D384" s="22" t="s">
        <v>1479</v>
      </c>
      <c r="E384" s="22" t="s">
        <v>19</v>
      </c>
      <c r="F384" s="22" t="s">
        <v>1468</v>
      </c>
      <c r="G384" s="22">
        <v>83.35</v>
      </c>
      <c r="H384" s="22">
        <v>2</v>
      </c>
      <c r="I384" s="22">
        <v>8.3350000000000009</v>
      </c>
      <c r="J384" s="23">
        <v>175.035</v>
      </c>
      <c r="K384" s="24">
        <v>43498</v>
      </c>
      <c r="L384" s="25">
        <v>0.58680555555555558</v>
      </c>
      <c r="M384" s="22" t="s">
        <v>1477</v>
      </c>
      <c r="N384" s="26">
        <v>166.7</v>
      </c>
      <c r="O384" s="27">
        <f t="shared" si="5"/>
        <v>4.761904762E-2</v>
      </c>
      <c r="P384" s="23">
        <v>8.3350000000000009</v>
      </c>
      <c r="Q384" s="28">
        <v>9.5</v>
      </c>
      <c r="Y384" s="5" t="s">
        <v>1482</v>
      </c>
      <c r="Z384" s="5">
        <v>2</v>
      </c>
    </row>
    <row r="385" spans="1:26" x14ac:dyDescent="0.35">
      <c r="A385" s="21" t="s">
        <v>1910</v>
      </c>
      <c r="B385" s="22" t="s">
        <v>1459</v>
      </c>
      <c r="C385" s="22" t="s">
        <v>1460</v>
      </c>
      <c r="D385" s="22" t="s">
        <v>1461</v>
      </c>
      <c r="E385" s="22" t="s">
        <v>19</v>
      </c>
      <c r="F385" s="22" t="s">
        <v>1486</v>
      </c>
      <c r="G385" s="22">
        <v>74.44</v>
      </c>
      <c r="H385" s="22">
        <v>10</v>
      </c>
      <c r="I385" s="22">
        <v>37.22</v>
      </c>
      <c r="J385" s="66">
        <v>781.62</v>
      </c>
      <c r="K385" s="24" t="s">
        <v>1599</v>
      </c>
      <c r="L385" s="25">
        <v>0.4861111111111111</v>
      </c>
      <c r="M385" s="22" t="s">
        <v>1469</v>
      </c>
      <c r="N385" s="26">
        <v>744.4</v>
      </c>
      <c r="O385" s="27">
        <f t="shared" si="5"/>
        <v>4.761904762E-2</v>
      </c>
      <c r="P385" s="23">
        <v>37.22</v>
      </c>
      <c r="Q385" s="28">
        <v>5.0999999999999996</v>
      </c>
      <c r="Y385" s="5" t="s">
        <v>1501</v>
      </c>
      <c r="Z385" s="5">
        <v>7</v>
      </c>
    </row>
    <row r="386" spans="1:26" x14ac:dyDescent="0.35">
      <c r="A386" s="21" t="s">
        <v>1911</v>
      </c>
      <c r="B386" s="22" t="s">
        <v>1475</v>
      </c>
      <c r="C386" s="22" t="s">
        <v>1476</v>
      </c>
      <c r="D386" s="22" t="s">
        <v>1461</v>
      </c>
      <c r="E386" s="22" t="s">
        <v>27</v>
      </c>
      <c r="F386" s="22" t="s">
        <v>1473</v>
      </c>
      <c r="G386" s="22">
        <v>64.08</v>
      </c>
      <c r="H386" s="22">
        <v>7</v>
      </c>
      <c r="I386" s="22">
        <v>22.428000000000001</v>
      </c>
      <c r="J386" s="23">
        <v>470.988</v>
      </c>
      <c r="K386" s="24" t="s">
        <v>1483</v>
      </c>
      <c r="L386" s="25">
        <v>0.51875000000000004</v>
      </c>
      <c r="M386" s="22" t="s">
        <v>1469</v>
      </c>
      <c r="N386" s="26">
        <v>448.56</v>
      </c>
      <c r="O386" s="27">
        <f t="shared" ref="O386:O449" si="6">4.761904762/100</f>
        <v>4.761904762E-2</v>
      </c>
      <c r="P386" s="23">
        <v>22.428000000000001</v>
      </c>
      <c r="Q386" s="28">
        <v>7.6</v>
      </c>
      <c r="Y386" s="5" t="s">
        <v>1501</v>
      </c>
      <c r="Z386" s="5">
        <v>6</v>
      </c>
    </row>
    <row r="387" spans="1:26" x14ac:dyDescent="0.35">
      <c r="A387" s="21" t="s">
        <v>1912</v>
      </c>
      <c r="B387" s="22" t="s">
        <v>1466</v>
      </c>
      <c r="C387" s="22" t="s">
        <v>1467</v>
      </c>
      <c r="D387" s="22" t="s">
        <v>1461</v>
      </c>
      <c r="E387" s="22" t="s">
        <v>19</v>
      </c>
      <c r="F387" s="22" t="s">
        <v>1482</v>
      </c>
      <c r="G387" s="22">
        <v>63.15</v>
      </c>
      <c r="H387" s="22">
        <v>6</v>
      </c>
      <c r="I387" s="22">
        <v>18.945</v>
      </c>
      <c r="J387" s="23">
        <v>397.84500000000003</v>
      </c>
      <c r="K387" s="24">
        <v>43525</v>
      </c>
      <c r="L387" s="25">
        <v>0.85</v>
      </c>
      <c r="M387" s="22" t="s">
        <v>1469</v>
      </c>
      <c r="N387" s="26">
        <v>378.9</v>
      </c>
      <c r="O387" s="27">
        <f t="shared" si="6"/>
        <v>4.761904762E-2</v>
      </c>
      <c r="P387" s="23">
        <v>18.945</v>
      </c>
      <c r="Q387" s="28">
        <v>9.8000000000000007</v>
      </c>
      <c r="Y387" s="5" t="s">
        <v>1462</v>
      </c>
      <c r="Z387" s="5">
        <v>4</v>
      </c>
    </row>
    <row r="388" spans="1:26" x14ac:dyDescent="0.35">
      <c r="A388" s="21" t="s">
        <v>1913</v>
      </c>
      <c r="B388" s="22" t="s">
        <v>1475</v>
      </c>
      <c r="C388" s="22" t="s">
        <v>1476</v>
      </c>
      <c r="D388" s="22" t="s">
        <v>1479</v>
      </c>
      <c r="E388" s="22" t="s">
        <v>27</v>
      </c>
      <c r="F388" s="22" t="s">
        <v>1482</v>
      </c>
      <c r="G388" s="22">
        <v>85.72</v>
      </c>
      <c r="H388" s="22">
        <v>3</v>
      </c>
      <c r="I388" s="22">
        <v>12.858000000000001</v>
      </c>
      <c r="J388" s="23">
        <v>270.01799999999997</v>
      </c>
      <c r="K388" s="24" t="s">
        <v>1566</v>
      </c>
      <c r="L388" s="25">
        <v>0.87430555555555556</v>
      </c>
      <c r="M388" s="22" t="s">
        <v>1469</v>
      </c>
      <c r="N388" s="26">
        <v>257.16000000000003</v>
      </c>
      <c r="O388" s="27">
        <f t="shared" si="6"/>
        <v>4.761904762E-2</v>
      </c>
      <c r="P388" s="23">
        <v>12.858000000000001</v>
      </c>
      <c r="Q388" s="28">
        <v>5.0999999999999996</v>
      </c>
      <c r="Y388" s="5" t="s">
        <v>1501</v>
      </c>
      <c r="Z388" s="5">
        <v>1</v>
      </c>
    </row>
    <row r="389" spans="1:26" x14ac:dyDescent="0.35">
      <c r="A389" s="21" t="s">
        <v>1914</v>
      </c>
      <c r="B389" s="22" t="s">
        <v>1475</v>
      </c>
      <c r="C389" s="22" t="s">
        <v>1476</v>
      </c>
      <c r="D389" s="22" t="s">
        <v>1461</v>
      </c>
      <c r="E389" s="22" t="s">
        <v>19</v>
      </c>
      <c r="F389" s="22" t="s">
        <v>1473</v>
      </c>
      <c r="G389" s="22">
        <v>78.89</v>
      </c>
      <c r="H389" s="22">
        <v>7</v>
      </c>
      <c r="I389" s="22">
        <v>27.611499999999999</v>
      </c>
      <c r="J389" s="66">
        <v>579.8415</v>
      </c>
      <c r="K389" s="24">
        <v>43586</v>
      </c>
      <c r="L389" s="25">
        <v>0.82499999999999996</v>
      </c>
      <c r="M389" s="22" t="s">
        <v>1469</v>
      </c>
      <c r="N389" s="26">
        <v>552.23</v>
      </c>
      <c r="O389" s="27">
        <f t="shared" si="6"/>
        <v>4.761904762E-2</v>
      </c>
      <c r="P389" s="23">
        <v>27.611499999999999</v>
      </c>
      <c r="Q389" s="28">
        <v>7.5</v>
      </c>
      <c r="Y389" s="5" t="s">
        <v>1473</v>
      </c>
      <c r="Z389" s="5">
        <v>9</v>
      </c>
    </row>
    <row r="390" spans="1:26" x14ac:dyDescent="0.35">
      <c r="A390" s="21" t="s">
        <v>1915</v>
      </c>
      <c r="B390" s="22" t="s">
        <v>1459</v>
      </c>
      <c r="C390" s="22" t="s">
        <v>1460</v>
      </c>
      <c r="D390" s="22" t="s">
        <v>1461</v>
      </c>
      <c r="E390" s="22" t="s">
        <v>19</v>
      </c>
      <c r="F390" s="22" t="s">
        <v>1501</v>
      </c>
      <c r="G390" s="22">
        <v>89.48</v>
      </c>
      <c r="H390" s="22">
        <v>5</v>
      </c>
      <c r="I390" s="22">
        <v>22.37</v>
      </c>
      <c r="J390" s="23">
        <v>469.77</v>
      </c>
      <c r="K390" s="24" t="s">
        <v>1605</v>
      </c>
      <c r="L390" s="25">
        <v>0.42916666666666664</v>
      </c>
      <c r="M390" s="22" t="s">
        <v>1464</v>
      </c>
      <c r="N390" s="26">
        <v>447.4</v>
      </c>
      <c r="O390" s="27">
        <f t="shared" si="6"/>
        <v>4.761904762E-2</v>
      </c>
      <c r="P390" s="23">
        <v>22.37</v>
      </c>
      <c r="Q390" s="28">
        <v>7.4</v>
      </c>
      <c r="Y390" s="5" t="s">
        <v>1462</v>
      </c>
      <c r="Z390" s="5">
        <v>9</v>
      </c>
    </row>
    <row r="391" spans="1:26" x14ac:dyDescent="0.35">
      <c r="A391" s="21" t="s">
        <v>1916</v>
      </c>
      <c r="B391" s="22" t="s">
        <v>1459</v>
      </c>
      <c r="C391" s="22" t="s">
        <v>1460</v>
      </c>
      <c r="D391" s="22" t="s">
        <v>1479</v>
      </c>
      <c r="E391" s="22" t="s">
        <v>19</v>
      </c>
      <c r="F391" s="22" t="s">
        <v>1473</v>
      </c>
      <c r="G391" s="22">
        <v>92.09</v>
      </c>
      <c r="H391" s="22">
        <v>3</v>
      </c>
      <c r="I391" s="22">
        <v>13.813499999999999</v>
      </c>
      <c r="J391" s="23">
        <v>290.08350000000002</v>
      </c>
      <c r="K391" s="24" t="s">
        <v>1546</v>
      </c>
      <c r="L391" s="25">
        <v>0.68541666666666667</v>
      </c>
      <c r="M391" s="22" t="s">
        <v>1464</v>
      </c>
      <c r="N391" s="26">
        <v>276.27</v>
      </c>
      <c r="O391" s="27">
        <f t="shared" si="6"/>
        <v>4.761904762E-2</v>
      </c>
      <c r="P391" s="23">
        <v>13.813499999999999</v>
      </c>
      <c r="Q391" s="28">
        <v>4.2</v>
      </c>
      <c r="Y391" s="5" t="s">
        <v>1501</v>
      </c>
      <c r="Z391" s="5">
        <v>2</v>
      </c>
    </row>
    <row r="392" spans="1:26" x14ac:dyDescent="0.35">
      <c r="A392" s="21" t="s">
        <v>1917</v>
      </c>
      <c r="B392" s="22" t="s">
        <v>1475</v>
      </c>
      <c r="C392" s="22" t="s">
        <v>1476</v>
      </c>
      <c r="D392" s="22" t="s">
        <v>1461</v>
      </c>
      <c r="E392" s="22" t="s">
        <v>19</v>
      </c>
      <c r="F392" s="22" t="s">
        <v>1486</v>
      </c>
      <c r="G392" s="22">
        <v>57.29</v>
      </c>
      <c r="H392" s="22">
        <v>6</v>
      </c>
      <c r="I392" s="22">
        <v>17.187000000000001</v>
      </c>
      <c r="J392" s="23">
        <v>360.92700000000002</v>
      </c>
      <c r="K392" s="24" t="s">
        <v>1856</v>
      </c>
      <c r="L392" s="25">
        <v>0.71111111111111114</v>
      </c>
      <c r="M392" s="22" t="s">
        <v>1469</v>
      </c>
      <c r="N392" s="26">
        <v>343.74</v>
      </c>
      <c r="O392" s="27">
        <f t="shared" si="6"/>
        <v>4.761904762E-2</v>
      </c>
      <c r="P392" s="23">
        <v>17.187000000000001</v>
      </c>
      <c r="Q392" s="28">
        <v>5.9</v>
      </c>
      <c r="Y392" s="5" t="s">
        <v>1482</v>
      </c>
      <c r="Z392" s="5">
        <v>6</v>
      </c>
    </row>
    <row r="393" spans="1:26" x14ac:dyDescent="0.35">
      <c r="A393" s="21" t="s">
        <v>1918</v>
      </c>
      <c r="B393" s="22" t="s">
        <v>1459</v>
      </c>
      <c r="C393" s="22" t="s">
        <v>1460</v>
      </c>
      <c r="D393" s="22" t="s">
        <v>1461</v>
      </c>
      <c r="E393" s="22" t="s">
        <v>27</v>
      </c>
      <c r="F393" s="22" t="s">
        <v>1486</v>
      </c>
      <c r="G393" s="22">
        <v>66.52</v>
      </c>
      <c r="H393" s="22">
        <v>4</v>
      </c>
      <c r="I393" s="22">
        <v>13.304</v>
      </c>
      <c r="J393" s="23">
        <v>279.38400000000001</v>
      </c>
      <c r="K393" s="24">
        <v>43499</v>
      </c>
      <c r="L393" s="25">
        <v>0.75972222222222219</v>
      </c>
      <c r="M393" s="22" t="s">
        <v>1469</v>
      </c>
      <c r="N393" s="26">
        <v>266.08</v>
      </c>
      <c r="O393" s="27">
        <f t="shared" si="6"/>
        <v>4.761904762E-2</v>
      </c>
      <c r="P393" s="23">
        <v>13.304</v>
      </c>
      <c r="Q393" s="28">
        <v>6.9</v>
      </c>
      <c r="Y393" s="5" t="s">
        <v>1468</v>
      </c>
      <c r="Z393" s="5">
        <v>2</v>
      </c>
    </row>
    <row r="394" spans="1:26" x14ac:dyDescent="0.35">
      <c r="A394" s="21" t="s">
        <v>1919</v>
      </c>
      <c r="B394" s="22" t="s">
        <v>1475</v>
      </c>
      <c r="C394" s="22" t="s">
        <v>1476</v>
      </c>
      <c r="D394" s="22" t="s">
        <v>1479</v>
      </c>
      <c r="E394" s="22" t="s">
        <v>27</v>
      </c>
      <c r="F394" s="22" t="s">
        <v>1468</v>
      </c>
      <c r="G394" s="22">
        <v>99.82</v>
      </c>
      <c r="H394" s="22">
        <v>9</v>
      </c>
      <c r="I394" s="22">
        <v>44.918999999999997</v>
      </c>
      <c r="J394" s="66">
        <v>943.29899999999998</v>
      </c>
      <c r="K394" s="24" t="s">
        <v>1531</v>
      </c>
      <c r="L394" s="25">
        <v>0.4465277777777778</v>
      </c>
      <c r="M394" s="22" t="s">
        <v>1464</v>
      </c>
      <c r="N394" s="26">
        <v>898.38</v>
      </c>
      <c r="O394" s="27">
        <f t="shared" si="6"/>
        <v>4.761904762E-2</v>
      </c>
      <c r="P394" s="23">
        <v>44.918999999999997</v>
      </c>
      <c r="Q394" s="28">
        <v>6.6</v>
      </c>
      <c r="Y394" s="5" t="s">
        <v>1486</v>
      </c>
      <c r="Z394" s="5">
        <v>10</v>
      </c>
    </row>
    <row r="395" spans="1:26" x14ac:dyDescent="0.35">
      <c r="A395" s="21" t="s">
        <v>1920</v>
      </c>
      <c r="B395" s="22" t="s">
        <v>1459</v>
      </c>
      <c r="C395" s="22" t="s">
        <v>1460</v>
      </c>
      <c r="D395" s="22" t="s">
        <v>1461</v>
      </c>
      <c r="E395" s="22" t="s">
        <v>19</v>
      </c>
      <c r="F395" s="22" t="s">
        <v>1482</v>
      </c>
      <c r="G395" s="22">
        <v>45.68</v>
      </c>
      <c r="H395" s="22">
        <v>10</v>
      </c>
      <c r="I395" s="22">
        <v>22.84</v>
      </c>
      <c r="J395" s="23">
        <v>479.64</v>
      </c>
      <c r="K395" s="24" t="s">
        <v>1528</v>
      </c>
      <c r="L395" s="25">
        <v>0.8125</v>
      </c>
      <c r="M395" s="22" t="s">
        <v>1469</v>
      </c>
      <c r="N395" s="26">
        <v>456.8</v>
      </c>
      <c r="O395" s="27">
        <f t="shared" si="6"/>
        <v>4.761904762E-2</v>
      </c>
      <c r="P395" s="23">
        <v>22.84</v>
      </c>
      <c r="Q395" s="28">
        <v>5.7</v>
      </c>
      <c r="Y395" s="5" t="s">
        <v>1473</v>
      </c>
      <c r="Z395" s="5">
        <v>7</v>
      </c>
    </row>
    <row r="396" spans="1:26" x14ac:dyDescent="0.35">
      <c r="A396" s="21" t="s">
        <v>1921</v>
      </c>
      <c r="B396" s="22" t="s">
        <v>1459</v>
      </c>
      <c r="C396" s="22" t="s">
        <v>1460</v>
      </c>
      <c r="D396" s="22" t="s">
        <v>1461</v>
      </c>
      <c r="E396" s="22" t="s">
        <v>27</v>
      </c>
      <c r="F396" s="22" t="s">
        <v>1473</v>
      </c>
      <c r="G396" s="22">
        <v>50.79</v>
      </c>
      <c r="H396" s="22">
        <v>5</v>
      </c>
      <c r="I396" s="22">
        <v>12.6975</v>
      </c>
      <c r="J396" s="23">
        <v>266.64749999999998</v>
      </c>
      <c r="K396" s="24" t="s">
        <v>1645</v>
      </c>
      <c r="L396" s="25">
        <v>0.62013888888888891</v>
      </c>
      <c r="M396" s="22" t="s">
        <v>1477</v>
      </c>
      <c r="N396" s="26">
        <v>253.95</v>
      </c>
      <c r="O396" s="27">
        <f t="shared" si="6"/>
        <v>4.761904762E-2</v>
      </c>
      <c r="P396" s="23">
        <v>12.6975</v>
      </c>
      <c r="Q396" s="28">
        <v>5.3</v>
      </c>
      <c r="Y396" s="5" t="s">
        <v>1482</v>
      </c>
      <c r="Z396" s="5">
        <v>6</v>
      </c>
    </row>
    <row r="397" spans="1:26" x14ac:dyDescent="0.35">
      <c r="A397" s="21" t="s">
        <v>1922</v>
      </c>
      <c r="B397" s="22" t="s">
        <v>1459</v>
      </c>
      <c r="C397" s="22" t="s">
        <v>1460</v>
      </c>
      <c r="D397" s="22" t="s">
        <v>1479</v>
      </c>
      <c r="E397" s="22" t="s">
        <v>27</v>
      </c>
      <c r="F397" s="22" t="s">
        <v>1473</v>
      </c>
      <c r="G397" s="22">
        <v>10.08</v>
      </c>
      <c r="H397" s="22">
        <v>7</v>
      </c>
      <c r="I397" s="22">
        <v>3.528</v>
      </c>
      <c r="J397" s="23">
        <v>74.087999999999994</v>
      </c>
      <c r="K397" s="24" t="s">
        <v>1560</v>
      </c>
      <c r="L397" s="25">
        <v>0.84305555555555556</v>
      </c>
      <c r="M397" s="22" t="s">
        <v>1464</v>
      </c>
      <c r="N397" s="26">
        <v>70.56</v>
      </c>
      <c r="O397" s="27">
        <f t="shared" si="6"/>
        <v>4.761904762E-2</v>
      </c>
      <c r="P397" s="23">
        <v>3.528</v>
      </c>
      <c r="Q397" s="28">
        <v>4.2</v>
      </c>
      <c r="Y397" s="5" t="s">
        <v>1482</v>
      </c>
      <c r="Z397" s="5">
        <v>3</v>
      </c>
    </row>
    <row r="398" spans="1:26" x14ac:dyDescent="0.35">
      <c r="A398" s="21" t="s">
        <v>1923</v>
      </c>
      <c r="B398" s="22" t="s">
        <v>1459</v>
      </c>
      <c r="C398" s="22" t="s">
        <v>1460</v>
      </c>
      <c r="D398" s="22" t="s">
        <v>1461</v>
      </c>
      <c r="E398" s="22" t="s">
        <v>19</v>
      </c>
      <c r="F398" s="22" t="s">
        <v>1462</v>
      </c>
      <c r="G398" s="22">
        <v>93.88</v>
      </c>
      <c r="H398" s="22">
        <v>7</v>
      </c>
      <c r="I398" s="22">
        <v>32.857999999999997</v>
      </c>
      <c r="J398" s="66">
        <v>690.01800000000003</v>
      </c>
      <c r="K398" s="24">
        <v>43586</v>
      </c>
      <c r="L398" s="25">
        <v>0.49375000000000002</v>
      </c>
      <c r="M398" s="22" t="s">
        <v>1477</v>
      </c>
      <c r="N398" s="26">
        <v>657.16</v>
      </c>
      <c r="O398" s="27">
        <f t="shared" si="6"/>
        <v>4.761904762E-2</v>
      </c>
      <c r="P398" s="23">
        <v>32.857999999999997</v>
      </c>
      <c r="Q398" s="28">
        <v>7.3</v>
      </c>
      <c r="Y398" s="5" t="s">
        <v>1473</v>
      </c>
      <c r="Z398" s="5">
        <v>7</v>
      </c>
    </row>
    <row r="399" spans="1:26" x14ac:dyDescent="0.35">
      <c r="A399" s="21" t="s">
        <v>1924</v>
      </c>
      <c r="B399" s="22" t="s">
        <v>1475</v>
      </c>
      <c r="C399" s="22" t="s">
        <v>1476</v>
      </c>
      <c r="D399" s="22" t="s">
        <v>1479</v>
      </c>
      <c r="E399" s="22" t="s">
        <v>27</v>
      </c>
      <c r="F399" s="22" t="s">
        <v>1462</v>
      </c>
      <c r="G399" s="22">
        <v>84.25</v>
      </c>
      <c r="H399" s="22">
        <v>2</v>
      </c>
      <c r="I399" s="22">
        <v>8.4250000000000007</v>
      </c>
      <c r="J399" s="23">
        <v>176.92500000000001</v>
      </c>
      <c r="K399" s="24" t="s">
        <v>1520</v>
      </c>
      <c r="L399" s="25">
        <v>0.59236111111111112</v>
      </c>
      <c r="M399" s="22" t="s">
        <v>1477</v>
      </c>
      <c r="N399" s="26">
        <v>168.5</v>
      </c>
      <c r="O399" s="27">
        <f t="shared" si="6"/>
        <v>4.761904762E-2</v>
      </c>
      <c r="P399" s="23">
        <v>8.4250000000000007</v>
      </c>
      <c r="Q399" s="28">
        <v>5.3</v>
      </c>
      <c r="Y399" s="5" t="s">
        <v>1501</v>
      </c>
      <c r="Z399" s="5">
        <v>5</v>
      </c>
    </row>
    <row r="400" spans="1:26" x14ac:dyDescent="0.35">
      <c r="A400" s="21" t="s">
        <v>1925</v>
      </c>
      <c r="B400" s="22" t="s">
        <v>1466</v>
      </c>
      <c r="C400" s="22" t="s">
        <v>1467</v>
      </c>
      <c r="D400" s="22" t="s">
        <v>1479</v>
      </c>
      <c r="E400" s="22" t="s">
        <v>27</v>
      </c>
      <c r="F400" s="22" t="s">
        <v>1468</v>
      </c>
      <c r="G400" s="22">
        <v>53.78</v>
      </c>
      <c r="H400" s="22">
        <v>1</v>
      </c>
      <c r="I400" s="22">
        <v>2.6890000000000001</v>
      </c>
      <c r="J400" s="23">
        <v>56.469000000000001</v>
      </c>
      <c r="K400" s="24">
        <v>43526</v>
      </c>
      <c r="L400" s="25">
        <v>0.84236111111111112</v>
      </c>
      <c r="M400" s="22" t="s">
        <v>1469</v>
      </c>
      <c r="N400" s="26">
        <v>53.78</v>
      </c>
      <c r="O400" s="27">
        <f t="shared" si="6"/>
        <v>4.761904762E-2</v>
      </c>
      <c r="P400" s="23">
        <v>2.6890000000000001</v>
      </c>
      <c r="Q400" s="28">
        <v>4.7</v>
      </c>
      <c r="Y400" s="5" t="s">
        <v>1473</v>
      </c>
      <c r="Z400" s="5">
        <v>3</v>
      </c>
    </row>
    <row r="401" spans="1:26" x14ac:dyDescent="0.35">
      <c r="A401" s="21" t="s">
        <v>1926</v>
      </c>
      <c r="B401" s="22" t="s">
        <v>1475</v>
      </c>
      <c r="C401" s="22" t="s">
        <v>1476</v>
      </c>
      <c r="D401" s="22" t="s">
        <v>1479</v>
      </c>
      <c r="E401" s="22" t="s">
        <v>27</v>
      </c>
      <c r="F401" s="22" t="s">
        <v>1482</v>
      </c>
      <c r="G401" s="22">
        <v>35.81</v>
      </c>
      <c r="H401" s="22">
        <v>5</v>
      </c>
      <c r="I401" s="22">
        <v>8.9525000000000006</v>
      </c>
      <c r="J401" s="23">
        <v>188.0025</v>
      </c>
      <c r="K401" s="24">
        <v>43618</v>
      </c>
      <c r="L401" s="25">
        <v>0.78055555555555556</v>
      </c>
      <c r="M401" s="22" t="s">
        <v>1469</v>
      </c>
      <c r="N401" s="26">
        <v>179.05</v>
      </c>
      <c r="O401" s="27">
        <f t="shared" si="6"/>
        <v>4.761904762E-2</v>
      </c>
      <c r="P401" s="23">
        <v>8.9525000000000006</v>
      </c>
      <c r="Q401" s="28">
        <v>7.9</v>
      </c>
      <c r="Y401" s="5" t="s">
        <v>1486</v>
      </c>
      <c r="Z401" s="5">
        <v>6</v>
      </c>
    </row>
    <row r="402" spans="1:26" x14ac:dyDescent="0.35">
      <c r="A402" s="21" t="s">
        <v>1927</v>
      </c>
      <c r="B402" s="22" t="s">
        <v>1466</v>
      </c>
      <c r="C402" s="22" t="s">
        <v>1467</v>
      </c>
      <c r="D402" s="22" t="s">
        <v>1461</v>
      </c>
      <c r="E402" s="22" t="s">
        <v>19</v>
      </c>
      <c r="F402" s="22" t="s">
        <v>1486</v>
      </c>
      <c r="G402" s="22">
        <v>26.43</v>
      </c>
      <c r="H402" s="22">
        <v>8</v>
      </c>
      <c r="I402" s="22">
        <v>10.571999999999999</v>
      </c>
      <c r="J402" s="23">
        <v>222.012</v>
      </c>
      <c r="K402" s="24" t="s">
        <v>1614</v>
      </c>
      <c r="L402" s="25">
        <v>0.60138888888888886</v>
      </c>
      <c r="M402" s="22" t="s">
        <v>1469</v>
      </c>
      <c r="N402" s="26">
        <v>211.44</v>
      </c>
      <c r="O402" s="27">
        <f t="shared" si="6"/>
        <v>4.761904762E-2</v>
      </c>
      <c r="P402" s="23">
        <v>10.571999999999999</v>
      </c>
      <c r="Q402" s="28">
        <v>8.9</v>
      </c>
      <c r="Y402" s="5" t="s">
        <v>1486</v>
      </c>
      <c r="Z402" s="5">
        <v>4</v>
      </c>
    </row>
    <row r="403" spans="1:26" x14ac:dyDescent="0.35">
      <c r="A403" s="21" t="s">
        <v>1928</v>
      </c>
      <c r="B403" s="22" t="s">
        <v>1466</v>
      </c>
      <c r="C403" s="22" t="s">
        <v>1467</v>
      </c>
      <c r="D403" s="22" t="s">
        <v>1479</v>
      </c>
      <c r="E403" s="22" t="s">
        <v>27</v>
      </c>
      <c r="F403" s="22" t="s">
        <v>1473</v>
      </c>
      <c r="G403" s="22">
        <v>39.909999999999997</v>
      </c>
      <c r="H403" s="22">
        <v>3</v>
      </c>
      <c r="I403" s="22">
        <v>5.9865000000000004</v>
      </c>
      <c r="J403" s="23">
        <v>125.7165</v>
      </c>
      <c r="K403" s="24" t="s">
        <v>1632</v>
      </c>
      <c r="L403" s="25">
        <v>0.52777777777777779</v>
      </c>
      <c r="M403" s="22" t="s">
        <v>1469</v>
      </c>
      <c r="N403" s="26">
        <v>119.73</v>
      </c>
      <c r="O403" s="27">
        <f t="shared" si="6"/>
        <v>4.761904762E-2</v>
      </c>
      <c r="P403" s="23">
        <v>5.9865000000000004</v>
      </c>
      <c r="Q403" s="28">
        <v>9.3000000000000007</v>
      </c>
      <c r="Y403" s="5" t="s">
        <v>1468</v>
      </c>
      <c r="Z403" s="5">
        <v>9</v>
      </c>
    </row>
    <row r="404" spans="1:26" x14ac:dyDescent="0.35">
      <c r="A404" s="21" t="s">
        <v>1929</v>
      </c>
      <c r="B404" s="22" t="s">
        <v>1466</v>
      </c>
      <c r="C404" s="22" t="s">
        <v>1467</v>
      </c>
      <c r="D404" s="22" t="s">
        <v>1479</v>
      </c>
      <c r="E404" s="22" t="s">
        <v>19</v>
      </c>
      <c r="F404" s="22" t="s">
        <v>1482</v>
      </c>
      <c r="G404" s="22">
        <v>21.9</v>
      </c>
      <c r="H404" s="22">
        <v>3</v>
      </c>
      <c r="I404" s="22">
        <v>3.2850000000000001</v>
      </c>
      <c r="J404" s="23">
        <v>68.984999999999999</v>
      </c>
      <c r="K404" s="24">
        <v>43709</v>
      </c>
      <c r="L404" s="25">
        <v>0.77986111111111112</v>
      </c>
      <c r="M404" s="22" t="s">
        <v>1469</v>
      </c>
      <c r="N404" s="26">
        <v>65.7</v>
      </c>
      <c r="O404" s="27">
        <f t="shared" si="6"/>
        <v>4.761904762E-2</v>
      </c>
      <c r="P404" s="23">
        <v>3.2850000000000001</v>
      </c>
      <c r="Q404" s="28">
        <v>4.7</v>
      </c>
      <c r="Y404" s="5" t="s">
        <v>1482</v>
      </c>
      <c r="Z404" s="5">
        <v>10</v>
      </c>
    </row>
    <row r="405" spans="1:26" x14ac:dyDescent="0.35">
      <c r="A405" s="21" t="s">
        <v>1930</v>
      </c>
      <c r="B405" s="22" t="s">
        <v>1466</v>
      </c>
      <c r="C405" s="22" t="s">
        <v>1467</v>
      </c>
      <c r="D405" s="22" t="s">
        <v>1479</v>
      </c>
      <c r="E405" s="22" t="s">
        <v>19</v>
      </c>
      <c r="F405" s="22" t="s">
        <v>1486</v>
      </c>
      <c r="G405" s="22">
        <v>62.85</v>
      </c>
      <c r="H405" s="22">
        <v>4</v>
      </c>
      <c r="I405" s="22">
        <v>12.57</v>
      </c>
      <c r="J405" s="23">
        <v>263.97000000000003</v>
      </c>
      <c r="K405" s="24" t="s">
        <v>1506</v>
      </c>
      <c r="L405" s="25">
        <v>0.55694444444444446</v>
      </c>
      <c r="M405" s="22" t="s">
        <v>1469</v>
      </c>
      <c r="N405" s="26">
        <v>251.4</v>
      </c>
      <c r="O405" s="27">
        <f t="shared" si="6"/>
        <v>4.761904762E-2</v>
      </c>
      <c r="P405" s="23">
        <v>12.57</v>
      </c>
      <c r="Q405" s="28">
        <v>8.6999999999999993</v>
      </c>
      <c r="Y405" s="5" t="s">
        <v>1473</v>
      </c>
      <c r="Z405" s="5">
        <v>5</v>
      </c>
    </row>
    <row r="406" spans="1:26" x14ac:dyDescent="0.35">
      <c r="A406" s="21" t="s">
        <v>1931</v>
      </c>
      <c r="B406" s="22" t="s">
        <v>1475</v>
      </c>
      <c r="C406" s="22" t="s">
        <v>1476</v>
      </c>
      <c r="D406" s="22" t="s">
        <v>1479</v>
      </c>
      <c r="E406" s="22" t="s">
        <v>19</v>
      </c>
      <c r="F406" s="22" t="s">
        <v>1486</v>
      </c>
      <c r="G406" s="22">
        <v>21.04</v>
      </c>
      <c r="H406" s="22">
        <v>4</v>
      </c>
      <c r="I406" s="22">
        <v>4.2080000000000002</v>
      </c>
      <c r="J406" s="23">
        <v>88.367999999999995</v>
      </c>
      <c r="K406" s="24" t="s">
        <v>1511</v>
      </c>
      <c r="L406" s="25">
        <v>0.58194444444444449</v>
      </c>
      <c r="M406" s="22" t="s">
        <v>1464</v>
      </c>
      <c r="N406" s="26">
        <v>84.16</v>
      </c>
      <c r="O406" s="27">
        <f t="shared" si="6"/>
        <v>4.761904762E-2</v>
      </c>
      <c r="P406" s="23">
        <v>4.2080000000000002</v>
      </c>
      <c r="Q406" s="28">
        <v>7.6</v>
      </c>
      <c r="Y406" s="5" t="s">
        <v>1473</v>
      </c>
      <c r="Z406" s="5">
        <v>7</v>
      </c>
    </row>
    <row r="407" spans="1:26" x14ac:dyDescent="0.35">
      <c r="A407" s="21" t="s">
        <v>1932</v>
      </c>
      <c r="B407" s="22" t="s">
        <v>1466</v>
      </c>
      <c r="C407" s="22" t="s">
        <v>1467</v>
      </c>
      <c r="D407" s="22" t="s">
        <v>1479</v>
      </c>
      <c r="E407" s="22" t="s">
        <v>27</v>
      </c>
      <c r="F407" s="22" t="s">
        <v>1482</v>
      </c>
      <c r="G407" s="22">
        <v>65.91</v>
      </c>
      <c r="H407" s="22">
        <v>6</v>
      </c>
      <c r="I407" s="22">
        <v>19.773</v>
      </c>
      <c r="J407" s="23">
        <v>415.233</v>
      </c>
      <c r="K407" s="24">
        <v>43710</v>
      </c>
      <c r="L407" s="25">
        <v>0.48958333333333331</v>
      </c>
      <c r="M407" s="22" t="s">
        <v>1464</v>
      </c>
      <c r="N407" s="26">
        <v>395.46</v>
      </c>
      <c r="O407" s="27">
        <f t="shared" si="6"/>
        <v>4.761904762E-2</v>
      </c>
      <c r="P407" s="23">
        <v>19.773</v>
      </c>
      <c r="Q407" s="28">
        <v>5.7</v>
      </c>
      <c r="Y407" s="5" t="s">
        <v>1462</v>
      </c>
      <c r="Z407" s="5">
        <v>7</v>
      </c>
    </row>
    <row r="408" spans="1:26" x14ac:dyDescent="0.35">
      <c r="A408" s="21" t="s">
        <v>1933</v>
      </c>
      <c r="B408" s="22" t="s">
        <v>1459</v>
      </c>
      <c r="C408" s="22" t="s">
        <v>1460</v>
      </c>
      <c r="D408" s="22" t="s">
        <v>1461</v>
      </c>
      <c r="E408" s="22" t="s">
        <v>19</v>
      </c>
      <c r="F408" s="22" t="s">
        <v>1468</v>
      </c>
      <c r="G408" s="22">
        <v>42.57</v>
      </c>
      <c r="H408" s="22">
        <v>7</v>
      </c>
      <c r="I408" s="22">
        <v>14.8995</v>
      </c>
      <c r="J408" s="23">
        <v>312.8895</v>
      </c>
      <c r="K408" s="24">
        <v>43617</v>
      </c>
      <c r="L408" s="25">
        <v>0.49375000000000002</v>
      </c>
      <c r="M408" s="22" t="s">
        <v>1464</v>
      </c>
      <c r="N408" s="26">
        <v>297.99</v>
      </c>
      <c r="O408" s="27">
        <f t="shared" si="6"/>
        <v>4.761904762E-2</v>
      </c>
      <c r="P408" s="23">
        <v>14.8995</v>
      </c>
      <c r="Q408" s="28">
        <v>6.8</v>
      </c>
      <c r="Y408" s="5" t="s">
        <v>1462</v>
      </c>
      <c r="Z408" s="5">
        <v>2</v>
      </c>
    </row>
    <row r="409" spans="1:26" x14ac:dyDescent="0.35">
      <c r="A409" s="21" t="s">
        <v>1934</v>
      </c>
      <c r="B409" s="22" t="s">
        <v>1475</v>
      </c>
      <c r="C409" s="22" t="s">
        <v>1476</v>
      </c>
      <c r="D409" s="22" t="s">
        <v>1479</v>
      </c>
      <c r="E409" s="22" t="s">
        <v>27</v>
      </c>
      <c r="F409" s="22" t="s">
        <v>1486</v>
      </c>
      <c r="G409" s="22">
        <v>50.49</v>
      </c>
      <c r="H409" s="22">
        <v>9</v>
      </c>
      <c r="I409" s="22">
        <v>22.720500000000001</v>
      </c>
      <c r="J409" s="23">
        <v>477.13049999999998</v>
      </c>
      <c r="K409" s="24">
        <v>43739</v>
      </c>
      <c r="L409" s="25">
        <v>0.71944444444444444</v>
      </c>
      <c r="M409" s="22" t="s">
        <v>1464</v>
      </c>
      <c r="N409" s="26">
        <v>454.41</v>
      </c>
      <c r="O409" s="27">
        <f t="shared" si="6"/>
        <v>4.761904762E-2</v>
      </c>
      <c r="P409" s="23">
        <v>22.720500000000001</v>
      </c>
      <c r="Q409" s="28">
        <v>5.4</v>
      </c>
      <c r="Y409" s="5" t="s">
        <v>1468</v>
      </c>
      <c r="Z409" s="5">
        <v>1</v>
      </c>
    </row>
    <row r="410" spans="1:26" x14ac:dyDescent="0.35">
      <c r="A410" s="21" t="s">
        <v>1935</v>
      </c>
      <c r="B410" s="22" t="s">
        <v>1466</v>
      </c>
      <c r="C410" s="22" t="s">
        <v>1467</v>
      </c>
      <c r="D410" s="22" t="s">
        <v>1461</v>
      </c>
      <c r="E410" s="22" t="s">
        <v>27</v>
      </c>
      <c r="F410" s="22" t="s">
        <v>1462</v>
      </c>
      <c r="G410" s="22">
        <v>46.02</v>
      </c>
      <c r="H410" s="22">
        <v>6</v>
      </c>
      <c r="I410" s="22">
        <v>13.805999999999999</v>
      </c>
      <c r="J410" s="23">
        <v>289.92599999999999</v>
      </c>
      <c r="K410" s="24">
        <v>43648</v>
      </c>
      <c r="L410" s="25">
        <v>0.66319444444444442</v>
      </c>
      <c r="M410" s="22" t="s">
        <v>1464</v>
      </c>
      <c r="N410" s="26">
        <v>276.12</v>
      </c>
      <c r="O410" s="27">
        <f t="shared" si="6"/>
        <v>4.761904762E-2</v>
      </c>
      <c r="P410" s="23">
        <v>13.805999999999999</v>
      </c>
      <c r="Q410" s="28">
        <v>7.1</v>
      </c>
      <c r="Y410" s="5" t="s">
        <v>1482</v>
      </c>
      <c r="Z410" s="5">
        <v>5</v>
      </c>
    </row>
    <row r="411" spans="1:26" x14ac:dyDescent="0.35">
      <c r="A411" s="21" t="s">
        <v>1936</v>
      </c>
      <c r="B411" s="22" t="s">
        <v>1475</v>
      </c>
      <c r="C411" s="22" t="s">
        <v>1476</v>
      </c>
      <c r="D411" s="22" t="s">
        <v>1461</v>
      </c>
      <c r="E411" s="22" t="s">
        <v>19</v>
      </c>
      <c r="F411" s="22" t="s">
        <v>1482</v>
      </c>
      <c r="G411" s="22">
        <v>15.8</v>
      </c>
      <c r="H411" s="22">
        <v>10</v>
      </c>
      <c r="I411" s="22">
        <v>7.9</v>
      </c>
      <c r="J411" s="23">
        <v>165.9</v>
      </c>
      <c r="K411" s="24">
        <v>43709</v>
      </c>
      <c r="L411" s="25">
        <v>0.50486111111111109</v>
      </c>
      <c r="M411" s="22" t="s">
        <v>1464</v>
      </c>
      <c r="N411" s="26">
        <v>158</v>
      </c>
      <c r="O411" s="27">
        <f t="shared" si="6"/>
        <v>4.761904762E-2</v>
      </c>
      <c r="P411" s="23">
        <v>7.9</v>
      </c>
      <c r="Q411" s="28">
        <v>7.8</v>
      </c>
      <c r="Y411" s="5" t="s">
        <v>1486</v>
      </c>
      <c r="Z411" s="5">
        <v>8</v>
      </c>
    </row>
    <row r="412" spans="1:26" x14ac:dyDescent="0.35">
      <c r="A412" s="21" t="s">
        <v>1937</v>
      </c>
      <c r="B412" s="22" t="s">
        <v>1459</v>
      </c>
      <c r="C412" s="22" t="s">
        <v>1460</v>
      </c>
      <c r="D412" s="22" t="s">
        <v>1479</v>
      </c>
      <c r="E412" s="22" t="s">
        <v>19</v>
      </c>
      <c r="F412" s="22" t="s">
        <v>1486</v>
      </c>
      <c r="G412" s="22">
        <v>98.66</v>
      </c>
      <c r="H412" s="22">
        <v>9</v>
      </c>
      <c r="I412" s="22">
        <v>44.396999999999998</v>
      </c>
      <c r="J412" s="66">
        <v>932.33699999999999</v>
      </c>
      <c r="K412" s="24" t="s">
        <v>1645</v>
      </c>
      <c r="L412" s="25">
        <v>0.62986111111111109</v>
      </c>
      <c r="M412" s="22" t="s">
        <v>1464</v>
      </c>
      <c r="N412" s="26">
        <v>887.94</v>
      </c>
      <c r="O412" s="27">
        <f t="shared" si="6"/>
        <v>4.761904762E-2</v>
      </c>
      <c r="P412" s="23">
        <v>44.396999999999998</v>
      </c>
      <c r="Q412" s="28">
        <v>8.4</v>
      </c>
      <c r="Y412" s="5" t="s">
        <v>1473</v>
      </c>
      <c r="Z412" s="5">
        <v>3</v>
      </c>
    </row>
    <row r="413" spans="1:26" x14ac:dyDescent="0.35">
      <c r="A413" s="21" t="s">
        <v>1938</v>
      </c>
      <c r="B413" s="22" t="s">
        <v>1475</v>
      </c>
      <c r="C413" s="22" t="s">
        <v>1476</v>
      </c>
      <c r="D413" s="22" t="s">
        <v>1479</v>
      </c>
      <c r="E413" s="22" t="s">
        <v>27</v>
      </c>
      <c r="F413" s="22" t="s">
        <v>1468</v>
      </c>
      <c r="G413" s="22">
        <v>91.98</v>
      </c>
      <c r="H413" s="22">
        <v>1</v>
      </c>
      <c r="I413" s="22">
        <v>4.5990000000000002</v>
      </c>
      <c r="J413" s="23">
        <v>96.578999999999994</v>
      </c>
      <c r="K413" s="24" t="s">
        <v>1591</v>
      </c>
      <c r="L413" s="25">
        <v>0.64513888888888893</v>
      </c>
      <c r="M413" s="22" t="s">
        <v>1464</v>
      </c>
      <c r="N413" s="26">
        <v>91.98</v>
      </c>
      <c r="O413" s="27">
        <f t="shared" si="6"/>
        <v>4.761904762E-2</v>
      </c>
      <c r="P413" s="23">
        <v>4.5990000000000002</v>
      </c>
      <c r="Q413" s="28">
        <v>9.8000000000000007</v>
      </c>
      <c r="Y413" s="5" t="s">
        <v>1482</v>
      </c>
      <c r="Z413" s="5">
        <v>3</v>
      </c>
    </row>
    <row r="414" spans="1:26" x14ac:dyDescent="0.35">
      <c r="A414" s="21" t="s">
        <v>1939</v>
      </c>
      <c r="B414" s="22" t="s">
        <v>1459</v>
      </c>
      <c r="C414" s="22" t="s">
        <v>1460</v>
      </c>
      <c r="D414" s="22" t="s">
        <v>1479</v>
      </c>
      <c r="E414" s="22" t="s">
        <v>27</v>
      </c>
      <c r="F414" s="22" t="s">
        <v>1462</v>
      </c>
      <c r="G414" s="22">
        <v>20.89</v>
      </c>
      <c r="H414" s="22">
        <v>2</v>
      </c>
      <c r="I414" s="22">
        <v>2.089</v>
      </c>
      <c r="J414" s="23">
        <v>43.869</v>
      </c>
      <c r="K414" s="24">
        <v>43587</v>
      </c>
      <c r="L414" s="25">
        <v>0.78125</v>
      </c>
      <c r="M414" s="22" t="s">
        <v>1464</v>
      </c>
      <c r="N414" s="26">
        <v>41.78</v>
      </c>
      <c r="O414" s="27">
        <f t="shared" si="6"/>
        <v>4.761904762E-2</v>
      </c>
      <c r="P414" s="23">
        <v>2.089</v>
      </c>
      <c r="Q414" s="28">
        <v>9.8000000000000007</v>
      </c>
      <c r="Y414" s="5" t="s">
        <v>1486</v>
      </c>
      <c r="Z414" s="5">
        <v>4</v>
      </c>
    </row>
    <row r="415" spans="1:26" x14ac:dyDescent="0.35">
      <c r="A415" s="21" t="s">
        <v>1940</v>
      </c>
      <c r="B415" s="22" t="s">
        <v>1459</v>
      </c>
      <c r="C415" s="22" t="s">
        <v>1460</v>
      </c>
      <c r="D415" s="22" t="s">
        <v>1461</v>
      </c>
      <c r="E415" s="22" t="s">
        <v>19</v>
      </c>
      <c r="F415" s="22" t="s">
        <v>1468</v>
      </c>
      <c r="G415" s="22">
        <v>15.5</v>
      </c>
      <c r="H415" s="22">
        <v>1</v>
      </c>
      <c r="I415" s="22">
        <v>0.77500000000000002</v>
      </c>
      <c r="J415" s="23">
        <v>16.274999999999999</v>
      </c>
      <c r="K415" s="24" t="s">
        <v>1596</v>
      </c>
      <c r="L415" s="25">
        <v>0.64097222222222228</v>
      </c>
      <c r="M415" s="22" t="s">
        <v>1477</v>
      </c>
      <c r="N415" s="26">
        <v>15.5</v>
      </c>
      <c r="O415" s="27">
        <f t="shared" si="6"/>
        <v>4.761904762E-2</v>
      </c>
      <c r="P415" s="23">
        <v>0.77500000000000002</v>
      </c>
      <c r="Q415" s="28">
        <v>7.4</v>
      </c>
      <c r="Y415" s="5" t="s">
        <v>1486</v>
      </c>
      <c r="Z415" s="5">
        <v>4</v>
      </c>
    </row>
    <row r="416" spans="1:26" x14ac:dyDescent="0.35">
      <c r="A416" s="21" t="s">
        <v>1941</v>
      </c>
      <c r="B416" s="22" t="s">
        <v>1475</v>
      </c>
      <c r="C416" s="22" t="s">
        <v>1476</v>
      </c>
      <c r="D416" s="22" t="s">
        <v>1479</v>
      </c>
      <c r="E416" s="22" t="s">
        <v>27</v>
      </c>
      <c r="F416" s="22" t="s">
        <v>1462</v>
      </c>
      <c r="G416" s="22">
        <v>96.82</v>
      </c>
      <c r="H416" s="22">
        <v>3</v>
      </c>
      <c r="I416" s="22">
        <v>14.523</v>
      </c>
      <c r="J416" s="23">
        <v>304.983</v>
      </c>
      <c r="K416" s="24" t="s">
        <v>1605</v>
      </c>
      <c r="L416" s="25">
        <v>0.85902777777777772</v>
      </c>
      <c r="M416" s="22" t="s">
        <v>1464</v>
      </c>
      <c r="N416" s="26">
        <v>290.45999999999998</v>
      </c>
      <c r="O416" s="27">
        <f t="shared" si="6"/>
        <v>4.761904762E-2</v>
      </c>
      <c r="P416" s="23">
        <v>14.523</v>
      </c>
      <c r="Q416" s="28">
        <v>6.7</v>
      </c>
      <c r="Y416" s="5" t="s">
        <v>1482</v>
      </c>
      <c r="Z416" s="5">
        <v>6</v>
      </c>
    </row>
    <row r="417" spans="1:26" x14ac:dyDescent="0.35">
      <c r="A417" s="21" t="s">
        <v>1942</v>
      </c>
      <c r="B417" s="22" t="s">
        <v>1466</v>
      </c>
      <c r="C417" s="22" t="s">
        <v>1467</v>
      </c>
      <c r="D417" s="22" t="s">
        <v>1461</v>
      </c>
      <c r="E417" s="22" t="s">
        <v>27</v>
      </c>
      <c r="F417" s="22" t="s">
        <v>1486</v>
      </c>
      <c r="G417" s="22">
        <v>33.33</v>
      </c>
      <c r="H417" s="22">
        <v>2</v>
      </c>
      <c r="I417" s="22">
        <v>3.3330000000000002</v>
      </c>
      <c r="J417" s="23">
        <v>69.992999999999995</v>
      </c>
      <c r="K417" s="24" t="s">
        <v>1548</v>
      </c>
      <c r="L417" s="25">
        <v>0.6118055555555556</v>
      </c>
      <c r="M417" s="22" t="s">
        <v>1477</v>
      </c>
      <c r="N417" s="26">
        <v>66.66</v>
      </c>
      <c r="O417" s="27">
        <f t="shared" si="6"/>
        <v>4.761904762E-2</v>
      </c>
      <c r="P417" s="23">
        <v>3.3330000000000002</v>
      </c>
      <c r="Q417" s="28">
        <v>6.4</v>
      </c>
      <c r="Y417" s="5" t="s">
        <v>1468</v>
      </c>
      <c r="Z417" s="5">
        <v>7</v>
      </c>
    </row>
    <row r="418" spans="1:26" x14ac:dyDescent="0.35">
      <c r="A418" s="21" t="s">
        <v>1943</v>
      </c>
      <c r="B418" s="22" t="s">
        <v>1466</v>
      </c>
      <c r="C418" s="22" t="s">
        <v>1467</v>
      </c>
      <c r="D418" s="22" t="s">
        <v>1461</v>
      </c>
      <c r="E418" s="22" t="s">
        <v>19</v>
      </c>
      <c r="F418" s="22" t="s">
        <v>1462</v>
      </c>
      <c r="G418" s="22">
        <v>38.270000000000003</v>
      </c>
      <c r="H418" s="22">
        <v>2</v>
      </c>
      <c r="I418" s="22">
        <v>3.827</v>
      </c>
      <c r="J418" s="23">
        <v>80.367000000000004</v>
      </c>
      <c r="K418" s="24">
        <v>43499</v>
      </c>
      <c r="L418" s="25">
        <v>0.76249999999999996</v>
      </c>
      <c r="M418" s="22" t="s">
        <v>1477</v>
      </c>
      <c r="N418" s="26">
        <v>76.540000000000006</v>
      </c>
      <c r="O418" s="27">
        <f t="shared" si="6"/>
        <v>4.761904762E-2</v>
      </c>
      <c r="P418" s="23">
        <v>3.827</v>
      </c>
      <c r="Q418" s="28">
        <v>5.8</v>
      </c>
      <c r="Y418" s="5" t="s">
        <v>1486</v>
      </c>
      <c r="Z418" s="5">
        <v>9</v>
      </c>
    </row>
    <row r="419" spans="1:26" x14ac:dyDescent="0.35">
      <c r="A419" s="21" t="s">
        <v>1944</v>
      </c>
      <c r="B419" s="22" t="s">
        <v>1459</v>
      </c>
      <c r="C419" s="22" t="s">
        <v>1460</v>
      </c>
      <c r="D419" s="22" t="s">
        <v>1461</v>
      </c>
      <c r="E419" s="22" t="s">
        <v>19</v>
      </c>
      <c r="F419" s="22" t="s">
        <v>1482</v>
      </c>
      <c r="G419" s="22">
        <v>33.299999999999997</v>
      </c>
      <c r="H419" s="22">
        <v>9</v>
      </c>
      <c r="I419" s="22">
        <v>14.984999999999999</v>
      </c>
      <c r="J419" s="23">
        <v>314.685</v>
      </c>
      <c r="K419" s="24">
        <v>43558</v>
      </c>
      <c r="L419" s="25">
        <v>0.64375000000000004</v>
      </c>
      <c r="M419" s="22" t="s">
        <v>1469</v>
      </c>
      <c r="N419" s="26">
        <v>299.7</v>
      </c>
      <c r="O419" s="27">
        <f t="shared" si="6"/>
        <v>4.761904762E-2</v>
      </c>
      <c r="P419" s="23">
        <v>14.984999999999999</v>
      </c>
      <c r="Q419" s="28">
        <v>7.2</v>
      </c>
      <c r="Y419" s="5" t="s">
        <v>1462</v>
      </c>
      <c r="Z419" s="5">
        <v>6</v>
      </c>
    </row>
    <row r="420" spans="1:26" x14ac:dyDescent="0.35">
      <c r="A420" s="21" t="s">
        <v>1945</v>
      </c>
      <c r="B420" s="22" t="s">
        <v>1459</v>
      </c>
      <c r="C420" s="22" t="s">
        <v>1460</v>
      </c>
      <c r="D420" s="22" t="s">
        <v>1479</v>
      </c>
      <c r="E420" s="22" t="s">
        <v>27</v>
      </c>
      <c r="F420" s="22" t="s">
        <v>1482</v>
      </c>
      <c r="G420" s="22">
        <v>81.010000000000005</v>
      </c>
      <c r="H420" s="22">
        <v>3</v>
      </c>
      <c r="I420" s="22">
        <v>12.1515</v>
      </c>
      <c r="J420" s="23">
        <v>255.1815</v>
      </c>
      <c r="K420" s="24" t="s">
        <v>1511</v>
      </c>
      <c r="L420" s="25">
        <v>0.53819444444444442</v>
      </c>
      <c r="M420" s="22" t="s">
        <v>1477</v>
      </c>
      <c r="N420" s="26">
        <v>243.03</v>
      </c>
      <c r="O420" s="27">
        <f t="shared" si="6"/>
        <v>4.761904762E-2</v>
      </c>
      <c r="P420" s="23">
        <v>12.1515</v>
      </c>
      <c r="Q420" s="28">
        <v>9.3000000000000007</v>
      </c>
      <c r="Y420" s="5" t="s">
        <v>1482</v>
      </c>
      <c r="Z420" s="5">
        <v>10</v>
      </c>
    </row>
    <row r="421" spans="1:26" x14ac:dyDescent="0.35">
      <c r="A421" s="21" t="s">
        <v>1946</v>
      </c>
      <c r="B421" s="22" t="s">
        <v>1459</v>
      </c>
      <c r="C421" s="22" t="s">
        <v>1460</v>
      </c>
      <c r="D421" s="22" t="s">
        <v>1461</v>
      </c>
      <c r="E421" s="22" t="s">
        <v>19</v>
      </c>
      <c r="F421" s="22" t="s">
        <v>1473</v>
      </c>
      <c r="G421" s="22">
        <v>15.8</v>
      </c>
      <c r="H421" s="22">
        <v>3</v>
      </c>
      <c r="I421" s="22">
        <v>2.37</v>
      </c>
      <c r="J421" s="23">
        <v>49.77</v>
      </c>
      <c r="K421" s="24" t="s">
        <v>1480</v>
      </c>
      <c r="L421" s="25">
        <v>0.75138888888888888</v>
      </c>
      <c r="M421" s="22" t="s">
        <v>1464</v>
      </c>
      <c r="N421" s="26">
        <v>47.4</v>
      </c>
      <c r="O421" s="27">
        <f t="shared" si="6"/>
        <v>4.761904762E-2</v>
      </c>
      <c r="P421" s="23">
        <v>2.37</v>
      </c>
      <c r="Q421" s="28">
        <v>9.5</v>
      </c>
      <c r="Y421" s="5" t="s">
        <v>1486</v>
      </c>
      <c r="Z421" s="5">
        <v>9</v>
      </c>
    </row>
    <row r="422" spans="1:26" x14ac:dyDescent="0.35">
      <c r="A422" s="21" t="s">
        <v>1947</v>
      </c>
      <c r="B422" s="22" t="s">
        <v>1466</v>
      </c>
      <c r="C422" s="22" t="s">
        <v>1467</v>
      </c>
      <c r="D422" s="22" t="s">
        <v>1479</v>
      </c>
      <c r="E422" s="22" t="s">
        <v>19</v>
      </c>
      <c r="F422" s="22" t="s">
        <v>1462</v>
      </c>
      <c r="G422" s="22">
        <v>34.49</v>
      </c>
      <c r="H422" s="22">
        <v>5</v>
      </c>
      <c r="I422" s="22">
        <v>8.6225000000000005</v>
      </c>
      <c r="J422" s="23">
        <v>181.07249999999999</v>
      </c>
      <c r="K422" s="24">
        <v>43772</v>
      </c>
      <c r="L422" s="25">
        <v>0.82222222222222219</v>
      </c>
      <c r="M422" s="22" t="s">
        <v>1477</v>
      </c>
      <c r="N422" s="26">
        <v>172.45</v>
      </c>
      <c r="O422" s="27">
        <f t="shared" si="6"/>
        <v>4.761904762E-2</v>
      </c>
      <c r="P422" s="23">
        <v>8.6225000000000005</v>
      </c>
      <c r="Q422" s="28">
        <v>9</v>
      </c>
      <c r="Y422" s="5" t="s">
        <v>1468</v>
      </c>
      <c r="Z422" s="5">
        <v>1</v>
      </c>
    </row>
    <row r="423" spans="1:26" x14ac:dyDescent="0.35">
      <c r="A423" s="21" t="s">
        <v>1948</v>
      </c>
      <c r="B423" s="22" t="s">
        <v>1466</v>
      </c>
      <c r="C423" s="22" t="s">
        <v>1467</v>
      </c>
      <c r="D423" s="22" t="s">
        <v>1479</v>
      </c>
      <c r="E423" s="22" t="s">
        <v>19</v>
      </c>
      <c r="F423" s="22" t="s">
        <v>1486</v>
      </c>
      <c r="G423" s="22">
        <v>84.63</v>
      </c>
      <c r="H423" s="22">
        <v>10</v>
      </c>
      <c r="I423" s="22">
        <v>42.314999999999998</v>
      </c>
      <c r="J423" s="66">
        <v>888.61500000000001</v>
      </c>
      <c r="K423" s="24">
        <v>43466</v>
      </c>
      <c r="L423" s="25">
        <v>0.48333333333333334</v>
      </c>
      <c r="M423" s="22" t="s">
        <v>1477</v>
      </c>
      <c r="N423" s="26">
        <v>846.3</v>
      </c>
      <c r="O423" s="27">
        <f t="shared" si="6"/>
        <v>4.761904762E-2</v>
      </c>
      <c r="P423" s="23">
        <v>42.314999999999998</v>
      </c>
      <c r="Q423" s="28">
        <v>9</v>
      </c>
      <c r="Y423" s="5" t="s">
        <v>1462</v>
      </c>
      <c r="Z423" s="5">
        <v>2</v>
      </c>
    </row>
    <row r="424" spans="1:26" x14ac:dyDescent="0.35">
      <c r="A424" s="21" t="s">
        <v>1949</v>
      </c>
      <c r="B424" s="22" t="s">
        <v>1466</v>
      </c>
      <c r="C424" s="22" t="s">
        <v>1467</v>
      </c>
      <c r="D424" s="22" t="s">
        <v>1479</v>
      </c>
      <c r="E424" s="22" t="s">
        <v>27</v>
      </c>
      <c r="F424" s="22" t="s">
        <v>1482</v>
      </c>
      <c r="G424" s="22">
        <v>36.909999999999997</v>
      </c>
      <c r="H424" s="22">
        <v>7</v>
      </c>
      <c r="I424" s="22">
        <v>12.9185</v>
      </c>
      <c r="J424" s="23">
        <v>271.2885</v>
      </c>
      <c r="K424" s="24">
        <v>43740</v>
      </c>
      <c r="L424" s="25">
        <v>0.57708333333333328</v>
      </c>
      <c r="M424" s="22" t="s">
        <v>1469</v>
      </c>
      <c r="N424" s="26">
        <v>258.37</v>
      </c>
      <c r="O424" s="27">
        <f t="shared" si="6"/>
        <v>4.761904762E-2</v>
      </c>
      <c r="P424" s="23">
        <v>12.9185</v>
      </c>
      <c r="Q424" s="28">
        <v>6.7</v>
      </c>
      <c r="Y424" s="5" t="s">
        <v>1468</v>
      </c>
      <c r="Z424" s="5">
        <v>1</v>
      </c>
    </row>
    <row r="425" spans="1:26" x14ac:dyDescent="0.35">
      <c r="A425" s="21" t="s">
        <v>1950</v>
      </c>
      <c r="B425" s="22" t="s">
        <v>1466</v>
      </c>
      <c r="C425" s="22" t="s">
        <v>1467</v>
      </c>
      <c r="D425" s="22" t="s">
        <v>1461</v>
      </c>
      <c r="E425" s="22" t="s">
        <v>27</v>
      </c>
      <c r="F425" s="22" t="s">
        <v>1462</v>
      </c>
      <c r="G425" s="22">
        <v>87.08</v>
      </c>
      <c r="H425" s="22">
        <v>7</v>
      </c>
      <c r="I425" s="22">
        <v>30.478000000000002</v>
      </c>
      <c r="J425" s="66">
        <v>640.03800000000001</v>
      </c>
      <c r="K425" s="24" t="s">
        <v>1548</v>
      </c>
      <c r="L425" s="25">
        <v>0.63680555555555551</v>
      </c>
      <c r="M425" s="22" t="s">
        <v>1464</v>
      </c>
      <c r="N425" s="26">
        <v>609.55999999999995</v>
      </c>
      <c r="O425" s="27">
        <f t="shared" si="6"/>
        <v>4.761904762E-2</v>
      </c>
      <c r="P425" s="23">
        <v>30.478000000000002</v>
      </c>
      <c r="Q425" s="28">
        <v>5.5</v>
      </c>
      <c r="Y425" s="5" t="s">
        <v>1462</v>
      </c>
      <c r="Z425" s="5">
        <v>3</v>
      </c>
    </row>
    <row r="426" spans="1:26" x14ac:dyDescent="0.35">
      <c r="A426" s="21" t="s">
        <v>1951</v>
      </c>
      <c r="B426" s="22" t="s">
        <v>1459</v>
      </c>
      <c r="C426" s="22" t="s">
        <v>1460</v>
      </c>
      <c r="D426" s="22" t="s">
        <v>1461</v>
      </c>
      <c r="E426" s="22" t="s">
        <v>27</v>
      </c>
      <c r="F426" s="22" t="s">
        <v>1482</v>
      </c>
      <c r="G426" s="22">
        <v>80.08</v>
      </c>
      <c r="H426" s="22">
        <v>3</v>
      </c>
      <c r="I426" s="22">
        <v>12.012</v>
      </c>
      <c r="J426" s="23">
        <v>252.25200000000001</v>
      </c>
      <c r="K426" s="24">
        <v>43771</v>
      </c>
      <c r="L426" s="25">
        <v>0.64513888888888893</v>
      </c>
      <c r="M426" s="22" t="s">
        <v>1464</v>
      </c>
      <c r="N426" s="26">
        <v>240.24</v>
      </c>
      <c r="O426" s="27">
        <f t="shared" si="6"/>
        <v>4.761904762E-2</v>
      </c>
      <c r="P426" s="23">
        <v>12.012</v>
      </c>
      <c r="Q426" s="28">
        <v>5.4</v>
      </c>
      <c r="Y426" s="5" t="s">
        <v>1486</v>
      </c>
      <c r="Z426" s="5">
        <v>2</v>
      </c>
    </row>
    <row r="427" spans="1:26" x14ac:dyDescent="0.35">
      <c r="A427" s="21" t="s">
        <v>1952</v>
      </c>
      <c r="B427" s="22" t="s">
        <v>1475</v>
      </c>
      <c r="C427" s="22" t="s">
        <v>1476</v>
      </c>
      <c r="D427" s="22" t="s">
        <v>1461</v>
      </c>
      <c r="E427" s="22" t="s">
        <v>27</v>
      </c>
      <c r="F427" s="22" t="s">
        <v>1468</v>
      </c>
      <c r="G427" s="22">
        <v>86.13</v>
      </c>
      <c r="H427" s="22">
        <v>2</v>
      </c>
      <c r="I427" s="22">
        <v>8.6129999999999995</v>
      </c>
      <c r="J427" s="23">
        <v>180.87299999999999</v>
      </c>
      <c r="K427" s="24">
        <v>43648</v>
      </c>
      <c r="L427" s="25">
        <v>0.74930555555555556</v>
      </c>
      <c r="M427" s="22" t="s">
        <v>1464</v>
      </c>
      <c r="N427" s="26">
        <v>172.26</v>
      </c>
      <c r="O427" s="27">
        <f t="shared" si="6"/>
        <v>4.761904762E-2</v>
      </c>
      <c r="P427" s="23">
        <v>8.6129999999999995</v>
      </c>
      <c r="Q427" s="28">
        <v>8.1999999999999993</v>
      </c>
      <c r="Y427" s="5" t="s">
        <v>1462</v>
      </c>
      <c r="Z427" s="5">
        <v>2</v>
      </c>
    </row>
    <row r="428" spans="1:26" x14ac:dyDescent="0.35">
      <c r="A428" s="21" t="s">
        <v>1953</v>
      </c>
      <c r="B428" s="22" t="s">
        <v>1466</v>
      </c>
      <c r="C428" s="22" t="s">
        <v>1467</v>
      </c>
      <c r="D428" s="22" t="s">
        <v>1479</v>
      </c>
      <c r="E428" s="22" t="s">
        <v>27</v>
      </c>
      <c r="F428" s="22" t="s">
        <v>1468</v>
      </c>
      <c r="G428" s="22">
        <v>49.92</v>
      </c>
      <c r="H428" s="22">
        <v>2</v>
      </c>
      <c r="I428" s="22">
        <v>4.992</v>
      </c>
      <c r="J428" s="23">
        <v>104.83199999999999</v>
      </c>
      <c r="K428" s="24">
        <v>43619</v>
      </c>
      <c r="L428" s="25">
        <v>0.49652777777777779</v>
      </c>
      <c r="M428" s="22" t="s">
        <v>1477</v>
      </c>
      <c r="N428" s="26">
        <v>99.84</v>
      </c>
      <c r="O428" s="27">
        <f t="shared" si="6"/>
        <v>4.761904762E-2</v>
      </c>
      <c r="P428" s="23">
        <v>4.992</v>
      </c>
      <c r="Q428" s="28">
        <v>7</v>
      </c>
      <c r="Y428" s="5" t="s">
        <v>1482</v>
      </c>
      <c r="Z428" s="5">
        <v>9</v>
      </c>
    </row>
    <row r="429" spans="1:26" x14ac:dyDescent="0.35">
      <c r="A429" s="21" t="s">
        <v>1954</v>
      </c>
      <c r="B429" s="22" t="s">
        <v>1459</v>
      </c>
      <c r="C429" s="22" t="s">
        <v>1460</v>
      </c>
      <c r="D429" s="22" t="s">
        <v>1461</v>
      </c>
      <c r="E429" s="22" t="s">
        <v>19</v>
      </c>
      <c r="F429" s="22" t="s">
        <v>1486</v>
      </c>
      <c r="G429" s="22">
        <v>74.66</v>
      </c>
      <c r="H429" s="22">
        <v>4</v>
      </c>
      <c r="I429" s="22">
        <v>14.932</v>
      </c>
      <c r="J429" s="23">
        <v>313.572</v>
      </c>
      <c r="K429" s="24">
        <v>43558</v>
      </c>
      <c r="L429" s="25">
        <v>0.44374999999999998</v>
      </c>
      <c r="M429" s="22" t="s">
        <v>1464</v>
      </c>
      <c r="N429" s="26">
        <v>298.64</v>
      </c>
      <c r="O429" s="27">
        <f t="shared" si="6"/>
        <v>4.761904762E-2</v>
      </c>
      <c r="P429" s="23">
        <v>14.932</v>
      </c>
      <c r="Q429" s="28">
        <v>8.5</v>
      </c>
      <c r="Y429" s="5" t="s">
        <v>1482</v>
      </c>
      <c r="Z429" s="5">
        <v>3</v>
      </c>
    </row>
    <row r="430" spans="1:26" x14ac:dyDescent="0.35">
      <c r="A430" s="21" t="s">
        <v>1955</v>
      </c>
      <c r="B430" s="22" t="s">
        <v>1466</v>
      </c>
      <c r="C430" s="22" t="s">
        <v>1467</v>
      </c>
      <c r="D430" s="22" t="s">
        <v>1479</v>
      </c>
      <c r="E430" s="22" t="s">
        <v>27</v>
      </c>
      <c r="F430" s="22" t="s">
        <v>1486</v>
      </c>
      <c r="G430" s="22">
        <v>26.6</v>
      </c>
      <c r="H430" s="22">
        <v>6</v>
      </c>
      <c r="I430" s="22">
        <v>7.98</v>
      </c>
      <c r="J430" s="23">
        <v>167.58</v>
      </c>
      <c r="K430" s="24" t="s">
        <v>1626</v>
      </c>
      <c r="L430" s="25">
        <v>0.63194444444444442</v>
      </c>
      <c r="M430" s="22" t="s">
        <v>1469</v>
      </c>
      <c r="N430" s="26">
        <v>159.6</v>
      </c>
      <c r="O430" s="27">
        <f t="shared" si="6"/>
        <v>4.761904762E-2</v>
      </c>
      <c r="P430" s="23">
        <v>7.98</v>
      </c>
      <c r="Q430" s="28">
        <v>4.9000000000000004</v>
      </c>
      <c r="Y430" s="5" t="s">
        <v>1473</v>
      </c>
      <c r="Z430" s="5">
        <v>3</v>
      </c>
    </row>
    <row r="431" spans="1:26" x14ac:dyDescent="0.35">
      <c r="A431" s="21" t="s">
        <v>1956</v>
      </c>
      <c r="B431" s="22" t="s">
        <v>1466</v>
      </c>
      <c r="C431" s="22" t="s">
        <v>1467</v>
      </c>
      <c r="D431" s="22" t="s">
        <v>1461</v>
      </c>
      <c r="E431" s="22" t="s">
        <v>19</v>
      </c>
      <c r="F431" s="22" t="s">
        <v>1462</v>
      </c>
      <c r="G431" s="22">
        <v>25.45</v>
      </c>
      <c r="H431" s="22">
        <v>1</v>
      </c>
      <c r="I431" s="22">
        <v>1.2725</v>
      </c>
      <c r="J431" s="23">
        <v>26.7225</v>
      </c>
      <c r="K431" s="24">
        <v>43741</v>
      </c>
      <c r="L431" s="25">
        <v>0.75694444444444442</v>
      </c>
      <c r="M431" s="22" t="s">
        <v>1477</v>
      </c>
      <c r="N431" s="26">
        <v>25.45</v>
      </c>
      <c r="O431" s="27">
        <f t="shared" si="6"/>
        <v>4.761904762E-2</v>
      </c>
      <c r="P431" s="23">
        <v>1.2725</v>
      </c>
      <c r="Q431" s="28">
        <v>5.0999999999999996</v>
      </c>
      <c r="Y431" s="5" t="s">
        <v>1462</v>
      </c>
      <c r="Z431" s="5">
        <v>5</v>
      </c>
    </row>
    <row r="432" spans="1:26" x14ac:dyDescent="0.35">
      <c r="A432" s="21" t="s">
        <v>1957</v>
      </c>
      <c r="B432" s="22" t="s">
        <v>1466</v>
      </c>
      <c r="C432" s="22" t="s">
        <v>1467</v>
      </c>
      <c r="D432" s="22" t="s">
        <v>1461</v>
      </c>
      <c r="E432" s="22" t="s">
        <v>19</v>
      </c>
      <c r="F432" s="22" t="s">
        <v>1486</v>
      </c>
      <c r="G432" s="22">
        <v>67.77</v>
      </c>
      <c r="H432" s="22">
        <v>1</v>
      </c>
      <c r="I432" s="22">
        <v>3.3885000000000001</v>
      </c>
      <c r="J432" s="23">
        <v>71.158500000000004</v>
      </c>
      <c r="K432" s="24">
        <v>43557</v>
      </c>
      <c r="L432" s="25">
        <v>0.86319444444444449</v>
      </c>
      <c r="M432" s="22" t="s">
        <v>1477</v>
      </c>
      <c r="N432" s="26">
        <v>67.77</v>
      </c>
      <c r="O432" s="27">
        <f t="shared" si="6"/>
        <v>4.761904762E-2</v>
      </c>
      <c r="P432" s="23">
        <v>3.3885000000000001</v>
      </c>
      <c r="Q432" s="28">
        <v>6.5</v>
      </c>
      <c r="Y432" s="5" t="s">
        <v>1486</v>
      </c>
      <c r="Z432" s="5">
        <v>10</v>
      </c>
    </row>
    <row r="433" spans="1:26" x14ac:dyDescent="0.35">
      <c r="A433" s="21" t="s">
        <v>1958</v>
      </c>
      <c r="B433" s="22" t="s">
        <v>1475</v>
      </c>
      <c r="C433" s="22" t="s">
        <v>1476</v>
      </c>
      <c r="D433" s="22" t="s">
        <v>1479</v>
      </c>
      <c r="E433" s="22" t="s">
        <v>27</v>
      </c>
      <c r="F433" s="22" t="s">
        <v>1486</v>
      </c>
      <c r="G433" s="22">
        <v>59.59</v>
      </c>
      <c r="H433" s="22">
        <v>4</v>
      </c>
      <c r="I433" s="22">
        <v>11.917999999999999</v>
      </c>
      <c r="J433" s="23">
        <v>250.27799999999999</v>
      </c>
      <c r="K433" s="24" t="s">
        <v>1528</v>
      </c>
      <c r="L433" s="25">
        <v>0.53194444444444444</v>
      </c>
      <c r="M433" s="22" t="s">
        <v>1464</v>
      </c>
      <c r="N433" s="26">
        <v>238.36</v>
      </c>
      <c r="O433" s="27">
        <f t="shared" si="6"/>
        <v>4.761904762E-2</v>
      </c>
      <c r="P433" s="23">
        <v>11.917999999999999</v>
      </c>
      <c r="Q433" s="28">
        <v>9.8000000000000007</v>
      </c>
      <c r="Y433" s="5" t="s">
        <v>1482</v>
      </c>
      <c r="Z433" s="5">
        <v>7</v>
      </c>
    </row>
    <row r="434" spans="1:26" x14ac:dyDescent="0.35">
      <c r="A434" s="21" t="s">
        <v>1959</v>
      </c>
      <c r="B434" s="22" t="s">
        <v>1459</v>
      </c>
      <c r="C434" s="22" t="s">
        <v>1460</v>
      </c>
      <c r="D434" s="22" t="s">
        <v>1461</v>
      </c>
      <c r="E434" s="22" t="s">
        <v>27</v>
      </c>
      <c r="F434" s="22" t="s">
        <v>1473</v>
      </c>
      <c r="G434" s="22">
        <v>58.15</v>
      </c>
      <c r="H434" s="22">
        <v>4</v>
      </c>
      <c r="I434" s="22">
        <v>11.63</v>
      </c>
      <c r="J434" s="23">
        <v>244.23</v>
      </c>
      <c r="K434" s="24" t="s">
        <v>1463</v>
      </c>
      <c r="L434" s="25">
        <v>0.73888888888888893</v>
      </c>
      <c r="M434" s="22" t="s">
        <v>1464</v>
      </c>
      <c r="N434" s="26">
        <v>232.6</v>
      </c>
      <c r="O434" s="27">
        <f t="shared" si="6"/>
        <v>4.761904762E-2</v>
      </c>
      <c r="P434" s="23">
        <v>11.63</v>
      </c>
      <c r="Q434" s="28">
        <v>8.4</v>
      </c>
      <c r="Y434" s="5" t="s">
        <v>1462</v>
      </c>
      <c r="Z434" s="5">
        <v>7</v>
      </c>
    </row>
    <row r="435" spans="1:26" x14ac:dyDescent="0.35">
      <c r="A435" s="21" t="s">
        <v>1960</v>
      </c>
      <c r="B435" s="22" t="s">
        <v>1459</v>
      </c>
      <c r="C435" s="22" t="s">
        <v>1460</v>
      </c>
      <c r="D435" s="22" t="s">
        <v>1479</v>
      </c>
      <c r="E435" s="22" t="s">
        <v>19</v>
      </c>
      <c r="F435" s="22" t="s">
        <v>1501</v>
      </c>
      <c r="G435" s="22">
        <v>97.48</v>
      </c>
      <c r="H435" s="22">
        <v>9</v>
      </c>
      <c r="I435" s="22">
        <v>43.866</v>
      </c>
      <c r="J435" s="66">
        <v>921.18600000000004</v>
      </c>
      <c r="K435" s="24" t="s">
        <v>1492</v>
      </c>
      <c r="L435" s="25">
        <v>0.59652777777777777</v>
      </c>
      <c r="M435" s="22" t="s">
        <v>1469</v>
      </c>
      <c r="N435" s="26">
        <v>877.32</v>
      </c>
      <c r="O435" s="27">
        <f t="shared" si="6"/>
        <v>4.761904762E-2</v>
      </c>
      <c r="P435" s="23">
        <v>43.866</v>
      </c>
      <c r="Q435" s="28">
        <v>7.4</v>
      </c>
      <c r="Y435" s="5" t="s">
        <v>1482</v>
      </c>
      <c r="Z435" s="5">
        <v>3</v>
      </c>
    </row>
    <row r="436" spans="1:26" x14ac:dyDescent="0.35">
      <c r="A436" s="21" t="s">
        <v>1961</v>
      </c>
      <c r="B436" s="22" t="s">
        <v>1475</v>
      </c>
      <c r="C436" s="22" t="s">
        <v>1476</v>
      </c>
      <c r="D436" s="22" t="s">
        <v>1461</v>
      </c>
      <c r="E436" s="22" t="s">
        <v>27</v>
      </c>
      <c r="F436" s="22" t="s">
        <v>1473</v>
      </c>
      <c r="G436" s="22">
        <v>99.96</v>
      </c>
      <c r="H436" s="22">
        <v>7</v>
      </c>
      <c r="I436" s="22">
        <v>34.985999999999997</v>
      </c>
      <c r="J436" s="66">
        <v>734.70600000000002</v>
      </c>
      <c r="K436" s="24" t="s">
        <v>1463</v>
      </c>
      <c r="L436" s="25">
        <v>0.43958333333333333</v>
      </c>
      <c r="M436" s="22" t="s">
        <v>1464</v>
      </c>
      <c r="N436" s="26">
        <v>699.72</v>
      </c>
      <c r="O436" s="27">
        <f t="shared" si="6"/>
        <v>4.761904762E-2</v>
      </c>
      <c r="P436" s="23">
        <v>34.985999999999997</v>
      </c>
      <c r="Q436" s="28">
        <v>6.1</v>
      </c>
      <c r="Y436" s="5" t="s">
        <v>1468</v>
      </c>
      <c r="Z436" s="5">
        <v>2</v>
      </c>
    </row>
    <row r="437" spans="1:26" x14ac:dyDescent="0.35">
      <c r="A437" s="21" t="s">
        <v>1962</v>
      </c>
      <c r="B437" s="22" t="s">
        <v>1475</v>
      </c>
      <c r="C437" s="22" t="s">
        <v>1476</v>
      </c>
      <c r="D437" s="22" t="s">
        <v>1461</v>
      </c>
      <c r="E437" s="22" t="s">
        <v>27</v>
      </c>
      <c r="F437" s="22" t="s">
        <v>1462</v>
      </c>
      <c r="G437" s="22">
        <v>96.37</v>
      </c>
      <c r="H437" s="22">
        <v>7</v>
      </c>
      <c r="I437" s="22">
        <v>33.729500000000002</v>
      </c>
      <c r="J437" s="66">
        <v>708.31949999999995</v>
      </c>
      <c r="K437" s="24">
        <v>43709</v>
      </c>
      <c r="L437" s="25">
        <v>0.4861111111111111</v>
      </c>
      <c r="M437" s="22" t="s">
        <v>1464</v>
      </c>
      <c r="N437" s="26">
        <v>674.59</v>
      </c>
      <c r="O437" s="27">
        <f t="shared" si="6"/>
        <v>4.761904762E-2</v>
      </c>
      <c r="P437" s="23">
        <v>33.729500000000002</v>
      </c>
      <c r="Q437" s="28">
        <v>6</v>
      </c>
      <c r="Y437" s="5" t="s">
        <v>1468</v>
      </c>
      <c r="Z437" s="5">
        <v>2</v>
      </c>
    </row>
    <row r="438" spans="1:26" x14ac:dyDescent="0.35">
      <c r="A438" s="21" t="s">
        <v>1963</v>
      </c>
      <c r="B438" s="22" t="s">
        <v>1466</v>
      </c>
      <c r="C438" s="22" t="s">
        <v>1467</v>
      </c>
      <c r="D438" s="22" t="s">
        <v>1461</v>
      </c>
      <c r="E438" s="22" t="s">
        <v>19</v>
      </c>
      <c r="F438" s="22" t="s">
        <v>1468</v>
      </c>
      <c r="G438" s="22">
        <v>63.71</v>
      </c>
      <c r="H438" s="22">
        <v>5</v>
      </c>
      <c r="I438" s="22">
        <v>15.9275</v>
      </c>
      <c r="J438" s="23">
        <v>334.47750000000002</v>
      </c>
      <c r="K438" s="24">
        <v>43648</v>
      </c>
      <c r="L438" s="25">
        <v>0.8125</v>
      </c>
      <c r="M438" s="22" t="s">
        <v>1469</v>
      </c>
      <c r="N438" s="26">
        <v>318.55</v>
      </c>
      <c r="O438" s="27">
        <f t="shared" si="6"/>
        <v>4.761904762E-2</v>
      </c>
      <c r="P438" s="23">
        <v>15.9275</v>
      </c>
      <c r="Q438" s="28">
        <v>8.5</v>
      </c>
      <c r="Y438" s="5" t="s">
        <v>1486</v>
      </c>
      <c r="Z438" s="5">
        <v>4</v>
      </c>
    </row>
    <row r="439" spans="1:26" x14ac:dyDescent="0.35">
      <c r="A439" s="21" t="s">
        <v>1964</v>
      </c>
      <c r="B439" s="22" t="s">
        <v>1466</v>
      </c>
      <c r="C439" s="22" t="s">
        <v>1467</v>
      </c>
      <c r="D439" s="22" t="s">
        <v>1461</v>
      </c>
      <c r="E439" s="22" t="s">
        <v>19</v>
      </c>
      <c r="F439" s="22" t="s">
        <v>1473</v>
      </c>
      <c r="G439" s="22">
        <v>14.76</v>
      </c>
      <c r="H439" s="22">
        <v>2</v>
      </c>
      <c r="I439" s="22">
        <v>1.476</v>
      </c>
      <c r="J439" s="23">
        <v>30.995999999999999</v>
      </c>
      <c r="K439" s="24" t="s">
        <v>1965</v>
      </c>
      <c r="L439" s="25">
        <v>0.61250000000000004</v>
      </c>
      <c r="M439" s="22" t="s">
        <v>1469</v>
      </c>
      <c r="N439" s="26">
        <v>29.52</v>
      </c>
      <c r="O439" s="27">
        <f t="shared" si="6"/>
        <v>4.761904762E-2</v>
      </c>
      <c r="P439" s="23">
        <v>1.476</v>
      </c>
      <c r="Q439" s="28">
        <v>4.3</v>
      </c>
      <c r="Y439" s="5" t="s">
        <v>1486</v>
      </c>
      <c r="Z439" s="5">
        <v>6</v>
      </c>
    </row>
    <row r="440" spans="1:26" x14ac:dyDescent="0.35">
      <c r="A440" s="21" t="s">
        <v>1966</v>
      </c>
      <c r="B440" s="22" t="s">
        <v>1466</v>
      </c>
      <c r="C440" s="22" t="s">
        <v>1467</v>
      </c>
      <c r="D440" s="22" t="s">
        <v>1479</v>
      </c>
      <c r="E440" s="22" t="s">
        <v>27</v>
      </c>
      <c r="F440" s="22" t="s">
        <v>1473</v>
      </c>
      <c r="G440" s="22">
        <v>62</v>
      </c>
      <c r="H440" s="22">
        <v>8</v>
      </c>
      <c r="I440" s="22">
        <v>24.8</v>
      </c>
      <c r="J440" s="66">
        <v>520.79999999999995</v>
      </c>
      <c r="K440" s="24">
        <v>43525</v>
      </c>
      <c r="L440" s="25">
        <v>0.79722222222222228</v>
      </c>
      <c r="M440" s="22" t="s">
        <v>1477</v>
      </c>
      <c r="N440" s="26">
        <v>496</v>
      </c>
      <c r="O440" s="27">
        <f t="shared" si="6"/>
        <v>4.761904762E-2</v>
      </c>
      <c r="P440" s="23">
        <v>24.8</v>
      </c>
      <c r="Q440" s="28">
        <v>6.2</v>
      </c>
      <c r="Y440" s="5" t="s">
        <v>1462</v>
      </c>
      <c r="Z440" s="5">
        <v>1</v>
      </c>
    </row>
    <row r="441" spans="1:26" x14ac:dyDescent="0.35">
      <c r="A441" s="21" t="s">
        <v>1967</v>
      </c>
      <c r="B441" s="22" t="s">
        <v>1475</v>
      </c>
      <c r="C441" s="22" t="s">
        <v>1476</v>
      </c>
      <c r="D441" s="22" t="s">
        <v>1479</v>
      </c>
      <c r="E441" s="22" t="s">
        <v>27</v>
      </c>
      <c r="F441" s="22" t="s">
        <v>1462</v>
      </c>
      <c r="G441" s="22">
        <v>82.34</v>
      </c>
      <c r="H441" s="22">
        <v>10</v>
      </c>
      <c r="I441" s="22">
        <v>41.17</v>
      </c>
      <c r="J441" s="66">
        <v>864.57</v>
      </c>
      <c r="K441" s="24" t="s">
        <v>1490</v>
      </c>
      <c r="L441" s="25">
        <v>0.8</v>
      </c>
      <c r="M441" s="22" t="s">
        <v>1469</v>
      </c>
      <c r="N441" s="26">
        <v>823.4</v>
      </c>
      <c r="O441" s="27">
        <f t="shared" si="6"/>
        <v>4.761904762E-2</v>
      </c>
      <c r="P441" s="23">
        <v>41.17</v>
      </c>
      <c r="Q441" s="28">
        <v>4.3</v>
      </c>
      <c r="Y441" s="5" t="s">
        <v>1486</v>
      </c>
      <c r="Z441" s="5">
        <v>1</v>
      </c>
    </row>
    <row r="442" spans="1:26" x14ac:dyDescent="0.35">
      <c r="A442" s="21" t="s">
        <v>1968</v>
      </c>
      <c r="B442" s="22" t="s">
        <v>1466</v>
      </c>
      <c r="C442" s="22" t="s">
        <v>1467</v>
      </c>
      <c r="D442" s="22" t="s">
        <v>1479</v>
      </c>
      <c r="E442" s="22" t="s">
        <v>27</v>
      </c>
      <c r="F442" s="22" t="s">
        <v>1473</v>
      </c>
      <c r="G442" s="22">
        <v>75.37</v>
      </c>
      <c r="H442" s="22">
        <v>8</v>
      </c>
      <c r="I442" s="22">
        <v>30.148</v>
      </c>
      <c r="J442" s="66">
        <v>633.10799999999995</v>
      </c>
      <c r="K442" s="24" t="s">
        <v>1803</v>
      </c>
      <c r="L442" s="25">
        <v>0.65694444444444444</v>
      </c>
      <c r="M442" s="22" t="s">
        <v>1477</v>
      </c>
      <c r="N442" s="26">
        <v>602.96</v>
      </c>
      <c r="O442" s="27">
        <f t="shared" si="6"/>
        <v>4.761904762E-2</v>
      </c>
      <c r="P442" s="23">
        <v>30.148</v>
      </c>
      <c r="Q442" s="28">
        <v>8.4</v>
      </c>
      <c r="Y442" s="5" t="s">
        <v>1486</v>
      </c>
      <c r="Z442" s="5">
        <v>4</v>
      </c>
    </row>
    <row r="443" spans="1:26" x14ac:dyDescent="0.35">
      <c r="A443" s="21" t="s">
        <v>1969</v>
      </c>
      <c r="B443" s="22" t="s">
        <v>1459</v>
      </c>
      <c r="C443" s="22" t="s">
        <v>1460</v>
      </c>
      <c r="D443" s="22" t="s">
        <v>1461</v>
      </c>
      <c r="E443" s="22" t="s">
        <v>19</v>
      </c>
      <c r="F443" s="22" t="s">
        <v>1486</v>
      </c>
      <c r="G443" s="22">
        <v>56.56</v>
      </c>
      <c r="H443" s="22">
        <v>5</v>
      </c>
      <c r="I443" s="22">
        <v>14.14</v>
      </c>
      <c r="J443" s="23">
        <v>296.94</v>
      </c>
      <c r="K443" s="24" t="s">
        <v>1513</v>
      </c>
      <c r="L443" s="25">
        <v>0.79583333333333328</v>
      </c>
      <c r="M443" s="22" t="s">
        <v>1477</v>
      </c>
      <c r="N443" s="26">
        <v>282.8</v>
      </c>
      <c r="O443" s="27">
        <f t="shared" si="6"/>
        <v>4.761904762E-2</v>
      </c>
      <c r="P443" s="23">
        <v>14.14</v>
      </c>
      <c r="Q443" s="28">
        <v>4.5</v>
      </c>
      <c r="Y443" s="5" t="s">
        <v>1473</v>
      </c>
      <c r="Z443" s="5">
        <v>4</v>
      </c>
    </row>
    <row r="444" spans="1:26" x14ac:dyDescent="0.35">
      <c r="A444" s="21" t="s">
        <v>1970</v>
      </c>
      <c r="B444" s="22" t="s">
        <v>1466</v>
      </c>
      <c r="C444" s="22" t="s">
        <v>1467</v>
      </c>
      <c r="D444" s="22" t="s">
        <v>1461</v>
      </c>
      <c r="E444" s="22" t="s">
        <v>19</v>
      </c>
      <c r="F444" s="22" t="s">
        <v>1501</v>
      </c>
      <c r="G444" s="22">
        <v>76.599999999999994</v>
      </c>
      <c r="H444" s="22">
        <v>10</v>
      </c>
      <c r="I444" s="22">
        <v>38.299999999999997</v>
      </c>
      <c r="J444" s="66">
        <v>804.3</v>
      </c>
      <c r="K444" s="24" t="s">
        <v>1566</v>
      </c>
      <c r="L444" s="25">
        <v>0.75694444444444442</v>
      </c>
      <c r="M444" s="22" t="s">
        <v>1469</v>
      </c>
      <c r="N444" s="26">
        <v>766</v>
      </c>
      <c r="O444" s="27">
        <f t="shared" si="6"/>
        <v>4.761904762E-2</v>
      </c>
      <c r="P444" s="23">
        <v>38.299999999999997</v>
      </c>
      <c r="Q444" s="28">
        <v>6</v>
      </c>
      <c r="Y444" s="5" t="s">
        <v>1501</v>
      </c>
      <c r="Z444" s="5">
        <v>9</v>
      </c>
    </row>
    <row r="445" spans="1:26" x14ac:dyDescent="0.35">
      <c r="A445" s="21" t="s">
        <v>1971</v>
      </c>
      <c r="B445" s="22" t="s">
        <v>1459</v>
      </c>
      <c r="C445" s="22" t="s">
        <v>1460</v>
      </c>
      <c r="D445" s="22" t="s">
        <v>1461</v>
      </c>
      <c r="E445" s="22" t="s">
        <v>27</v>
      </c>
      <c r="F445" s="22" t="s">
        <v>1462</v>
      </c>
      <c r="G445" s="22">
        <v>58.03</v>
      </c>
      <c r="H445" s="22">
        <v>2</v>
      </c>
      <c r="I445" s="22">
        <v>5.8029999999999999</v>
      </c>
      <c r="J445" s="23">
        <v>121.863</v>
      </c>
      <c r="K445" s="24">
        <v>43741</v>
      </c>
      <c r="L445" s="25">
        <v>0.86527777777777781</v>
      </c>
      <c r="M445" s="22" t="s">
        <v>1469</v>
      </c>
      <c r="N445" s="26">
        <v>116.06</v>
      </c>
      <c r="O445" s="27">
        <f t="shared" si="6"/>
        <v>4.761904762E-2</v>
      </c>
      <c r="P445" s="23">
        <v>5.8029999999999999</v>
      </c>
      <c r="Q445" s="28">
        <v>8.8000000000000007</v>
      </c>
      <c r="Y445" s="5" t="s">
        <v>1473</v>
      </c>
      <c r="Z445" s="5">
        <v>7</v>
      </c>
    </row>
    <row r="446" spans="1:26" x14ac:dyDescent="0.35">
      <c r="A446" s="21" t="s">
        <v>1972</v>
      </c>
      <c r="B446" s="22" t="s">
        <v>1466</v>
      </c>
      <c r="C446" s="22" t="s">
        <v>1467</v>
      </c>
      <c r="D446" s="22" t="s">
        <v>1461</v>
      </c>
      <c r="E446" s="22" t="s">
        <v>27</v>
      </c>
      <c r="F446" s="22" t="s">
        <v>1468</v>
      </c>
      <c r="G446" s="22">
        <v>17.489999999999998</v>
      </c>
      <c r="H446" s="22">
        <v>10</v>
      </c>
      <c r="I446" s="22">
        <v>8.7449999999999992</v>
      </c>
      <c r="J446" s="23">
        <v>183.64500000000001</v>
      </c>
      <c r="K446" s="24" t="s">
        <v>1471</v>
      </c>
      <c r="L446" s="25">
        <v>0.77430555555555558</v>
      </c>
      <c r="M446" s="22" t="s">
        <v>1469</v>
      </c>
      <c r="N446" s="26">
        <v>174.9</v>
      </c>
      <c r="O446" s="27">
        <f t="shared" si="6"/>
        <v>4.761904762E-2</v>
      </c>
      <c r="P446" s="23">
        <v>8.7449999999999992</v>
      </c>
      <c r="Q446" s="28">
        <v>6.6</v>
      </c>
      <c r="Y446" s="5" t="s">
        <v>1462</v>
      </c>
      <c r="Z446" s="5">
        <v>7</v>
      </c>
    </row>
    <row r="447" spans="1:26" x14ac:dyDescent="0.35">
      <c r="A447" s="21" t="s">
        <v>1973</v>
      </c>
      <c r="B447" s="22" t="s">
        <v>1475</v>
      </c>
      <c r="C447" s="22" t="s">
        <v>1476</v>
      </c>
      <c r="D447" s="22" t="s">
        <v>1479</v>
      </c>
      <c r="E447" s="22" t="s">
        <v>19</v>
      </c>
      <c r="F447" s="22" t="s">
        <v>1462</v>
      </c>
      <c r="G447" s="22">
        <v>60.95</v>
      </c>
      <c r="H447" s="22">
        <v>1</v>
      </c>
      <c r="I447" s="22">
        <v>3.0474999999999999</v>
      </c>
      <c r="J447" s="23">
        <v>63.997500000000002</v>
      </c>
      <c r="K447" s="24" t="s">
        <v>1965</v>
      </c>
      <c r="L447" s="25">
        <v>0.4861111111111111</v>
      </c>
      <c r="M447" s="22" t="s">
        <v>1469</v>
      </c>
      <c r="N447" s="26">
        <v>60.95</v>
      </c>
      <c r="O447" s="27">
        <f t="shared" si="6"/>
        <v>4.761904762E-2</v>
      </c>
      <c r="P447" s="23">
        <v>3.0474999999999999</v>
      </c>
      <c r="Q447" s="28">
        <v>5.9</v>
      </c>
      <c r="Y447" s="5" t="s">
        <v>1468</v>
      </c>
      <c r="Z447" s="5">
        <v>5</v>
      </c>
    </row>
    <row r="448" spans="1:26" x14ac:dyDescent="0.35">
      <c r="A448" s="21" t="s">
        <v>1974</v>
      </c>
      <c r="B448" s="22" t="s">
        <v>1475</v>
      </c>
      <c r="C448" s="22" t="s">
        <v>1476</v>
      </c>
      <c r="D448" s="22" t="s">
        <v>1461</v>
      </c>
      <c r="E448" s="22" t="s">
        <v>27</v>
      </c>
      <c r="F448" s="22" t="s">
        <v>1473</v>
      </c>
      <c r="G448" s="22">
        <v>40.35</v>
      </c>
      <c r="H448" s="22">
        <v>1</v>
      </c>
      <c r="I448" s="22">
        <v>2.0175000000000001</v>
      </c>
      <c r="J448" s="23">
        <v>42.3675</v>
      </c>
      <c r="K448" s="24" t="s">
        <v>1508</v>
      </c>
      <c r="L448" s="25">
        <v>0.57361111111111107</v>
      </c>
      <c r="M448" s="22" t="s">
        <v>1469</v>
      </c>
      <c r="N448" s="26">
        <v>40.35</v>
      </c>
      <c r="O448" s="27">
        <f t="shared" si="6"/>
        <v>4.761904762E-2</v>
      </c>
      <c r="P448" s="23">
        <v>2.0175000000000001</v>
      </c>
      <c r="Q448" s="28">
        <v>6.2</v>
      </c>
      <c r="Y448" s="5" t="s">
        <v>1473</v>
      </c>
      <c r="Z448" s="5">
        <v>2</v>
      </c>
    </row>
    <row r="449" spans="1:26" x14ac:dyDescent="0.35">
      <c r="A449" s="21" t="s">
        <v>1975</v>
      </c>
      <c r="B449" s="22" t="s">
        <v>1466</v>
      </c>
      <c r="C449" s="22" t="s">
        <v>1467</v>
      </c>
      <c r="D449" s="22" t="s">
        <v>1461</v>
      </c>
      <c r="E449" s="22" t="s">
        <v>19</v>
      </c>
      <c r="F449" s="22" t="s">
        <v>1482</v>
      </c>
      <c r="G449" s="22">
        <v>97.38</v>
      </c>
      <c r="H449" s="22">
        <v>10</v>
      </c>
      <c r="I449" s="22">
        <v>48.69</v>
      </c>
      <c r="J449" s="66">
        <v>1022.49</v>
      </c>
      <c r="K449" s="24">
        <v>43499</v>
      </c>
      <c r="L449" s="25">
        <v>0.71944444444444444</v>
      </c>
      <c r="M449" s="22" t="s">
        <v>1469</v>
      </c>
      <c r="N449" s="26">
        <v>973.8</v>
      </c>
      <c r="O449" s="27">
        <f t="shared" si="6"/>
        <v>4.761904762E-2</v>
      </c>
      <c r="P449" s="23">
        <v>48.69</v>
      </c>
      <c r="Q449" s="28">
        <v>4.4000000000000004</v>
      </c>
      <c r="Y449" s="5" t="s">
        <v>1473</v>
      </c>
      <c r="Z449" s="5">
        <v>8</v>
      </c>
    </row>
    <row r="450" spans="1:26" x14ac:dyDescent="0.35">
      <c r="A450" s="21" t="s">
        <v>1976</v>
      </c>
      <c r="B450" s="22" t="s">
        <v>1459</v>
      </c>
      <c r="C450" s="22" t="s">
        <v>1460</v>
      </c>
      <c r="D450" s="22" t="s">
        <v>1479</v>
      </c>
      <c r="E450" s="22" t="s">
        <v>27</v>
      </c>
      <c r="F450" s="22" t="s">
        <v>1486</v>
      </c>
      <c r="G450" s="22">
        <v>31.84</v>
      </c>
      <c r="H450" s="22">
        <v>1</v>
      </c>
      <c r="I450" s="22">
        <v>1.5920000000000001</v>
      </c>
      <c r="J450" s="23">
        <v>33.432000000000002</v>
      </c>
      <c r="K450" s="24">
        <v>43710</v>
      </c>
      <c r="L450" s="25">
        <v>0.55694444444444446</v>
      </c>
      <c r="M450" s="22" t="s">
        <v>1464</v>
      </c>
      <c r="N450" s="26">
        <v>31.84</v>
      </c>
      <c r="O450" s="27">
        <f t="shared" ref="O450:O512" si="7">4.761904762/100</f>
        <v>4.761904762E-2</v>
      </c>
      <c r="P450" s="23">
        <v>1.5920000000000001</v>
      </c>
      <c r="Q450" s="28">
        <v>7.7</v>
      </c>
      <c r="Y450" s="5" t="s">
        <v>1462</v>
      </c>
      <c r="Z450" s="5">
        <v>10</v>
      </c>
    </row>
    <row r="451" spans="1:26" x14ac:dyDescent="0.35">
      <c r="A451" s="21" t="s">
        <v>1977</v>
      </c>
      <c r="B451" s="22" t="s">
        <v>1459</v>
      </c>
      <c r="C451" s="22" t="s">
        <v>1460</v>
      </c>
      <c r="D451" s="22" t="s">
        <v>1461</v>
      </c>
      <c r="E451" s="22" t="s">
        <v>27</v>
      </c>
      <c r="F451" s="22" t="s">
        <v>1482</v>
      </c>
      <c r="G451" s="22">
        <v>65.819999999999993</v>
      </c>
      <c r="H451" s="22">
        <v>1</v>
      </c>
      <c r="I451" s="22">
        <v>3.2909999999999999</v>
      </c>
      <c r="J451" s="23">
        <v>69.111000000000004</v>
      </c>
      <c r="K451" s="24" t="s">
        <v>1471</v>
      </c>
      <c r="L451" s="25">
        <v>0.6479166666666667</v>
      </c>
      <c r="M451" s="22" t="s">
        <v>1464</v>
      </c>
      <c r="N451" s="26">
        <v>65.819999999999993</v>
      </c>
      <c r="O451" s="27">
        <f t="shared" si="7"/>
        <v>4.761904762E-2</v>
      </c>
      <c r="P451" s="23">
        <v>3.2909999999999999</v>
      </c>
      <c r="Q451" s="28">
        <v>4.0999999999999996</v>
      </c>
      <c r="Y451" s="5" t="s">
        <v>1473</v>
      </c>
      <c r="Z451" s="5">
        <v>8</v>
      </c>
    </row>
    <row r="452" spans="1:26" x14ac:dyDescent="0.35">
      <c r="A452" s="21" t="s">
        <v>1978</v>
      </c>
      <c r="B452" s="22" t="s">
        <v>1459</v>
      </c>
      <c r="C452" s="22" t="s">
        <v>1460</v>
      </c>
      <c r="D452" s="22" t="s">
        <v>1479</v>
      </c>
      <c r="E452" s="22" t="s">
        <v>19</v>
      </c>
      <c r="F452" s="22" t="s">
        <v>1468</v>
      </c>
      <c r="G452" s="22">
        <v>88.34</v>
      </c>
      <c r="H452" s="22">
        <v>7</v>
      </c>
      <c r="I452" s="22">
        <v>30.919</v>
      </c>
      <c r="J452" s="66">
        <v>649.29899999999998</v>
      </c>
      <c r="K452" s="24" t="s">
        <v>1965</v>
      </c>
      <c r="L452" s="25">
        <v>0.56111111111111112</v>
      </c>
      <c r="M452" s="22" t="s">
        <v>1464</v>
      </c>
      <c r="N452" s="26">
        <v>618.38</v>
      </c>
      <c r="O452" s="27">
        <f t="shared" si="7"/>
        <v>4.761904762E-2</v>
      </c>
      <c r="P452" s="23">
        <v>30.919</v>
      </c>
      <c r="Q452" s="28">
        <v>6.6</v>
      </c>
      <c r="Y452" s="5" t="s">
        <v>1486</v>
      </c>
      <c r="Z452" s="5">
        <v>5</v>
      </c>
    </row>
    <row r="453" spans="1:26" x14ac:dyDescent="0.35">
      <c r="A453" s="21" t="s">
        <v>1994</v>
      </c>
      <c r="B453" s="22" t="s">
        <v>1459</v>
      </c>
      <c r="C453" s="22" t="s">
        <v>1460</v>
      </c>
      <c r="D453" s="22" t="s">
        <v>1461</v>
      </c>
      <c r="E453" s="22" t="s">
        <v>19</v>
      </c>
      <c r="F453" s="22" t="s">
        <v>1473</v>
      </c>
      <c r="G453" s="22">
        <v>71.38</v>
      </c>
      <c r="H453" s="22">
        <v>10</v>
      </c>
      <c r="I453" s="22">
        <v>35.69</v>
      </c>
      <c r="J453" s="66">
        <v>749.49</v>
      </c>
      <c r="K453" s="24" t="s">
        <v>1490</v>
      </c>
      <c r="L453" s="25">
        <v>0.80625000000000002</v>
      </c>
      <c r="M453" s="22" t="s">
        <v>1464</v>
      </c>
      <c r="N453" s="26">
        <v>713.8</v>
      </c>
      <c r="O453" s="27">
        <f t="shared" si="7"/>
        <v>4.761904762E-2</v>
      </c>
      <c r="P453" s="23">
        <v>35.69</v>
      </c>
      <c r="Q453" s="28">
        <v>5.7</v>
      </c>
      <c r="Y453" s="5" t="s">
        <v>1501</v>
      </c>
      <c r="Z453" s="5">
        <v>10</v>
      </c>
    </row>
    <row r="454" spans="1:26" x14ac:dyDescent="0.35">
      <c r="A454" s="21" t="s">
        <v>1995</v>
      </c>
      <c r="B454" s="22" t="s">
        <v>1466</v>
      </c>
      <c r="C454" s="22" t="s">
        <v>1467</v>
      </c>
      <c r="D454" s="22" t="s">
        <v>1479</v>
      </c>
      <c r="E454" s="22" t="s">
        <v>19</v>
      </c>
      <c r="F454" s="22" t="s">
        <v>1501</v>
      </c>
      <c r="G454" s="22">
        <v>93.72</v>
      </c>
      <c r="H454" s="22">
        <v>6</v>
      </c>
      <c r="I454" s="22">
        <v>28.116</v>
      </c>
      <c r="J454" s="66">
        <v>590.43600000000004</v>
      </c>
      <c r="K454" s="24" t="s">
        <v>1589</v>
      </c>
      <c r="L454" s="25">
        <v>0.67986111111111114</v>
      </c>
      <c r="M454" s="22" t="s">
        <v>1464</v>
      </c>
      <c r="N454" s="26">
        <v>562.32000000000005</v>
      </c>
      <c r="O454" s="27">
        <f t="shared" si="7"/>
        <v>4.761904762E-2</v>
      </c>
      <c r="P454" s="23">
        <v>28.116</v>
      </c>
      <c r="Q454" s="28">
        <v>4.5</v>
      </c>
      <c r="Y454" s="5" t="s">
        <v>1462</v>
      </c>
      <c r="Z454" s="5">
        <v>2</v>
      </c>
    </row>
    <row r="455" spans="1:26" x14ac:dyDescent="0.35">
      <c r="A455" s="21" t="s">
        <v>1996</v>
      </c>
      <c r="B455" s="22" t="s">
        <v>1459</v>
      </c>
      <c r="C455" s="22" t="s">
        <v>1460</v>
      </c>
      <c r="D455" s="22" t="s">
        <v>1479</v>
      </c>
      <c r="E455" s="22" t="s">
        <v>19</v>
      </c>
      <c r="F455" s="22" t="s">
        <v>1473</v>
      </c>
      <c r="G455" s="22">
        <v>68.930000000000007</v>
      </c>
      <c r="H455" s="22">
        <v>7</v>
      </c>
      <c r="I455" s="22">
        <v>24.125499999999999</v>
      </c>
      <c r="J455" s="66">
        <v>506.63549999999998</v>
      </c>
      <c r="K455" s="24">
        <v>43772</v>
      </c>
      <c r="L455" s="25">
        <v>0.46041666666666664</v>
      </c>
      <c r="M455" s="22" t="s">
        <v>1477</v>
      </c>
      <c r="N455" s="26">
        <v>482.51</v>
      </c>
      <c r="O455" s="27">
        <f t="shared" si="7"/>
        <v>4.761904762E-2</v>
      </c>
      <c r="P455" s="23">
        <v>24.125499999999999</v>
      </c>
      <c r="Q455" s="28">
        <v>4.5999999999999996</v>
      </c>
      <c r="Y455" s="5" t="s">
        <v>1468</v>
      </c>
      <c r="Z455" s="5">
        <v>10</v>
      </c>
    </row>
    <row r="456" spans="1:26" x14ac:dyDescent="0.35">
      <c r="A456" s="21" t="s">
        <v>1997</v>
      </c>
      <c r="B456" s="22" t="s">
        <v>1459</v>
      </c>
      <c r="C456" s="22" t="s">
        <v>1460</v>
      </c>
      <c r="D456" s="22" t="s">
        <v>1461</v>
      </c>
      <c r="E456" s="22" t="s">
        <v>27</v>
      </c>
      <c r="F456" s="22" t="s">
        <v>1501</v>
      </c>
      <c r="G456" s="22">
        <v>72.61</v>
      </c>
      <c r="H456" s="22">
        <v>6</v>
      </c>
      <c r="I456" s="22">
        <v>21.783000000000001</v>
      </c>
      <c r="J456" s="23">
        <v>457.44299999999998</v>
      </c>
      <c r="K456" s="24">
        <v>43466</v>
      </c>
      <c r="L456" s="25">
        <v>0.44374999999999998</v>
      </c>
      <c r="M456" s="22" t="s">
        <v>1477</v>
      </c>
      <c r="N456" s="26">
        <v>435.66</v>
      </c>
      <c r="O456" s="27">
        <f t="shared" si="7"/>
        <v>4.761904762E-2</v>
      </c>
      <c r="P456" s="23">
        <v>21.783000000000001</v>
      </c>
      <c r="Q456" s="28">
        <v>6.9</v>
      </c>
      <c r="Y456" s="5" t="s">
        <v>1462</v>
      </c>
      <c r="Z456" s="5">
        <v>1</v>
      </c>
    </row>
    <row r="457" spans="1:26" x14ac:dyDescent="0.35">
      <c r="A457" s="21" t="s">
        <v>1998</v>
      </c>
      <c r="B457" s="22" t="s">
        <v>1459</v>
      </c>
      <c r="C457" s="22" t="s">
        <v>1460</v>
      </c>
      <c r="D457" s="22" t="s">
        <v>1461</v>
      </c>
      <c r="E457" s="22" t="s">
        <v>27</v>
      </c>
      <c r="F457" s="22" t="s">
        <v>1486</v>
      </c>
      <c r="G457" s="22">
        <v>54.67</v>
      </c>
      <c r="H457" s="22">
        <v>3</v>
      </c>
      <c r="I457" s="22">
        <v>8.2004999999999999</v>
      </c>
      <c r="J457" s="23">
        <v>172.2105</v>
      </c>
      <c r="K457" s="24" t="s">
        <v>1679</v>
      </c>
      <c r="L457" s="25">
        <v>0.75</v>
      </c>
      <c r="M457" s="22" t="s">
        <v>1477</v>
      </c>
      <c r="N457" s="26">
        <v>164.01</v>
      </c>
      <c r="O457" s="27">
        <f t="shared" si="7"/>
        <v>4.761904762E-2</v>
      </c>
      <c r="P457" s="23">
        <v>8.2004999999999999</v>
      </c>
      <c r="Q457" s="28">
        <v>8.6</v>
      </c>
      <c r="Y457" s="5" t="s">
        <v>1473</v>
      </c>
      <c r="Z457" s="5">
        <v>1</v>
      </c>
    </row>
    <row r="458" spans="1:26" x14ac:dyDescent="0.35">
      <c r="A458" s="21" t="s">
        <v>1999</v>
      </c>
      <c r="B458" s="22" t="s">
        <v>1466</v>
      </c>
      <c r="C458" s="22" t="s">
        <v>1467</v>
      </c>
      <c r="D458" s="22" t="s">
        <v>1461</v>
      </c>
      <c r="E458" s="22" t="s">
        <v>19</v>
      </c>
      <c r="F458" s="22" t="s">
        <v>1482</v>
      </c>
      <c r="G458" s="22">
        <v>40.299999999999997</v>
      </c>
      <c r="H458" s="22">
        <v>2</v>
      </c>
      <c r="I458" s="22">
        <v>4.03</v>
      </c>
      <c r="J458" s="23">
        <v>84.63</v>
      </c>
      <c r="K458" s="24">
        <v>43772</v>
      </c>
      <c r="L458" s="25">
        <v>0.64583333333333337</v>
      </c>
      <c r="M458" s="22" t="s">
        <v>1469</v>
      </c>
      <c r="N458" s="26">
        <v>80.599999999999994</v>
      </c>
      <c r="O458" s="27">
        <f t="shared" si="7"/>
        <v>4.761904762E-2</v>
      </c>
      <c r="P458" s="23">
        <v>4.03</v>
      </c>
      <c r="Q458" s="28">
        <v>4.4000000000000004</v>
      </c>
      <c r="Y458" s="5" t="s">
        <v>1482</v>
      </c>
      <c r="Z458" s="5">
        <v>10</v>
      </c>
    </row>
    <row r="459" spans="1:26" x14ac:dyDescent="0.35">
      <c r="A459" s="21" t="s">
        <v>2000</v>
      </c>
      <c r="B459" s="22" t="s">
        <v>1475</v>
      </c>
      <c r="C459" s="22" t="s">
        <v>1476</v>
      </c>
      <c r="D459" s="22" t="s">
        <v>1479</v>
      </c>
      <c r="E459" s="22" t="s">
        <v>27</v>
      </c>
      <c r="F459" s="22" t="s">
        <v>1462</v>
      </c>
      <c r="G459" s="22">
        <v>86.04</v>
      </c>
      <c r="H459" s="22">
        <v>5</v>
      </c>
      <c r="I459" s="22">
        <v>21.51</v>
      </c>
      <c r="J459" s="23">
        <v>451.71</v>
      </c>
      <c r="K459" s="24" t="s">
        <v>1506</v>
      </c>
      <c r="L459" s="25">
        <v>0.47499999999999998</v>
      </c>
      <c r="M459" s="22" t="s">
        <v>1469</v>
      </c>
      <c r="N459" s="26">
        <v>430.2</v>
      </c>
      <c r="O459" s="27">
        <f t="shared" si="7"/>
        <v>4.761904762E-2</v>
      </c>
      <c r="P459" s="23">
        <v>21.51</v>
      </c>
      <c r="Q459" s="28">
        <v>4.8</v>
      </c>
      <c r="Y459" s="5" t="s">
        <v>1486</v>
      </c>
      <c r="Z459" s="5">
        <v>1</v>
      </c>
    </row>
    <row r="460" spans="1:26" x14ac:dyDescent="0.35">
      <c r="A460" s="21" t="s">
        <v>2001</v>
      </c>
      <c r="B460" s="22" t="s">
        <v>1466</v>
      </c>
      <c r="C460" s="22" t="s">
        <v>1467</v>
      </c>
      <c r="D460" s="22" t="s">
        <v>1461</v>
      </c>
      <c r="E460" s="22" t="s">
        <v>27</v>
      </c>
      <c r="F460" s="22" t="s">
        <v>1473</v>
      </c>
      <c r="G460" s="22">
        <v>87.98</v>
      </c>
      <c r="H460" s="22">
        <v>3</v>
      </c>
      <c r="I460" s="22">
        <v>13.196999999999999</v>
      </c>
      <c r="J460" s="23">
        <v>277.137</v>
      </c>
      <c r="K460" s="24">
        <v>43588</v>
      </c>
      <c r="L460" s="25">
        <v>0.44444444444444442</v>
      </c>
      <c r="M460" s="22" t="s">
        <v>1469</v>
      </c>
      <c r="N460" s="26">
        <v>263.94</v>
      </c>
      <c r="O460" s="27">
        <f t="shared" si="7"/>
        <v>4.761904762E-2</v>
      </c>
      <c r="P460" s="23">
        <v>13.196999999999999</v>
      </c>
      <c r="Q460" s="28">
        <v>5.0999999999999996</v>
      </c>
      <c r="Y460" s="5" t="s">
        <v>1482</v>
      </c>
      <c r="Z460" s="5">
        <v>1</v>
      </c>
    </row>
    <row r="461" spans="1:26" x14ac:dyDescent="0.35">
      <c r="A461" s="21" t="s">
        <v>2002</v>
      </c>
      <c r="B461" s="22" t="s">
        <v>1466</v>
      </c>
      <c r="C461" s="22" t="s">
        <v>1467</v>
      </c>
      <c r="D461" s="22" t="s">
        <v>1461</v>
      </c>
      <c r="E461" s="22" t="s">
        <v>27</v>
      </c>
      <c r="F461" s="22" t="s">
        <v>1482</v>
      </c>
      <c r="G461" s="22">
        <v>33.200000000000003</v>
      </c>
      <c r="H461" s="22">
        <v>2</v>
      </c>
      <c r="I461" s="22">
        <v>3.32</v>
      </c>
      <c r="J461" s="23">
        <v>69.72</v>
      </c>
      <c r="K461" s="24" t="s">
        <v>1541</v>
      </c>
      <c r="L461" s="25">
        <v>0.51388888888888884</v>
      </c>
      <c r="M461" s="22" t="s">
        <v>1477</v>
      </c>
      <c r="N461" s="26">
        <v>66.400000000000006</v>
      </c>
      <c r="O461" s="27">
        <f t="shared" si="7"/>
        <v>4.761904762E-2</v>
      </c>
      <c r="P461" s="23">
        <v>3.32</v>
      </c>
      <c r="Q461" s="28">
        <v>4.4000000000000004</v>
      </c>
      <c r="Y461" s="5" t="s">
        <v>1468</v>
      </c>
      <c r="Z461" s="5">
        <v>7</v>
      </c>
    </row>
    <row r="462" spans="1:26" x14ac:dyDescent="0.35">
      <c r="A462" s="21" t="s">
        <v>2003</v>
      </c>
      <c r="B462" s="22" t="s">
        <v>1459</v>
      </c>
      <c r="C462" s="22" t="s">
        <v>1460</v>
      </c>
      <c r="D462" s="22" t="s">
        <v>1461</v>
      </c>
      <c r="E462" s="22" t="s">
        <v>27</v>
      </c>
      <c r="F462" s="22" t="s">
        <v>1462</v>
      </c>
      <c r="G462" s="22">
        <v>34.56</v>
      </c>
      <c r="H462" s="22">
        <v>5</v>
      </c>
      <c r="I462" s="22">
        <v>8.64</v>
      </c>
      <c r="J462" s="23">
        <v>181.44</v>
      </c>
      <c r="K462" s="24" t="s">
        <v>1546</v>
      </c>
      <c r="L462" s="25">
        <v>0.46875</v>
      </c>
      <c r="M462" s="22" t="s">
        <v>1469</v>
      </c>
      <c r="N462" s="26">
        <v>172.8</v>
      </c>
      <c r="O462" s="27">
        <f t="shared" si="7"/>
        <v>4.761904762E-2</v>
      </c>
      <c r="P462" s="23">
        <v>8.64</v>
      </c>
      <c r="Q462" s="28">
        <v>9.9</v>
      </c>
      <c r="Y462" s="5" t="s">
        <v>1473</v>
      </c>
      <c r="Z462" s="5">
        <v>10</v>
      </c>
    </row>
    <row r="463" spans="1:26" x14ac:dyDescent="0.35">
      <c r="A463" s="21" t="s">
        <v>2004</v>
      </c>
      <c r="B463" s="22" t="s">
        <v>1459</v>
      </c>
      <c r="C463" s="22" t="s">
        <v>1460</v>
      </c>
      <c r="D463" s="22" t="s">
        <v>1479</v>
      </c>
      <c r="E463" s="22" t="s">
        <v>27</v>
      </c>
      <c r="F463" s="22" t="s">
        <v>1501</v>
      </c>
      <c r="G463" s="22">
        <v>88.63</v>
      </c>
      <c r="H463" s="22">
        <v>3</v>
      </c>
      <c r="I463" s="22">
        <v>13.294499999999999</v>
      </c>
      <c r="J463" s="23">
        <v>279.18450000000001</v>
      </c>
      <c r="K463" s="24">
        <v>43499</v>
      </c>
      <c r="L463" s="25">
        <v>0.73333333333333328</v>
      </c>
      <c r="M463" s="22" t="s">
        <v>1469</v>
      </c>
      <c r="N463" s="26">
        <v>265.89</v>
      </c>
      <c r="O463" s="27">
        <f t="shared" si="7"/>
        <v>4.761904762E-2</v>
      </c>
      <c r="P463" s="23">
        <v>13.294499999999999</v>
      </c>
      <c r="Q463" s="28">
        <v>6</v>
      </c>
      <c r="Y463" s="5" t="s">
        <v>1501</v>
      </c>
      <c r="Z463" s="5">
        <v>6</v>
      </c>
    </row>
    <row r="464" spans="1:26" x14ac:dyDescent="0.35">
      <c r="A464" s="21" t="s">
        <v>2005</v>
      </c>
      <c r="B464" s="22" t="s">
        <v>1459</v>
      </c>
      <c r="C464" s="22" t="s">
        <v>1460</v>
      </c>
      <c r="D464" s="22" t="s">
        <v>1479</v>
      </c>
      <c r="E464" s="22" t="s">
        <v>19</v>
      </c>
      <c r="F464" s="22" t="s">
        <v>1482</v>
      </c>
      <c r="G464" s="22">
        <v>52.59</v>
      </c>
      <c r="H464" s="22">
        <v>8</v>
      </c>
      <c r="I464" s="22">
        <v>21.036000000000001</v>
      </c>
      <c r="J464" s="23">
        <v>441.75599999999997</v>
      </c>
      <c r="K464" s="24" t="s">
        <v>1513</v>
      </c>
      <c r="L464" s="25">
        <v>0.80555555555555558</v>
      </c>
      <c r="M464" s="22" t="s">
        <v>1477</v>
      </c>
      <c r="N464" s="26">
        <v>420.72</v>
      </c>
      <c r="O464" s="27">
        <f t="shared" si="7"/>
        <v>4.761904762E-2</v>
      </c>
      <c r="P464" s="23">
        <v>21.036000000000001</v>
      </c>
      <c r="Q464" s="28">
        <v>8.5</v>
      </c>
      <c r="Y464" s="5" t="s">
        <v>1473</v>
      </c>
      <c r="Z464" s="5">
        <v>7</v>
      </c>
    </row>
    <row r="465" spans="1:26" x14ac:dyDescent="0.35">
      <c r="A465" s="21" t="s">
        <v>2006</v>
      </c>
      <c r="B465" s="22" t="s">
        <v>1466</v>
      </c>
      <c r="C465" s="22" t="s">
        <v>1467</v>
      </c>
      <c r="D465" s="22" t="s">
        <v>1461</v>
      </c>
      <c r="E465" s="22" t="s">
        <v>27</v>
      </c>
      <c r="F465" s="22" t="s">
        <v>1468</v>
      </c>
      <c r="G465" s="22">
        <v>33.520000000000003</v>
      </c>
      <c r="H465" s="22">
        <v>1</v>
      </c>
      <c r="I465" s="22">
        <v>1.6759999999999999</v>
      </c>
      <c r="J465" s="23">
        <v>35.195999999999998</v>
      </c>
      <c r="K465" s="24">
        <v>43679</v>
      </c>
      <c r="L465" s="25">
        <v>0.64652777777777781</v>
      </c>
      <c r="M465" s="22" t="s">
        <v>1464</v>
      </c>
      <c r="N465" s="26">
        <v>33.520000000000003</v>
      </c>
      <c r="O465" s="27">
        <f t="shared" si="7"/>
        <v>4.761904762E-2</v>
      </c>
      <c r="P465" s="23">
        <v>1.6759999999999999</v>
      </c>
      <c r="Q465" s="28">
        <v>6.7</v>
      </c>
      <c r="Y465" s="5" t="s">
        <v>1501</v>
      </c>
      <c r="Z465" s="5">
        <v>6</v>
      </c>
    </row>
    <row r="466" spans="1:26" x14ac:dyDescent="0.35">
      <c r="A466" s="21" t="s">
        <v>2007</v>
      </c>
      <c r="B466" s="22" t="s">
        <v>1459</v>
      </c>
      <c r="C466" s="22" t="s">
        <v>1460</v>
      </c>
      <c r="D466" s="22" t="s">
        <v>1461</v>
      </c>
      <c r="E466" s="22" t="s">
        <v>19</v>
      </c>
      <c r="F466" s="22" t="s">
        <v>1468</v>
      </c>
      <c r="G466" s="22">
        <v>87.67</v>
      </c>
      <c r="H466" s="22">
        <v>2</v>
      </c>
      <c r="I466" s="22">
        <v>8.7669999999999995</v>
      </c>
      <c r="J466" s="23">
        <v>184.107</v>
      </c>
      <c r="K466" s="24">
        <v>43741</v>
      </c>
      <c r="L466" s="25">
        <v>0.51180555555555551</v>
      </c>
      <c r="M466" s="22" t="s">
        <v>1477</v>
      </c>
      <c r="N466" s="26">
        <v>175.34</v>
      </c>
      <c r="O466" s="27">
        <f t="shared" si="7"/>
        <v>4.761904762E-2</v>
      </c>
      <c r="P466" s="23">
        <v>8.7669999999999995</v>
      </c>
      <c r="Q466" s="28">
        <v>7.7</v>
      </c>
      <c r="Y466" s="5" t="s">
        <v>1486</v>
      </c>
      <c r="Z466" s="5">
        <v>3</v>
      </c>
    </row>
    <row r="467" spans="1:26" x14ac:dyDescent="0.35">
      <c r="A467" s="21" t="s">
        <v>2008</v>
      </c>
      <c r="B467" s="22" t="s">
        <v>1466</v>
      </c>
      <c r="C467" s="22" t="s">
        <v>1467</v>
      </c>
      <c r="D467" s="22" t="s">
        <v>1461</v>
      </c>
      <c r="E467" s="22" t="s">
        <v>19</v>
      </c>
      <c r="F467" s="22" t="s">
        <v>1486</v>
      </c>
      <c r="G467" s="22">
        <v>88.36</v>
      </c>
      <c r="H467" s="22">
        <v>5</v>
      </c>
      <c r="I467" s="22">
        <v>22.09</v>
      </c>
      <c r="J467" s="23">
        <v>463.89</v>
      </c>
      <c r="K467" s="24" t="s">
        <v>1584</v>
      </c>
      <c r="L467" s="25">
        <v>0.82499999999999996</v>
      </c>
      <c r="M467" s="22" t="s">
        <v>1464</v>
      </c>
      <c r="N467" s="26">
        <v>441.8</v>
      </c>
      <c r="O467" s="27">
        <f t="shared" si="7"/>
        <v>4.761904762E-2</v>
      </c>
      <c r="P467" s="23">
        <v>22.09</v>
      </c>
      <c r="Q467" s="28">
        <v>9.6</v>
      </c>
      <c r="Y467" s="5" t="s">
        <v>1482</v>
      </c>
      <c r="Z467" s="5">
        <v>2</v>
      </c>
    </row>
    <row r="468" spans="1:26" x14ac:dyDescent="0.35">
      <c r="A468" s="21" t="s">
        <v>2009</v>
      </c>
      <c r="B468" s="22" t="s">
        <v>1459</v>
      </c>
      <c r="C468" s="22" t="s">
        <v>1460</v>
      </c>
      <c r="D468" s="22" t="s">
        <v>1461</v>
      </c>
      <c r="E468" s="22" t="s">
        <v>27</v>
      </c>
      <c r="F468" s="22" t="s">
        <v>1473</v>
      </c>
      <c r="G468" s="22">
        <v>24.89</v>
      </c>
      <c r="H468" s="22">
        <v>9</v>
      </c>
      <c r="I468" s="22">
        <v>11.2005</v>
      </c>
      <c r="J468" s="23">
        <v>235.2105</v>
      </c>
      <c r="K468" s="24" t="s">
        <v>1541</v>
      </c>
      <c r="L468" s="25">
        <v>0.65</v>
      </c>
      <c r="M468" s="22" t="s">
        <v>1464</v>
      </c>
      <c r="N468" s="26">
        <v>224.01</v>
      </c>
      <c r="O468" s="27">
        <f t="shared" si="7"/>
        <v>4.761904762E-2</v>
      </c>
      <c r="P468" s="23">
        <v>11.2005</v>
      </c>
      <c r="Q468" s="28">
        <v>7.4</v>
      </c>
      <c r="Y468" s="5" t="s">
        <v>1462</v>
      </c>
      <c r="Z468" s="5">
        <v>5</v>
      </c>
    </row>
    <row r="469" spans="1:26" x14ac:dyDescent="0.35">
      <c r="A469" s="21" t="s">
        <v>2010</v>
      </c>
      <c r="B469" s="22" t="s">
        <v>1466</v>
      </c>
      <c r="C469" s="22" t="s">
        <v>1467</v>
      </c>
      <c r="D469" s="22" t="s">
        <v>1461</v>
      </c>
      <c r="E469" s="22" t="s">
        <v>27</v>
      </c>
      <c r="F469" s="22" t="s">
        <v>1468</v>
      </c>
      <c r="G469" s="22">
        <v>94.13</v>
      </c>
      <c r="H469" s="22">
        <v>5</v>
      </c>
      <c r="I469" s="22">
        <v>23.532499999999999</v>
      </c>
      <c r="J469" s="23">
        <v>494.1825</v>
      </c>
      <c r="K469" s="24" t="s">
        <v>1506</v>
      </c>
      <c r="L469" s="25">
        <v>0.81874999999999998</v>
      </c>
      <c r="M469" s="22" t="s">
        <v>1477</v>
      </c>
      <c r="N469" s="26">
        <v>470.65</v>
      </c>
      <c r="O469" s="27">
        <f t="shared" si="7"/>
        <v>4.761904762E-2</v>
      </c>
      <c r="P469" s="23">
        <v>23.532499999999999</v>
      </c>
      <c r="Q469" s="28">
        <v>4.8</v>
      </c>
      <c r="Y469" s="5" t="s">
        <v>1473</v>
      </c>
      <c r="Z469" s="5">
        <v>3</v>
      </c>
    </row>
    <row r="470" spans="1:26" x14ac:dyDescent="0.35">
      <c r="A470" s="21" t="s">
        <v>2011</v>
      </c>
      <c r="B470" s="22" t="s">
        <v>1466</v>
      </c>
      <c r="C470" s="22" t="s">
        <v>1467</v>
      </c>
      <c r="D470" s="22" t="s">
        <v>1479</v>
      </c>
      <c r="E470" s="22" t="s">
        <v>27</v>
      </c>
      <c r="F470" s="22" t="s">
        <v>1501</v>
      </c>
      <c r="G470" s="22">
        <v>78.069999999999993</v>
      </c>
      <c r="H470" s="22">
        <v>9</v>
      </c>
      <c r="I470" s="22">
        <v>35.131500000000003</v>
      </c>
      <c r="J470" s="66">
        <v>737.76149999999996</v>
      </c>
      <c r="K470" s="24" t="s">
        <v>1803</v>
      </c>
      <c r="L470" s="25">
        <v>0.52986111111111112</v>
      </c>
      <c r="M470" s="22" t="s">
        <v>1464</v>
      </c>
      <c r="N470" s="26">
        <v>702.63</v>
      </c>
      <c r="O470" s="27">
        <f t="shared" si="7"/>
        <v>4.761904762E-2</v>
      </c>
      <c r="P470" s="23">
        <v>35.131500000000003</v>
      </c>
      <c r="Q470" s="28">
        <v>4.5</v>
      </c>
      <c r="Y470" s="5" t="s">
        <v>1482</v>
      </c>
      <c r="Z470" s="5">
        <v>2</v>
      </c>
    </row>
    <row r="471" spans="1:26" x14ac:dyDescent="0.35">
      <c r="A471" s="21" t="s">
        <v>2012</v>
      </c>
      <c r="B471" s="22" t="s">
        <v>1466</v>
      </c>
      <c r="C471" s="22" t="s">
        <v>1467</v>
      </c>
      <c r="D471" s="22" t="s">
        <v>1461</v>
      </c>
      <c r="E471" s="22" t="s">
        <v>27</v>
      </c>
      <c r="F471" s="22" t="s">
        <v>1501</v>
      </c>
      <c r="G471" s="22">
        <v>83.78</v>
      </c>
      <c r="H471" s="22">
        <v>8</v>
      </c>
      <c r="I471" s="22">
        <v>33.512</v>
      </c>
      <c r="J471" s="66">
        <v>703.75199999999995</v>
      </c>
      <c r="K471" s="24">
        <v>43739</v>
      </c>
      <c r="L471" s="25">
        <v>0.61736111111111114</v>
      </c>
      <c r="M471" s="22" t="s">
        <v>1464</v>
      </c>
      <c r="N471" s="26">
        <v>670.24</v>
      </c>
      <c r="O471" s="27">
        <f t="shared" si="7"/>
        <v>4.761904762E-2</v>
      </c>
      <c r="P471" s="23">
        <v>33.512</v>
      </c>
      <c r="Q471" s="28">
        <v>5.0999999999999996</v>
      </c>
      <c r="Y471" s="5" t="s">
        <v>1462</v>
      </c>
      <c r="Z471" s="5">
        <v>5</v>
      </c>
    </row>
    <row r="472" spans="1:26" x14ac:dyDescent="0.35">
      <c r="A472" s="21" t="s">
        <v>2013</v>
      </c>
      <c r="B472" s="22" t="s">
        <v>1459</v>
      </c>
      <c r="C472" s="22" t="s">
        <v>1460</v>
      </c>
      <c r="D472" s="22" t="s">
        <v>1461</v>
      </c>
      <c r="E472" s="22" t="s">
        <v>27</v>
      </c>
      <c r="F472" s="22" t="s">
        <v>1473</v>
      </c>
      <c r="G472" s="22">
        <v>96.58</v>
      </c>
      <c r="H472" s="22">
        <v>2</v>
      </c>
      <c r="I472" s="22">
        <v>9.6579999999999995</v>
      </c>
      <c r="J472" s="23">
        <v>202.81800000000001</v>
      </c>
      <c r="K472" s="24" t="s">
        <v>1541</v>
      </c>
      <c r="L472" s="25">
        <v>0.42499999999999999</v>
      </c>
      <c r="M472" s="22" t="s">
        <v>1477</v>
      </c>
      <c r="N472" s="26">
        <v>193.16</v>
      </c>
      <c r="O472" s="27">
        <f t="shared" si="7"/>
        <v>4.761904762E-2</v>
      </c>
      <c r="P472" s="23">
        <v>9.6579999999999995</v>
      </c>
      <c r="Q472" s="28">
        <v>5.0999999999999996</v>
      </c>
      <c r="Y472" s="5" t="s">
        <v>1501</v>
      </c>
      <c r="Z472" s="5">
        <v>3</v>
      </c>
    </row>
    <row r="473" spans="1:26" x14ac:dyDescent="0.35">
      <c r="A473" s="21" t="s">
        <v>2014</v>
      </c>
      <c r="B473" s="22" t="s">
        <v>1475</v>
      </c>
      <c r="C473" s="22" t="s">
        <v>1476</v>
      </c>
      <c r="D473" s="22" t="s">
        <v>1479</v>
      </c>
      <c r="E473" s="22" t="s">
        <v>19</v>
      </c>
      <c r="F473" s="22" t="s">
        <v>1486</v>
      </c>
      <c r="G473" s="22">
        <v>99.42</v>
      </c>
      <c r="H473" s="22">
        <v>4</v>
      </c>
      <c r="I473" s="22">
        <v>19.884</v>
      </c>
      <c r="J473" s="23">
        <v>417.56400000000002</v>
      </c>
      <c r="K473" s="24">
        <v>43618</v>
      </c>
      <c r="L473" s="25">
        <v>0.44583333333333336</v>
      </c>
      <c r="M473" s="22" t="s">
        <v>1469</v>
      </c>
      <c r="N473" s="26">
        <v>397.68</v>
      </c>
      <c r="O473" s="27">
        <f t="shared" si="7"/>
        <v>4.761904762E-2</v>
      </c>
      <c r="P473" s="23">
        <v>19.884</v>
      </c>
      <c r="Q473" s="28">
        <v>7.5</v>
      </c>
      <c r="Y473" s="5" t="s">
        <v>1482</v>
      </c>
      <c r="Z473" s="5">
        <v>8</v>
      </c>
    </row>
    <row r="474" spans="1:26" x14ac:dyDescent="0.35">
      <c r="A474" s="21" t="s">
        <v>2015</v>
      </c>
      <c r="B474" s="22" t="s">
        <v>1475</v>
      </c>
      <c r="C474" s="22" t="s">
        <v>1476</v>
      </c>
      <c r="D474" s="22" t="s">
        <v>1479</v>
      </c>
      <c r="E474" s="22" t="s">
        <v>19</v>
      </c>
      <c r="F474" s="22" t="s">
        <v>1501</v>
      </c>
      <c r="G474" s="22">
        <v>68.12</v>
      </c>
      <c r="H474" s="22">
        <v>1</v>
      </c>
      <c r="I474" s="22">
        <v>3.4060000000000001</v>
      </c>
      <c r="J474" s="23">
        <v>71.525999999999996</v>
      </c>
      <c r="K474" s="24">
        <v>43647</v>
      </c>
      <c r="L474" s="25">
        <v>0.51944444444444449</v>
      </c>
      <c r="M474" s="22" t="s">
        <v>1469</v>
      </c>
      <c r="N474" s="26">
        <v>68.12</v>
      </c>
      <c r="O474" s="27">
        <f t="shared" si="7"/>
        <v>4.761904762E-2</v>
      </c>
      <c r="P474" s="23">
        <v>3.4060000000000001</v>
      </c>
      <c r="Q474" s="28">
        <v>6.8</v>
      </c>
      <c r="Y474" s="5" t="s">
        <v>1468</v>
      </c>
      <c r="Z474" s="5">
        <v>1</v>
      </c>
    </row>
    <row r="475" spans="1:26" x14ac:dyDescent="0.35">
      <c r="A475" s="21" t="s">
        <v>2016</v>
      </c>
      <c r="B475" s="22" t="s">
        <v>1459</v>
      </c>
      <c r="C475" s="22" t="s">
        <v>1460</v>
      </c>
      <c r="D475" s="22" t="s">
        <v>1479</v>
      </c>
      <c r="E475" s="22" t="s">
        <v>27</v>
      </c>
      <c r="F475" s="22" t="s">
        <v>1501</v>
      </c>
      <c r="G475" s="22">
        <v>62.62</v>
      </c>
      <c r="H475" s="22">
        <v>5</v>
      </c>
      <c r="I475" s="22">
        <v>15.654999999999999</v>
      </c>
      <c r="J475" s="23">
        <v>328.755</v>
      </c>
      <c r="K475" s="24">
        <v>43741</v>
      </c>
      <c r="L475" s="25">
        <v>0.80208333333333337</v>
      </c>
      <c r="M475" s="22" t="s">
        <v>1469</v>
      </c>
      <c r="N475" s="26">
        <v>313.10000000000002</v>
      </c>
      <c r="O475" s="27">
        <f t="shared" si="7"/>
        <v>4.761904762E-2</v>
      </c>
      <c r="P475" s="23">
        <v>15.654999999999999</v>
      </c>
      <c r="Q475" s="28">
        <v>7</v>
      </c>
      <c r="Y475" s="5" t="s">
        <v>1468</v>
      </c>
      <c r="Z475" s="5">
        <v>2</v>
      </c>
    </row>
    <row r="476" spans="1:26" x14ac:dyDescent="0.35">
      <c r="A476" s="21" t="s">
        <v>2017</v>
      </c>
      <c r="B476" s="22" t="s">
        <v>1459</v>
      </c>
      <c r="C476" s="22" t="s">
        <v>1460</v>
      </c>
      <c r="D476" s="22" t="s">
        <v>1461</v>
      </c>
      <c r="E476" s="22" t="s">
        <v>19</v>
      </c>
      <c r="F476" s="22" t="s">
        <v>1462</v>
      </c>
      <c r="G476" s="22">
        <v>60.88</v>
      </c>
      <c r="H476" s="22">
        <v>9</v>
      </c>
      <c r="I476" s="22">
        <v>27.396000000000001</v>
      </c>
      <c r="J476" s="66">
        <v>575.31600000000003</v>
      </c>
      <c r="K476" s="24" t="s">
        <v>1589</v>
      </c>
      <c r="L476" s="25">
        <v>0.72013888888888888</v>
      </c>
      <c r="M476" s="22" t="s">
        <v>1469</v>
      </c>
      <c r="N476" s="26">
        <v>547.91999999999996</v>
      </c>
      <c r="O476" s="27">
        <f t="shared" si="7"/>
        <v>4.761904762E-2</v>
      </c>
      <c r="P476" s="23">
        <v>27.396000000000001</v>
      </c>
      <c r="Q476" s="28">
        <v>4.7</v>
      </c>
      <c r="Y476" s="5" t="s">
        <v>1486</v>
      </c>
      <c r="Z476" s="5">
        <v>5</v>
      </c>
    </row>
    <row r="477" spans="1:26" x14ac:dyDescent="0.35">
      <c r="A477" s="21" t="s">
        <v>2018</v>
      </c>
      <c r="B477" s="22" t="s">
        <v>1475</v>
      </c>
      <c r="C477" s="22" t="s">
        <v>1476</v>
      </c>
      <c r="D477" s="22" t="s">
        <v>1461</v>
      </c>
      <c r="E477" s="22" t="s">
        <v>19</v>
      </c>
      <c r="F477" s="22" t="s">
        <v>1473</v>
      </c>
      <c r="G477" s="22">
        <v>54.92</v>
      </c>
      <c r="H477" s="22">
        <v>8</v>
      </c>
      <c r="I477" s="22">
        <v>21.968</v>
      </c>
      <c r="J477" s="23">
        <v>461.32799999999997</v>
      </c>
      <c r="K477" s="24" t="s">
        <v>1711</v>
      </c>
      <c r="L477" s="25">
        <v>0.55833333333333335</v>
      </c>
      <c r="M477" s="22" t="s">
        <v>1469</v>
      </c>
      <c r="N477" s="26">
        <v>439.36</v>
      </c>
      <c r="O477" s="27">
        <f t="shared" si="7"/>
        <v>4.761904762E-2</v>
      </c>
      <c r="P477" s="23">
        <v>21.968</v>
      </c>
      <c r="Q477" s="28">
        <v>7.6</v>
      </c>
      <c r="Y477" s="5" t="s">
        <v>1473</v>
      </c>
      <c r="Z477" s="5">
        <v>9</v>
      </c>
    </row>
    <row r="478" spans="1:26" x14ac:dyDescent="0.35">
      <c r="A478" s="21" t="s">
        <v>2019</v>
      </c>
      <c r="B478" s="22" t="s">
        <v>1466</v>
      </c>
      <c r="C478" s="22" t="s">
        <v>1467</v>
      </c>
      <c r="D478" s="22" t="s">
        <v>1479</v>
      </c>
      <c r="E478" s="22" t="s">
        <v>27</v>
      </c>
      <c r="F478" s="22" t="s">
        <v>1482</v>
      </c>
      <c r="G478" s="22">
        <v>30.12</v>
      </c>
      <c r="H478" s="22">
        <v>8</v>
      </c>
      <c r="I478" s="22">
        <v>12.048</v>
      </c>
      <c r="J478" s="23">
        <v>253.00800000000001</v>
      </c>
      <c r="K478" s="24">
        <v>43527</v>
      </c>
      <c r="L478" s="25">
        <v>0.54236111111111107</v>
      </c>
      <c r="M478" s="22" t="s">
        <v>1464</v>
      </c>
      <c r="N478" s="26">
        <v>240.96</v>
      </c>
      <c r="O478" s="27">
        <f t="shared" si="7"/>
        <v>4.761904762E-2</v>
      </c>
      <c r="P478" s="23">
        <v>12.048</v>
      </c>
      <c r="Q478" s="28">
        <v>7.7</v>
      </c>
      <c r="Y478" s="5" t="s">
        <v>1468</v>
      </c>
      <c r="Z478" s="5">
        <v>5</v>
      </c>
    </row>
    <row r="479" spans="1:26" x14ac:dyDescent="0.35">
      <c r="A479" s="21" t="s">
        <v>2020</v>
      </c>
      <c r="B479" s="22" t="s">
        <v>1466</v>
      </c>
      <c r="C479" s="22" t="s">
        <v>1467</v>
      </c>
      <c r="D479" s="22" t="s">
        <v>1479</v>
      </c>
      <c r="E479" s="22" t="s">
        <v>19</v>
      </c>
      <c r="F479" s="22" t="s">
        <v>1482</v>
      </c>
      <c r="G479" s="22">
        <v>86.72</v>
      </c>
      <c r="H479" s="22">
        <v>1</v>
      </c>
      <c r="I479" s="22">
        <v>4.3360000000000003</v>
      </c>
      <c r="J479" s="23">
        <v>91.055999999999997</v>
      </c>
      <c r="K479" s="24" t="s">
        <v>1499</v>
      </c>
      <c r="L479" s="25">
        <v>0.78125</v>
      </c>
      <c r="M479" s="22" t="s">
        <v>1469</v>
      </c>
      <c r="N479" s="26">
        <v>86.72</v>
      </c>
      <c r="O479" s="27">
        <f t="shared" si="7"/>
        <v>4.761904762E-2</v>
      </c>
      <c r="P479" s="23">
        <v>4.3360000000000003</v>
      </c>
      <c r="Q479" s="28">
        <v>7.9</v>
      </c>
      <c r="Y479" s="5" t="s">
        <v>1501</v>
      </c>
      <c r="Z479" s="5">
        <v>9</v>
      </c>
    </row>
    <row r="480" spans="1:26" x14ac:dyDescent="0.35">
      <c r="A480" s="21" t="s">
        <v>2021</v>
      </c>
      <c r="B480" s="22" t="s">
        <v>1475</v>
      </c>
      <c r="C480" s="22" t="s">
        <v>1476</v>
      </c>
      <c r="D480" s="22" t="s">
        <v>1479</v>
      </c>
      <c r="E480" s="22" t="s">
        <v>27</v>
      </c>
      <c r="F480" s="22" t="s">
        <v>1482</v>
      </c>
      <c r="G480" s="22">
        <v>56.11</v>
      </c>
      <c r="H480" s="22">
        <v>2</v>
      </c>
      <c r="I480" s="22">
        <v>5.6109999999999998</v>
      </c>
      <c r="J480" s="23">
        <v>117.831</v>
      </c>
      <c r="K480" s="24">
        <v>43498</v>
      </c>
      <c r="L480" s="25">
        <v>0.42430555555555555</v>
      </c>
      <c r="M480" s="22" t="s">
        <v>1464</v>
      </c>
      <c r="N480" s="26">
        <v>112.22</v>
      </c>
      <c r="O480" s="27">
        <f t="shared" si="7"/>
        <v>4.761904762E-2</v>
      </c>
      <c r="P480" s="23">
        <v>5.6109999999999998</v>
      </c>
      <c r="Q480" s="28">
        <v>6.3</v>
      </c>
      <c r="Y480" s="5" t="s">
        <v>1501</v>
      </c>
      <c r="Z480" s="5">
        <v>8</v>
      </c>
    </row>
    <row r="481" spans="1:26" x14ac:dyDescent="0.35">
      <c r="A481" s="21" t="s">
        <v>2022</v>
      </c>
      <c r="B481" s="22" t="s">
        <v>1466</v>
      </c>
      <c r="C481" s="22" t="s">
        <v>1467</v>
      </c>
      <c r="D481" s="22" t="s">
        <v>1479</v>
      </c>
      <c r="E481" s="22" t="s">
        <v>19</v>
      </c>
      <c r="F481" s="22" t="s">
        <v>1501</v>
      </c>
      <c r="G481" s="22">
        <v>69.12</v>
      </c>
      <c r="H481" s="22">
        <v>6</v>
      </c>
      <c r="I481" s="22">
        <v>20.736000000000001</v>
      </c>
      <c r="J481" s="23">
        <v>435.45600000000002</v>
      </c>
      <c r="K481" s="24">
        <v>43679</v>
      </c>
      <c r="L481" s="25">
        <v>0.54374999999999996</v>
      </c>
      <c r="M481" s="22" t="s">
        <v>1464</v>
      </c>
      <c r="N481" s="26">
        <v>414.72</v>
      </c>
      <c r="O481" s="27">
        <f t="shared" si="7"/>
        <v>4.761904762E-2</v>
      </c>
      <c r="P481" s="23">
        <v>20.736000000000001</v>
      </c>
      <c r="Q481" s="28">
        <v>5.6</v>
      </c>
      <c r="Y481" s="5" t="s">
        <v>1473</v>
      </c>
      <c r="Z481" s="5">
        <v>2</v>
      </c>
    </row>
    <row r="482" spans="1:26" x14ac:dyDescent="0.35">
      <c r="A482" s="21" t="s">
        <v>2023</v>
      </c>
      <c r="B482" s="22" t="s">
        <v>1475</v>
      </c>
      <c r="C482" s="22" t="s">
        <v>1476</v>
      </c>
      <c r="D482" s="22" t="s">
        <v>1479</v>
      </c>
      <c r="E482" s="22" t="s">
        <v>19</v>
      </c>
      <c r="F482" s="22" t="s">
        <v>1486</v>
      </c>
      <c r="G482" s="22">
        <v>98.7</v>
      </c>
      <c r="H482" s="22">
        <v>8</v>
      </c>
      <c r="I482" s="22">
        <v>39.479999999999997</v>
      </c>
      <c r="J482" s="66">
        <v>829.08</v>
      </c>
      <c r="K482" s="24">
        <v>43558</v>
      </c>
      <c r="L482" s="25">
        <v>0.86041666666666672</v>
      </c>
      <c r="M482" s="22" t="s">
        <v>1464</v>
      </c>
      <c r="N482" s="26">
        <v>789.6</v>
      </c>
      <c r="O482" s="27">
        <f t="shared" si="7"/>
        <v>4.761904762E-2</v>
      </c>
      <c r="P482" s="23">
        <v>39.479999999999997</v>
      </c>
      <c r="Q482" s="28">
        <v>7.6</v>
      </c>
      <c r="Y482" s="5" t="s">
        <v>1486</v>
      </c>
      <c r="Z482" s="5">
        <v>4</v>
      </c>
    </row>
    <row r="483" spans="1:26" x14ac:dyDescent="0.35">
      <c r="A483" s="21" t="s">
        <v>2024</v>
      </c>
      <c r="B483" s="22" t="s">
        <v>1475</v>
      </c>
      <c r="C483" s="22" t="s">
        <v>1476</v>
      </c>
      <c r="D483" s="22" t="s">
        <v>1479</v>
      </c>
      <c r="E483" s="22" t="s">
        <v>27</v>
      </c>
      <c r="F483" s="22" t="s">
        <v>1473</v>
      </c>
      <c r="G483" s="22">
        <v>15.37</v>
      </c>
      <c r="H483" s="22">
        <v>2</v>
      </c>
      <c r="I483" s="22">
        <v>1.5369999999999999</v>
      </c>
      <c r="J483" s="23">
        <v>32.277000000000001</v>
      </c>
      <c r="K483" s="24" t="s">
        <v>1702</v>
      </c>
      <c r="L483" s="25">
        <v>0.82430555555555551</v>
      </c>
      <c r="M483" s="22" t="s">
        <v>1464</v>
      </c>
      <c r="N483" s="26">
        <v>30.74</v>
      </c>
      <c r="O483" s="27">
        <f t="shared" si="7"/>
        <v>4.761904762E-2</v>
      </c>
      <c r="P483" s="23">
        <v>1.5369999999999999</v>
      </c>
      <c r="Q483" s="28">
        <v>7.2</v>
      </c>
      <c r="Y483" s="5" t="s">
        <v>1501</v>
      </c>
      <c r="Z483" s="5">
        <v>1</v>
      </c>
    </row>
    <row r="484" spans="1:26" x14ac:dyDescent="0.35">
      <c r="A484" s="21" t="s">
        <v>2025</v>
      </c>
      <c r="B484" s="22" t="s">
        <v>1466</v>
      </c>
      <c r="C484" s="22" t="s">
        <v>1467</v>
      </c>
      <c r="D484" s="22" t="s">
        <v>1479</v>
      </c>
      <c r="E484" s="22" t="s">
        <v>19</v>
      </c>
      <c r="F484" s="22" t="s">
        <v>1462</v>
      </c>
      <c r="G484" s="22">
        <v>93.96</v>
      </c>
      <c r="H484" s="22">
        <v>4</v>
      </c>
      <c r="I484" s="22">
        <v>18.792000000000002</v>
      </c>
      <c r="J484" s="23">
        <v>394.63200000000001</v>
      </c>
      <c r="K484" s="24">
        <v>43711</v>
      </c>
      <c r="L484" s="25">
        <v>0.75</v>
      </c>
      <c r="M484" s="22" t="s">
        <v>1464</v>
      </c>
      <c r="N484" s="26">
        <v>375.84</v>
      </c>
      <c r="O484" s="27">
        <f t="shared" si="7"/>
        <v>4.761904762E-2</v>
      </c>
      <c r="P484" s="23">
        <v>18.792000000000002</v>
      </c>
      <c r="Q484" s="28">
        <v>9.5</v>
      </c>
      <c r="Y484" s="5" t="s">
        <v>1501</v>
      </c>
      <c r="Z484" s="5">
        <v>5</v>
      </c>
    </row>
    <row r="485" spans="1:26" x14ac:dyDescent="0.35">
      <c r="A485" s="21" t="s">
        <v>2026</v>
      </c>
      <c r="B485" s="22" t="s">
        <v>1466</v>
      </c>
      <c r="C485" s="22" t="s">
        <v>1467</v>
      </c>
      <c r="D485" s="22" t="s">
        <v>1479</v>
      </c>
      <c r="E485" s="22" t="s">
        <v>27</v>
      </c>
      <c r="F485" s="22" t="s">
        <v>1473</v>
      </c>
      <c r="G485" s="22">
        <v>56.69</v>
      </c>
      <c r="H485" s="22">
        <v>9</v>
      </c>
      <c r="I485" s="22">
        <v>25.5105</v>
      </c>
      <c r="J485" s="66">
        <v>535.72050000000002</v>
      </c>
      <c r="K485" s="24" t="s">
        <v>1599</v>
      </c>
      <c r="L485" s="25">
        <v>0.72499999999999998</v>
      </c>
      <c r="M485" s="22" t="s">
        <v>1477</v>
      </c>
      <c r="N485" s="26">
        <v>510.21</v>
      </c>
      <c r="O485" s="27">
        <f t="shared" si="7"/>
        <v>4.761904762E-2</v>
      </c>
      <c r="P485" s="23">
        <v>25.5105</v>
      </c>
      <c r="Q485" s="28">
        <v>8.4</v>
      </c>
      <c r="Y485" s="5" t="s">
        <v>1462</v>
      </c>
      <c r="Z485" s="5">
        <v>9</v>
      </c>
    </row>
    <row r="486" spans="1:26" x14ac:dyDescent="0.35">
      <c r="A486" s="21" t="s">
        <v>2027</v>
      </c>
      <c r="B486" s="22" t="s">
        <v>1466</v>
      </c>
      <c r="C486" s="22" t="s">
        <v>1467</v>
      </c>
      <c r="D486" s="22" t="s">
        <v>1479</v>
      </c>
      <c r="E486" s="22" t="s">
        <v>19</v>
      </c>
      <c r="F486" s="22" t="s">
        <v>1486</v>
      </c>
      <c r="G486" s="22">
        <v>20.010000000000002</v>
      </c>
      <c r="H486" s="22">
        <v>9</v>
      </c>
      <c r="I486" s="22">
        <v>9.0045000000000002</v>
      </c>
      <c r="J486" s="23">
        <v>189.09450000000001</v>
      </c>
      <c r="K486" s="24">
        <v>43618</v>
      </c>
      <c r="L486" s="25">
        <v>0.65763888888888888</v>
      </c>
      <c r="M486" s="22" t="s">
        <v>1469</v>
      </c>
      <c r="N486" s="26">
        <v>180.09</v>
      </c>
      <c r="O486" s="27">
        <f t="shared" si="7"/>
        <v>4.761904762E-2</v>
      </c>
      <c r="P486" s="23">
        <v>9.0045000000000002</v>
      </c>
      <c r="Q486" s="28">
        <v>4.0999999999999996</v>
      </c>
      <c r="Y486" s="5" t="s">
        <v>1473</v>
      </c>
      <c r="Z486" s="5">
        <v>8</v>
      </c>
    </row>
    <row r="487" spans="1:26" x14ac:dyDescent="0.35">
      <c r="A487" s="21" t="s">
        <v>2028</v>
      </c>
      <c r="B487" s="22" t="s">
        <v>1466</v>
      </c>
      <c r="C487" s="22" t="s">
        <v>1467</v>
      </c>
      <c r="D487" s="22" t="s">
        <v>1479</v>
      </c>
      <c r="E487" s="22" t="s">
        <v>27</v>
      </c>
      <c r="F487" s="22" t="s">
        <v>1462</v>
      </c>
      <c r="G487" s="22">
        <v>18.93</v>
      </c>
      <c r="H487" s="22">
        <v>6</v>
      </c>
      <c r="I487" s="22">
        <v>5.6790000000000003</v>
      </c>
      <c r="J487" s="23">
        <v>119.259</v>
      </c>
      <c r="K487" s="24">
        <v>43740</v>
      </c>
      <c r="L487" s="25">
        <v>0.53125</v>
      </c>
      <c r="M487" s="22" t="s">
        <v>1477</v>
      </c>
      <c r="N487" s="26">
        <v>113.58</v>
      </c>
      <c r="O487" s="27">
        <f t="shared" si="7"/>
        <v>4.761904762E-2</v>
      </c>
      <c r="P487" s="23">
        <v>5.6790000000000003</v>
      </c>
      <c r="Q487" s="28">
        <v>8.1</v>
      </c>
      <c r="Y487" s="5" t="s">
        <v>1482</v>
      </c>
      <c r="Z487" s="5">
        <v>8</v>
      </c>
    </row>
    <row r="488" spans="1:26" x14ac:dyDescent="0.35">
      <c r="A488" s="21" t="s">
        <v>2029</v>
      </c>
      <c r="B488" s="22" t="s">
        <v>1475</v>
      </c>
      <c r="C488" s="22" t="s">
        <v>1476</v>
      </c>
      <c r="D488" s="22" t="s">
        <v>1479</v>
      </c>
      <c r="E488" s="22" t="s">
        <v>19</v>
      </c>
      <c r="F488" s="22" t="s">
        <v>1468</v>
      </c>
      <c r="G488" s="22">
        <v>82.63</v>
      </c>
      <c r="H488" s="22">
        <v>10</v>
      </c>
      <c r="I488" s="22">
        <v>41.314999999999998</v>
      </c>
      <c r="J488" s="66">
        <v>867.61500000000001</v>
      </c>
      <c r="K488" s="24" t="s">
        <v>1596</v>
      </c>
      <c r="L488" s="25">
        <v>0.71388888888888891</v>
      </c>
      <c r="M488" s="22" t="s">
        <v>1469</v>
      </c>
      <c r="N488" s="26">
        <v>826.3</v>
      </c>
      <c r="O488" s="27">
        <f t="shared" si="7"/>
        <v>4.761904762E-2</v>
      </c>
      <c r="P488" s="23">
        <v>41.314999999999998</v>
      </c>
      <c r="Q488" s="28">
        <v>7.9</v>
      </c>
      <c r="Y488" s="5" t="s">
        <v>1482</v>
      </c>
      <c r="Z488" s="5">
        <v>1</v>
      </c>
    </row>
    <row r="489" spans="1:26" x14ac:dyDescent="0.35">
      <c r="A489" s="21" t="s">
        <v>2030</v>
      </c>
      <c r="B489" s="22" t="s">
        <v>1475</v>
      </c>
      <c r="C489" s="22" t="s">
        <v>1476</v>
      </c>
      <c r="D489" s="22" t="s">
        <v>1479</v>
      </c>
      <c r="E489" s="22" t="s">
        <v>27</v>
      </c>
      <c r="F489" s="22" t="s">
        <v>1486</v>
      </c>
      <c r="G489" s="22">
        <v>91.4</v>
      </c>
      <c r="H489" s="22">
        <v>7</v>
      </c>
      <c r="I489" s="22">
        <v>31.99</v>
      </c>
      <c r="J489" s="66">
        <v>671.79</v>
      </c>
      <c r="K489" s="24">
        <v>43526</v>
      </c>
      <c r="L489" s="25">
        <v>0.42986111111111114</v>
      </c>
      <c r="M489" s="22" t="s">
        <v>1464</v>
      </c>
      <c r="N489" s="26">
        <v>639.79999999999995</v>
      </c>
      <c r="O489" s="27">
        <f t="shared" si="7"/>
        <v>4.761904762E-2</v>
      </c>
      <c r="P489" s="23">
        <v>31.99</v>
      </c>
      <c r="Q489" s="28">
        <v>9.5</v>
      </c>
      <c r="Y489" s="5" t="s">
        <v>1482</v>
      </c>
      <c r="Z489" s="5">
        <v>2</v>
      </c>
    </row>
    <row r="490" spans="1:26" x14ac:dyDescent="0.35">
      <c r="A490" s="21" t="s">
        <v>2031</v>
      </c>
      <c r="B490" s="22" t="s">
        <v>1459</v>
      </c>
      <c r="C490" s="22" t="s">
        <v>1460</v>
      </c>
      <c r="D490" s="22" t="s">
        <v>1479</v>
      </c>
      <c r="E490" s="22" t="s">
        <v>19</v>
      </c>
      <c r="F490" s="22" t="s">
        <v>1486</v>
      </c>
      <c r="G490" s="22">
        <v>44.59</v>
      </c>
      <c r="H490" s="22">
        <v>5</v>
      </c>
      <c r="I490" s="22">
        <v>11.147500000000001</v>
      </c>
      <c r="J490" s="23">
        <v>234.0975</v>
      </c>
      <c r="K490" s="24">
        <v>43740</v>
      </c>
      <c r="L490" s="25">
        <v>0.63194444444444442</v>
      </c>
      <c r="M490" s="22" t="s">
        <v>1464</v>
      </c>
      <c r="N490" s="26">
        <v>222.95</v>
      </c>
      <c r="O490" s="27">
        <f t="shared" si="7"/>
        <v>4.761904762E-2</v>
      </c>
      <c r="P490" s="23">
        <v>11.147500000000001</v>
      </c>
      <c r="Q490" s="28">
        <v>8.5</v>
      </c>
      <c r="Y490" s="5" t="s">
        <v>1501</v>
      </c>
      <c r="Z490" s="5">
        <v>6</v>
      </c>
    </row>
    <row r="491" spans="1:26" x14ac:dyDescent="0.35">
      <c r="A491" s="21" t="s">
        <v>2032</v>
      </c>
      <c r="B491" s="22" t="s">
        <v>1466</v>
      </c>
      <c r="C491" s="22" t="s">
        <v>1467</v>
      </c>
      <c r="D491" s="22" t="s">
        <v>1479</v>
      </c>
      <c r="E491" s="22" t="s">
        <v>19</v>
      </c>
      <c r="F491" s="22" t="s">
        <v>1468</v>
      </c>
      <c r="G491" s="22">
        <v>17.87</v>
      </c>
      <c r="H491" s="22">
        <v>4</v>
      </c>
      <c r="I491" s="22">
        <v>3.5739999999999998</v>
      </c>
      <c r="J491" s="23">
        <v>75.054000000000002</v>
      </c>
      <c r="K491" s="24" t="s">
        <v>1513</v>
      </c>
      <c r="L491" s="25">
        <v>0.61250000000000004</v>
      </c>
      <c r="M491" s="22" t="s">
        <v>1469</v>
      </c>
      <c r="N491" s="26">
        <v>71.48</v>
      </c>
      <c r="O491" s="27">
        <f t="shared" si="7"/>
        <v>4.761904762E-2</v>
      </c>
      <c r="P491" s="23">
        <v>3.5739999999999998</v>
      </c>
      <c r="Q491" s="28">
        <v>6.5</v>
      </c>
      <c r="Y491" s="5" t="s">
        <v>1486</v>
      </c>
      <c r="Z491" s="5">
        <v>8</v>
      </c>
    </row>
    <row r="492" spans="1:26" x14ac:dyDescent="0.35">
      <c r="A492" s="21" t="s">
        <v>2033</v>
      </c>
      <c r="B492" s="22" t="s">
        <v>1475</v>
      </c>
      <c r="C492" s="22" t="s">
        <v>1476</v>
      </c>
      <c r="D492" s="22" t="s">
        <v>1479</v>
      </c>
      <c r="E492" s="22" t="s">
        <v>27</v>
      </c>
      <c r="F492" s="22" t="s">
        <v>1468</v>
      </c>
      <c r="G492" s="22">
        <v>15.43</v>
      </c>
      <c r="H492" s="22">
        <v>1</v>
      </c>
      <c r="I492" s="22">
        <v>0.77149999999999996</v>
      </c>
      <c r="J492" s="23">
        <v>16.201499999999999</v>
      </c>
      <c r="K492" s="24" t="s">
        <v>1584</v>
      </c>
      <c r="L492" s="25">
        <v>0.65694444444444444</v>
      </c>
      <c r="M492" s="22" t="s">
        <v>1477</v>
      </c>
      <c r="N492" s="26">
        <v>15.43</v>
      </c>
      <c r="O492" s="27">
        <f t="shared" si="7"/>
        <v>4.761904762E-2</v>
      </c>
      <c r="P492" s="23">
        <v>0.77149999999999996</v>
      </c>
      <c r="Q492" s="28">
        <v>6.1</v>
      </c>
      <c r="Y492" s="5" t="s">
        <v>1473</v>
      </c>
      <c r="Z492" s="5">
        <v>2</v>
      </c>
    </row>
    <row r="493" spans="1:26" x14ac:dyDescent="0.35">
      <c r="A493" s="21" t="s">
        <v>2034</v>
      </c>
      <c r="B493" s="22" t="s">
        <v>1466</v>
      </c>
      <c r="C493" s="22" t="s">
        <v>1467</v>
      </c>
      <c r="D493" s="22" t="s">
        <v>1461</v>
      </c>
      <c r="E493" s="22" t="s">
        <v>27</v>
      </c>
      <c r="F493" s="22" t="s">
        <v>1482</v>
      </c>
      <c r="G493" s="22">
        <v>16.16</v>
      </c>
      <c r="H493" s="22">
        <v>2</v>
      </c>
      <c r="I493" s="22">
        <v>1.6160000000000001</v>
      </c>
      <c r="J493" s="23">
        <v>33.936</v>
      </c>
      <c r="K493" s="24">
        <v>43649</v>
      </c>
      <c r="L493" s="25">
        <v>0.49236111111111114</v>
      </c>
      <c r="M493" s="22" t="s">
        <v>1469</v>
      </c>
      <c r="N493" s="26">
        <v>32.32</v>
      </c>
      <c r="O493" s="27">
        <f t="shared" si="7"/>
        <v>4.761904762E-2</v>
      </c>
      <c r="P493" s="23">
        <v>1.6160000000000001</v>
      </c>
      <c r="Q493" s="28">
        <v>6.5</v>
      </c>
      <c r="Y493" s="5" t="s">
        <v>1462</v>
      </c>
      <c r="Z493" s="5">
        <v>4</v>
      </c>
    </row>
    <row r="494" spans="1:26" x14ac:dyDescent="0.35">
      <c r="A494" s="21" t="s">
        <v>2035</v>
      </c>
      <c r="B494" s="22" t="s">
        <v>1475</v>
      </c>
      <c r="C494" s="22" t="s">
        <v>1476</v>
      </c>
      <c r="D494" s="22" t="s">
        <v>1461</v>
      </c>
      <c r="E494" s="22" t="s">
        <v>19</v>
      </c>
      <c r="F494" s="22" t="s">
        <v>1462</v>
      </c>
      <c r="G494" s="22">
        <v>85.98</v>
      </c>
      <c r="H494" s="22">
        <v>8</v>
      </c>
      <c r="I494" s="22">
        <v>34.392000000000003</v>
      </c>
      <c r="J494" s="66">
        <v>722.23199999999997</v>
      </c>
      <c r="K494" s="24" t="s">
        <v>1683</v>
      </c>
      <c r="L494" s="25">
        <v>0.79236111111111107</v>
      </c>
      <c r="M494" s="22" t="s">
        <v>1464</v>
      </c>
      <c r="N494" s="26">
        <v>687.84</v>
      </c>
      <c r="O494" s="27">
        <f t="shared" si="7"/>
        <v>4.761904762E-2</v>
      </c>
      <c r="P494" s="23">
        <v>34.392000000000003</v>
      </c>
      <c r="Q494" s="28">
        <v>8.1999999999999993</v>
      </c>
      <c r="Y494" s="5" t="s">
        <v>1473</v>
      </c>
      <c r="Z494" s="5">
        <v>9</v>
      </c>
    </row>
    <row r="495" spans="1:26" x14ac:dyDescent="0.35">
      <c r="A495" s="21" t="s">
        <v>2036</v>
      </c>
      <c r="B495" s="22" t="s">
        <v>1459</v>
      </c>
      <c r="C495" s="22" t="s">
        <v>1460</v>
      </c>
      <c r="D495" s="22" t="s">
        <v>1479</v>
      </c>
      <c r="E495" s="22" t="s">
        <v>27</v>
      </c>
      <c r="F495" s="22" t="s">
        <v>1482</v>
      </c>
      <c r="G495" s="22">
        <v>44.34</v>
      </c>
      <c r="H495" s="22">
        <v>2</v>
      </c>
      <c r="I495" s="22">
        <v>4.4340000000000002</v>
      </c>
      <c r="J495" s="23">
        <v>93.114000000000004</v>
      </c>
      <c r="K495" s="24" t="s">
        <v>1531</v>
      </c>
      <c r="L495" s="25">
        <v>0.47638888888888886</v>
      </c>
      <c r="M495" s="22" t="s">
        <v>1464</v>
      </c>
      <c r="N495" s="26">
        <v>88.68</v>
      </c>
      <c r="O495" s="27">
        <f t="shared" si="7"/>
        <v>4.761904762E-2</v>
      </c>
      <c r="P495" s="23">
        <v>4.4340000000000002</v>
      </c>
      <c r="Q495" s="28">
        <v>5.8</v>
      </c>
      <c r="Y495" s="5" t="s">
        <v>1486</v>
      </c>
      <c r="Z495" s="5">
        <v>9</v>
      </c>
    </row>
    <row r="496" spans="1:26" x14ac:dyDescent="0.35">
      <c r="A496" s="21" t="s">
        <v>2037</v>
      </c>
      <c r="B496" s="22" t="s">
        <v>1459</v>
      </c>
      <c r="C496" s="22" t="s">
        <v>1460</v>
      </c>
      <c r="D496" s="22" t="s">
        <v>1461</v>
      </c>
      <c r="E496" s="22" t="s">
        <v>27</v>
      </c>
      <c r="F496" s="22" t="s">
        <v>1473</v>
      </c>
      <c r="G496" s="22">
        <v>89.6</v>
      </c>
      <c r="H496" s="22">
        <v>8</v>
      </c>
      <c r="I496" s="22">
        <v>35.840000000000003</v>
      </c>
      <c r="J496" s="66">
        <v>752.64</v>
      </c>
      <c r="K496" s="24">
        <v>43648</v>
      </c>
      <c r="L496" s="25">
        <v>0.4777777777777778</v>
      </c>
      <c r="M496" s="22" t="s">
        <v>1469</v>
      </c>
      <c r="N496" s="26">
        <v>716.8</v>
      </c>
      <c r="O496" s="27">
        <f t="shared" si="7"/>
        <v>4.761904762E-2</v>
      </c>
      <c r="P496" s="23">
        <v>35.840000000000003</v>
      </c>
      <c r="Q496" s="28">
        <v>6.6</v>
      </c>
      <c r="Y496" s="5" t="s">
        <v>1462</v>
      </c>
      <c r="Z496" s="5">
        <v>6</v>
      </c>
    </row>
    <row r="497" spans="1:26" x14ac:dyDescent="0.35">
      <c r="A497" s="21" t="s">
        <v>2038</v>
      </c>
      <c r="B497" s="22" t="s">
        <v>1459</v>
      </c>
      <c r="C497" s="22" t="s">
        <v>1460</v>
      </c>
      <c r="D497" s="22" t="s">
        <v>1479</v>
      </c>
      <c r="E497" s="22" t="s">
        <v>19</v>
      </c>
      <c r="F497" s="22" t="s">
        <v>1482</v>
      </c>
      <c r="G497" s="22">
        <v>72.349999999999994</v>
      </c>
      <c r="H497" s="22">
        <v>10</v>
      </c>
      <c r="I497" s="22">
        <v>36.174999999999997</v>
      </c>
      <c r="J497" s="66">
        <v>759.67499999999995</v>
      </c>
      <c r="K497" s="24" t="s">
        <v>1483</v>
      </c>
      <c r="L497" s="25">
        <v>0.66319444444444442</v>
      </c>
      <c r="M497" s="22" t="s">
        <v>1464</v>
      </c>
      <c r="N497" s="26">
        <v>723.5</v>
      </c>
      <c r="O497" s="27">
        <f t="shared" si="7"/>
        <v>4.761904762E-2</v>
      </c>
      <c r="P497" s="23">
        <v>36.174999999999997</v>
      </c>
      <c r="Q497" s="28">
        <v>5.4</v>
      </c>
      <c r="Y497" s="5" t="s">
        <v>1468</v>
      </c>
      <c r="Z497" s="5">
        <v>10</v>
      </c>
    </row>
    <row r="498" spans="1:26" x14ac:dyDescent="0.35">
      <c r="A498" s="21" t="s">
        <v>2039</v>
      </c>
      <c r="B498" s="22" t="s">
        <v>1475</v>
      </c>
      <c r="C498" s="22" t="s">
        <v>1476</v>
      </c>
      <c r="D498" s="22" t="s">
        <v>1461</v>
      </c>
      <c r="E498" s="22" t="s">
        <v>27</v>
      </c>
      <c r="F498" s="22" t="s">
        <v>1462</v>
      </c>
      <c r="G498" s="22">
        <v>30.61</v>
      </c>
      <c r="H498" s="22">
        <v>6</v>
      </c>
      <c r="I498" s="22">
        <v>9.1829999999999998</v>
      </c>
      <c r="J498" s="23">
        <v>192.84299999999999</v>
      </c>
      <c r="K498" s="24">
        <v>43802</v>
      </c>
      <c r="L498" s="25">
        <v>0.85833333333333328</v>
      </c>
      <c r="M498" s="22" t="s">
        <v>1464</v>
      </c>
      <c r="N498" s="26">
        <v>183.66</v>
      </c>
      <c r="O498" s="27">
        <f t="shared" si="7"/>
        <v>4.761904762E-2</v>
      </c>
      <c r="P498" s="23">
        <v>9.1829999999999998</v>
      </c>
      <c r="Q498" s="28">
        <v>9.3000000000000007</v>
      </c>
      <c r="Y498" s="5" t="s">
        <v>1486</v>
      </c>
      <c r="Z498" s="5">
        <v>7</v>
      </c>
    </row>
    <row r="499" spans="1:26" x14ac:dyDescent="0.35">
      <c r="A499" s="21" t="s">
        <v>2040</v>
      </c>
      <c r="B499" s="22" t="s">
        <v>1475</v>
      </c>
      <c r="C499" s="22" t="s">
        <v>1476</v>
      </c>
      <c r="D499" s="22" t="s">
        <v>1479</v>
      </c>
      <c r="E499" s="22" t="s">
        <v>19</v>
      </c>
      <c r="F499" s="22" t="s">
        <v>1501</v>
      </c>
      <c r="G499" s="22">
        <v>24.74</v>
      </c>
      <c r="H499" s="22">
        <v>3</v>
      </c>
      <c r="I499" s="22">
        <v>3.7109999999999999</v>
      </c>
      <c r="J499" s="23">
        <v>77.930999999999997</v>
      </c>
      <c r="K499" s="24" t="s">
        <v>1544</v>
      </c>
      <c r="L499" s="25">
        <v>0.74097222222222225</v>
      </c>
      <c r="M499" s="22" t="s">
        <v>1477</v>
      </c>
      <c r="N499" s="26">
        <v>74.22</v>
      </c>
      <c r="O499" s="27">
        <f t="shared" si="7"/>
        <v>4.761904762E-2</v>
      </c>
      <c r="P499" s="23">
        <v>3.7109999999999999</v>
      </c>
      <c r="Q499" s="28">
        <v>10</v>
      </c>
      <c r="Y499" s="5" t="s">
        <v>1486</v>
      </c>
      <c r="Z499" s="5">
        <v>5</v>
      </c>
    </row>
    <row r="500" spans="1:26" x14ac:dyDescent="0.35">
      <c r="A500" s="21" t="s">
        <v>2041</v>
      </c>
      <c r="B500" s="22" t="s">
        <v>1475</v>
      </c>
      <c r="C500" s="22" t="s">
        <v>1476</v>
      </c>
      <c r="D500" s="22" t="s">
        <v>1461</v>
      </c>
      <c r="E500" s="22" t="s">
        <v>27</v>
      </c>
      <c r="F500" s="22" t="s">
        <v>1482</v>
      </c>
      <c r="G500" s="22">
        <v>55.73</v>
      </c>
      <c r="H500" s="22">
        <v>6</v>
      </c>
      <c r="I500" s="22">
        <v>16.719000000000001</v>
      </c>
      <c r="J500" s="23">
        <v>351.09899999999999</v>
      </c>
      <c r="K500" s="24" t="s">
        <v>1614</v>
      </c>
      <c r="L500" s="25">
        <v>0.4548611111111111</v>
      </c>
      <c r="M500" s="22" t="s">
        <v>1469</v>
      </c>
      <c r="N500" s="26">
        <v>334.38</v>
      </c>
      <c r="O500" s="27">
        <f t="shared" si="7"/>
        <v>4.761904762E-2</v>
      </c>
      <c r="P500" s="23">
        <v>16.719000000000001</v>
      </c>
      <c r="Q500" s="28">
        <v>7</v>
      </c>
      <c r="Y500" s="5" t="s">
        <v>1468</v>
      </c>
      <c r="Z500" s="5">
        <v>4</v>
      </c>
    </row>
    <row r="501" spans="1:26" x14ac:dyDescent="0.35">
      <c r="A501" s="21" t="s">
        <v>2042</v>
      </c>
      <c r="B501" s="22" t="s">
        <v>1466</v>
      </c>
      <c r="C501" s="22" t="s">
        <v>1467</v>
      </c>
      <c r="D501" s="22" t="s">
        <v>1479</v>
      </c>
      <c r="E501" s="22" t="s">
        <v>19</v>
      </c>
      <c r="F501" s="22" t="s">
        <v>1501</v>
      </c>
      <c r="G501" s="22">
        <v>55.07</v>
      </c>
      <c r="H501" s="22">
        <v>9</v>
      </c>
      <c r="I501" s="22">
        <v>24.781500000000001</v>
      </c>
      <c r="J501" s="66">
        <v>520.41150000000005</v>
      </c>
      <c r="K501" s="24">
        <v>43526</v>
      </c>
      <c r="L501" s="25">
        <v>0.56944444444444442</v>
      </c>
      <c r="M501" s="22" t="s">
        <v>1469</v>
      </c>
      <c r="N501" s="26">
        <v>495.63</v>
      </c>
      <c r="O501" s="27">
        <f t="shared" si="7"/>
        <v>4.761904762E-2</v>
      </c>
      <c r="P501" s="23">
        <v>24.781500000000001</v>
      </c>
      <c r="Q501" s="28">
        <v>10</v>
      </c>
      <c r="Y501" s="5" t="s">
        <v>1468</v>
      </c>
      <c r="Z501" s="5">
        <v>1</v>
      </c>
    </row>
    <row r="502" spans="1:26" x14ac:dyDescent="0.35">
      <c r="A502" s="21" t="s">
        <v>2043</v>
      </c>
      <c r="B502" s="22" t="s">
        <v>1459</v>
      </c>
      <c r="C502" s="22" t="s">
        <v>1460</v>
      </c>
      <c r="D502" s="22" t="s">
        <v>1479</v>
      </c>
      <c r="E502" s="22" t="s">
        <v>27</v>
      </c>
      <c r="F502" s="22" t="s">
        <v>1501</v>
      </c>
      <c r="G502" s="22">
        <v>15.81</v>
      </c>
      <c r="H502" s="22">
        <v>10</v>
      </c>
      <c r="I502" s="22">
        <v>7.9050000000000002</v>
      </c>
      <c r="J502" s="23">
        <v>166.005</v>
      </c>
      <c r="K502" s="24">
        <v>43619</v>
      </c>
      <c r="L502" s="25">
        <v>0.51875000000000004</v>
      </c>
      <c r="M502" s="22" t="s">
        <v>1477</v>
      </c>
      <c r="N502" s="26">
        <v>158.1</v>
      </c>
      <c r="O502" s="27">
        <f t="shared" si="7"/>
        <v>4.761904762E-2</v>
      </c>
      <c r="P502" s="23">
        <v>7.9050000000000002</v>
      </c>
      <c r="Q502" s="28">
        <v>8.6</v>
      </c>
      <c r="Y502" s="5" t="s">
        <v>1482</v>
      </c>
      <c r="Z502" s="5">
        <v>2</v>
      </c>
    </row>
    <row r="503" spans="1:26" x14ac:dyDescent="0.35">
      <c r="A503" s="21" t="s">
        <v>2044</v>
      </c>
      <c r="B503" s="22" t="s">
        <v>1466</v>
      </c>
      <c r="C503" s="22" t="s">
        <v>1467</v>
      </c>
      <c r="D503" s="22" t="s">
        <v>1479</v>
      </c>
      <c r="E503" s="22" t="s">
        <v>27</v>
      </c>
      <c r="F503" s="22" t="s">
        <v>1473</v>
      </c>
      <c r="G503" s="22">
        <v>75.739999999999995</v>
      </c>
      <c r="H503" s="22">
        <v>4</v>
      </c>
      <c r="I503" s="22">
        <v>15.148</v>
      </c>
      <c r="J503" s="23">
        <v>318.108</v>
      </c>
      <c r="K503" s="24" t="s">
        <v>1800</v>
      </c>
      <c r="L503" s="25">
        <v>0.60763888888888884</v>
      </c>
      <c r="M503" s="22" t="s">
        <v>1464</v>
      </c>
      <c r="N503" s="26">
        <v>302.95999999999998</v>
      </c>
      <c r="O503" s="27">
        <f t="shared" si="7"/>
        <v>4.761904762E-2</v>
      </c>
      <c r="P503" s="23">
        <v>15.148</v>
      </c>
      <c r="Q503" s="28">
        <v>7.6</v>
      </c>
      <c r="Y503" s="5" t="s">
        <v>1462</v>
      </c>
      <c r="Z503" s="5">
        <v>8</v>
      </c>
    </row>
    <row r="504" spans="1:26" x14ac:dyDescent="0.35">
      <c r="A504" s="21" t="s">
        <v>2045</v>
      </c>
      <c r="B504" s="22" t="s">
        <v>1459</v>
      </c>
      <c r="C504" s="22" t="s">
        <v>1460</v>
      </c>
      <c r="D504" s="22" t="s">
        <v>1479</v>
      </c>
      <c r="E504" s="22" t="s">
        <v>27</v>
      </c>
      <c r="F504" s="22" t="s">
        <v>1473</v>
      </c>
      <c r="G504" s="22">
        <v>15.87</v>
      </c>
      <c r="H504" s="22">
        <v>10</v>
      </c>
      <c r="I504" s="22">
        <v>7.9349999999999996</v>
      </c>
      <c r="J504" s="23">
        <v>166.63499999999999</v>
      </c>
      <c r="K504" s="24" t="s">
        <v>1658</v>
      </c>
      <c r="L504" s="25">
        <v>0.69444444444444442</v>
      </c>
      <c r="M504" s="22" t="s">
        <v>1464</v>
      </c>
      <c r="N504" s="26">
        <v>158.69999999999999</v>
      </c>
      <c r="O504" s="27">
        <f t="shared" si="7"/>
        <v>4.761904762E-2</v>
      </c>
      <c r="P504" s="23">
        <v>7.9349999999999996</v>
      </c>
      <c r="Q504" s="28">
        <v>5.8</v>
      </c>
      <c r="Y504" s="5" t="s">
        <v>1482</v>
      </c>
      <c r="Z504" s="5">
        <v>2</v>
      </c>
    </row>
    <row r="505" spans="1:26" x14ac:dyDescent="0.35">
      <c r="A505" s="21" t="s">
        <v>2046</v>
      </c>
      <c r="B505" s="22" t="s">
        <v>1475</v>
      </c>
      <c r="C505" s="22" t="s">
        <v>1476</v>
      </c>
      <c r="D505" s="22" t="s">
        <v>1461</v>
      </c>
      <c r="E505" s="22" t="s">
        <v>19</v>
      </c>
      <c r="F505" s="22" t="s">
        <v>1473</v>
      </c>
      <c r="G505" s="22">
        <v>33.47</v>
      </c>
      <c r="H505" s="22">
        <v>2</v>
      </c>
      <c r="I505" s="22">
        <v>3.347</v>
      </c>
      <c r="J505" s="23">
        <v>70.287000000000006</v>
      </c>
      <c r="K505" s="24">
        <v>43740</v>
      </c>
      <c r="L505" s="25">
        <v>0.65486111111111112</v>
      </c>
      <c r="M505" s="22" t="s">
        <v>1469</v>
      </c>
      <c r="N505" s="26">
        <v>66.94</v>
      </c>
      <c r="O505" s="27">
        <f t="shared" si="7"/>
        <v>4.761904762E-2</v>
      </c>
      <c r="P505" s="23">
        <v>3.347</v>
      </c>
      <c r="Q505" s="28">
        <v>6.7</v>
      </c>
      <c r="Y505" s="5" t="s">
        <v>1473</v>
      </c>
      <c r="Z505" s="5">
        <v>8</v>
      </c>
    </row>
    <row r="506" spans="1:26" x14ac:dyDescent="0.35">
      <c r="A506" s="21" t="s">
        <v>2047</v>
      </c>
      <c r="B506" s="22" t="s">
        <v>1466</v>
      </c>
      <c r="C506" s="22" t="s">
        <v>1467</v>
      </c>
      <c r="D506" s="22" t="s">
        <v>1479</v>
      </c>
      <c r="E506" s="22" t="s">
        <v>19</v>
      </c>
      <c r="F506" s="22" t="s">
        <v>1468</v>
      </c>
      <c r="G506" s="22">
        <v>97.61</v>
      </c>
      <c r="H506" s="22">
        <v>6</v>
      </c>
      <c r="I506" s="22">
        <v>29.283000000000001</v>
      </c>
      <c r="J506" s="66">
        <v>614.94299999999998</v>
      </c>
      <c r="K506" s="24">
        <v>43647</v>
      </c>
      <c r="L506" s="25">
        <v>0.62569444444444444</v>
      </c>
      <c r="M506" s="22" t="s">
        <v>1469</v>
      </c>
      <c r="N506" s="26">
        <v>585.66</v>
      </c>
      <c r="O506" s="27">
        <f t="shared" si="7"/>
        <v>4.761904762E-2</v>
      </c>
      <c r="P506" s="23">
        <v>29.283000000000001</v>
      </c>
      <c r="Q506" s="28">
        <v>9.9</v>
      </c>
      <c r="Y506" s="5" t="s">
        <v>1482</v>
      </c>
      <c r="Z506" s="5">
        <v>10</v>
      </c>
    </row>
    <row r="507" spans="1:26" x14ac:dyDescent="0.35">
      <c r="A507" s="21" t="s">
        <v>2048</v>
      </c>
      <c r="B507" s="22" t="s">
        <v>1459</v>
      </c>
      <c r="C507" s="22" t="s">
        <v>1460</v>
      </c>
      <c r="D507" s="22" t="s">
        <v>1461</v>
      </c>
      <c r="E507" s="22" t="s">
        <v>27</v>
      </c>
      <c r="F507" s="22" t="s">
        <v>1501</v>
      </c>
      <c r="G507" s="22">
        <v>78.77</v>
      </c>
      <c r="H507" s="22">
        <v>10</v>
      </c>
      <c r="I507" s="22">
        <v>39.384999999999998</v>
      </c>
      <c r="J507" s="66">
        <v>827.08500000000004</v>
      </c>
      <c r="K507" s="24" t="s">
        <v>1566</v>
      </c>
      <c r="L507" s="25">
        <v>0.41944444444444445</v>
      </c>
      <c r="M507" s="22" t="s">
        <v>1464</v>
      </c>
      <c r="N507" s="26">
        <v>787.7</v>
      </c>
      <c r="O507" s="27">
        <f t="shared" si="7"/>
        <v>4.761904762E-2</v>
      </c>
      <c r="P507" s="23">
        <v>39.384999999999998</v>
      </c>
      <c r="Q507" s="28">
        <v>6.4</v>
      </c>
      <c r="Y507" s="5" t="s">
        <v>1462</v>
      </c>
      <c r="Z507" s="5">
        <v>6</v>
      </c>
    </row>
    <row r="508" spans="1:26" x14ac:dyDescent="0.35">
      <c r="A508" s="21" t="s">
        <v>2049</v>
      </c>
      <c r="B508" s="22" t="s">
        <v>1459</v>
      </c>
      <c r="C508" s="22" t="s">
        <v>1460</v>
      </c>
      <c r="D508" s="22" t="s">
        <v>1479</v>
      </c>
      <c r="E508" s="22" t="s">
        <v>19</v>
      </c>
      <c r="F508" s="22" t="s">
        <v>1473</v>
      </c>
      <c r="G508" s="22">
        <v>18.329999999999998</v>
      </c>
      <c r="H508" s="22">
        <v>1</v>
      </c>
      <c r="I508" s="22">
        <v>0.91649999999999998</v>
      </c>
      <c r="J508" s="23">
        <v>19.246500000000001</v>
      </c>
      <c r="K508" s="24">
        <v>43498</v>
      </c>
      <c r="L508" s="25">
        <v>0.78472222222222221</v>
      </c>
      <c r="M508" s="22" t="s">
        <v>1464</v>
      </c>
      <c r="N508" s="26">
        <v>18.329999999999998</v>
      </c>
      <c r="O508" s="27">
        <f t="shared" si="7"/>
        <v>4.761904762E-2</v>
      </c>
      <c r="P508" s="23">
        <v>0.91649999999999998</v>
      </c>
      <c r="Q508" s="28">
        <v>4.3</v>
      </c>
      <c r="Y508" s="5" t="s">
        <v>1501</v>
      </c>
      <c r="Z508" s="5">
        <v>3</v>
      </c>
    </row>
    <row r="509" spans="1:26" x14ac:dyDescent="0.35">
      <c r="A509" s="21" t="s">
        <v>2050</v>
      </c>
      <c r="B509" s="22" t="s">
        <v>1475</v>
      </c>
      <c r="C509" s="22" t="s">
        <v>1476</v>
      </c>
      <c r="D509" s="22" t="s">
        <v>1461</v>
      </c>
      <c r="E509" s="22" t="s">
        <v>27</v>
      </c>
      <c r="F509" s="22" t="s">
        <v>1486</v>
      </c>
      <c r="G509" s="22">
        <v>89.48</v>
      </c>
      <c r="H509" s="22">
        <v>10</v>
      </c>
      <c r="I509" s="22">
        <v>44.74</v>
      </c>
      <c r="J509" s="66">
        <v>939.54</v>
      </c>
      <c r="K509" s="24">
        <v>43617</v>
      </c>
      <c r="L509" s="25">
        <v>0.53194444444444444</v>
      </c>
      <c r="M509" s="22" t="s">
        <v>1477</v>
      </c>
      <c r="N509" s="26">
        <v>894.8</v>
      </c>
      <c r="O509" s="27">
        <f t="shared" si="7"/>
        <v>4.761904762E-2</v>
      </c>
      <c r="P509" s="23">
        <v>44.74</v>
      </c>
      <c r="Q509" s="28">
        <v>9.6</v>
      </c>
      <c r="Y509" s="5" t="s">
        <v>1482</v>
      </c>
      <c r="Z509" s="5">
        <v>6</v>
      </c>
    </row>
    <row r="510" spans="1:26" x14ac:dyDescent="0.35">
      <c r="A510" s="21" t="s">
        <v>2051</v>
      </c>
      <c r="B510" s="22" t="s">
        <v>1475</v>
      </c>
      <c r="C510" s="22" t="s">
        <v>1476</v>
      </c>
      <c r="D510" s="22" t="s">
        <v>1461</v>
      </c>
      <c r="E510" s="22" t="s">
        <v>27</v>
      </c>
      <c r="F510" s="22" t="s">
        <v>1468</v>
      </c>
      <c r="G510" s="22">
        <v>62.12</v>
      </c>
      <c r="H510" s="22">
        <v>10</v>
      </c>
      <c r="I510" s="22">
        <v>31.06</v>
      </c>
      <c r="J510" s="66">
        <v>652.26</v>
      </c>
      <c r="K510" s="24">
        <v>43771</v>
      </c>
      <c r="L510" s="25">
        <v>0.67986111111111114</v>
      </c>
      <c r="M510" s="22" t="s">
        <v>1464</v>
      </c>
      <c r="N510" s="26">
        <v>621.20000000000005</v>
      </c>
      <c r="O510" s="27">
        <f t="shared" si="7"/>
        <v>4.761904762E-2</v>
      </c>
      <c r="P510" s="23">
        <v>31.06</v>
      </c>
      <c r="Q510" s="28">
        <v>5.9</v>
      </c>
      <c r="Y510" s="5" t="s">
        <v>1501</v>
      </c>
      <c r="Z510" s="5">
        <v>9</v>
      </c>
    </row>
    <row r="511" spans="1:26" x14ac:dyDescent="0.35">
      <c r="A511" s="21" t="s">
        <v>2052</v>
      </c>
      <c r="B511" s="22" t="s">
        <v>1466</v>
      </c>
      <c r="C511" s="22" t="s">
        <v>1467</v>
      </c>
      <c r="D511" s="22" t="s">
        <v>1479</v>
      </c>
      <c r="E511" s="22" t="s">
        <v>19</v>
      </c>
      <c r="F511" s="22" t="s">
        <v>1486</v>
      </c>
      <c r="G511" s="22">
        <v>48.52</v>
      </c>
      <c r="H511" s="22">
        <v>3</v>
      </c>
      <c r="I511" s="22">
        <v>7.2779999999999996</v>
      </c>
      <c r="J511" s="23">
        <v>152.83799999999999</v>
      </c>
      <c r="K511" s="24">
        <v>43588</v>
      </c>
      <c r="L511" s="25">
        <v>0.76180555555555551</v>
      </c>
      <c r="M511" s="22" t="s">
        <v>1469</v>
      </c>
      <c r="N511" s="26">
        <v>145.56</v>
      </c>
      <c r="O511" s="27">
        <f t="shared" si="7"/>
        <v>4.761904762E-2</v>
      </c>
      <c r="P511" s="23">
        <v>7.2779999999999996</v>
      </c>
      <c r="Q511" s="28">
        <v>4</v>
      </c>
      <c r="Y511" s="5" t="s">
        <v>1501</v>
      </c>
      <c r="Z511" s="5">
        <v>10</v>
      </c>
    </row>
    <row r="512" spans="1:26" x14ac:dyDescent="0.35">
      <c r="A512" s="21" t="s">
        <v>2053</v>
      </c>
      <c r="B512" s="22" t="s">
        <v>1475</v>
      </c>
      <c r="C512" s="22" t="s">
        <v>1476</v>
      </c>
      <c r="D512" s="22" t="s">
        <v>1461</v>
      </c>
      <c r="E512" s="22" t="s">
        <v>19</v>
      </c>
      <c r="F512" s="22" t="s">
        <v>1462</v>
      </c>
      <c r="G512" s="22">
        <v>75.91</v>
      </c>
      <c r="H512" s="22">
        <v>6</v>
      </c>
      <c r="I512" s="22">
        <v>22.773</v>
      </c>
      <c r="J512" s="23">
        <v>478.233</v>
      </c>
      <c r="K512" s="24">
        <v>43711</v>
      </c>
      <c r="L512" s="25">
        <v>0.76458333333333328</v>
      </c>
      <c r="M512" s="22" t="s">
        <v>1464</v>
      </c>
      <c r="N512" s="26">
        <v>455.46</v>
      </c>
      <c r="O512" s="27">
        <f t="shared" si="7"/>
        <v>4.761904762E-2</v>
      </c>
      <c r="P512" s="23">
        <v>22.773</v>
      </c>
      <c r="Q512" s="28">
        <v>8.6999999999999993</v>
      </c>
      <c r="Y512" s="5" t="s">
        <v>1473</v>
      </c>
      <c r="Z512" s="5">
        <v>4</v>
      </c>
    </row>
    <row r="513" spans="25:26" x14ac:dyDescent="0.35">
      <c r="Y513" s="5" t="s">
        <v>1473</v>
      </c>
      <c r="Z513" s="5">
        <v>10</v>
      </c>
    </row>
    <row r="514" spans="25:26" x14ac:dyDescent="0.35">
      <c r="Y514" s="5" t="s">
        <v>1473</v>
      </c>
      <c r="Z514" s="5">
        <v>2</v>
      </c>
    </row>
    <row r="515" spans="25:26" x14ac:dyDescent="0.35">
      <c r="Y515" s="5" t="s">
        <v>1468</v>
      </c>
      <c r="Z515" s="5">
        <v>6</v>
      </c>
    </row>
    <row r="516" spans="25:26" x14ac:dyDescent="0.35">
      <c r="Y516" s="5" t="s">
        <v>1501</v>
      </c>
      <c r="Z516" s="5">
        <v>10</v>
      </c>
    </row>
    <row r="517" spans="25:26" x14ac:dyDescent="0.35">
      <c r="Y517" s="5" t="s">
        <v>1473</v>
      </c>
      <c r="Z517" s="5">
        <v>1</v>
      </c>
    </row>
    <row r="518" spans="25:26" x14ac:dyDescent="0.35">
      <c r="Y518" s="5" t="s">
        <v>1486</v>
      </c>
      <c r="Z518" s="5">
        <v>10</v>
      </c>
    </row>
    <row r="519" spans="25:26" x14ac:dyDescent="0.35">
      <c r="Y519" s="5" t="s">
        <v>1468</v>
      </c>
      <c r="Z519" s="5">
        <v>10</v>
      </c>
    </row>
    <row r="520" spans="25:26" x14ac:dyDescent="0.35">
      <c r="Y520" s="5" t="s">
        <v>1486</v>
      </c>
      <c r="Z520" s="5">
        <v>3</v>
      </c>
    </row>
    <row r="521" spans="25:26" x14ac:dyDescent="0.35">
      <c r="Y521" s="5" t="s">
        <v>1462</v>
      </c>
      <c r="Z521" s="5">
        <v>6</v>
      </c>
    </row>
  </sheetData>
  <autoFilter ref="J1:J512" xr:uid="{5B9C36B5-1460-49D3-A6C7-428D9BF5B437}"/>
  <mergeCells count="3">
    <mergeCell ref="S5:W5"/>
    <mergeCell ref="Y5:AA5"/>
    <mergeCell ref="AC5:AG5"/>
  </mergeCells>
  <conditionalFormatting sqref="Q1">
    <cfRule type="dataBar" priority="1">
      <dataBar>
        <cfvo type="min"/>
        <cfvo type="max"/>
        <color rgb="FFD6007B"/>
      </dataBar>
      <extLst>
        <ext xmlns:x14="http://schemas.microsoft.com/office/spreadsheetml/2009/9/main" uri="{B025F937-C7B1-47D3-B67F-A62EFF666E3E}">
          <x14:id>{1A21518F-B374-4798-A2F9-9C62C5403D8D}</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HighlightData">
                <anchor moveWithCells="1" sizeWithCells="1">
                  <from>
                    <xdr:col>19</xdr:col>
                    <xdr:colOff>12700</xdr:colOff>
                    <xdr:row>6</xdr:row>
                    <xdr:rowOff>12700</xdr:rowOff>
                  </from>
                  <to>
                    <xdr:col>21</xdr:col>
                    <xdr:colOff>425450</xdr:colOff>
                    <xdr:row>8</xdr:row>
                    <xdr:rowOff>127000</xdr:rowOff>
                  </to>
                </anchor>
              </controlPr>
            </control>
          </mc:Choice>
        </mc:AlternateContent>
        <mc:AlternateContent xmlns:mc="http://schemas.openxmlformats.org/markup-compatibility/2006">
          <mc:Choice Requires="x14">
            <control shapeId="7171" r:id="rId4" name="Button 3">
              <controlPr defaultSize="0" print="0" autoFill="0" autoPict="0" macro="[0]!printQuantity">
                <anchor moveWithCells="1" sizeWithCells="1">
                  <from>
                    <xdr:col>24</xdr:col>
                    <xdr:colOff>679450</xdr:colOff>
                    <xdr:row>6</xdr:row>
                    <xdr:rowOff>6350</xdr:rowOff>
                  </from>
                  <to>
                    <xdr:col>26</xdr:col>
                    <xdr:colOff>355600</xdr:colOff>
                    <xdr:row>9</xdr:row>
                    <xdr:rowOff>0</xdr:rowOff>
                  </to>
                </anchor>
              </controlPr>
            </control>
          </mc:Choice>
        </mc:AlternateContent>
        <mc:AlternateContent xmlns:mc="http://schemas.openxmlformats.org/markup-compatibility/2006">
          <mc:Choice Requires="x14">
            <control shapeId="7172" r:id="rId5" name="Button 4">
              <controlPr defaultSize="0" print="0" autoFill="0" autoPict="0" macro="[0]!AverageRatingByProductLine">
                <anchor moveWithCells="1" sizeWithCells="1">
                  <from>
                    <xdr:col>28</xdr:col>
                    <xdr:colOff>368300</xdr:colOff>
                    <xdr:row>5</xdr:row>
                    <xdr:rowOff>107950</xdr:rowOff>
                  </from>
                  <to>
                    <xdr:col>29</xdr:col>
                    <xdr:colOff>787400</xdr:colOff>
                    <xdr:row>8</xdr:row>
                    <xdr:rowOff>63500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1A21518F-B374-4798-A2F9-9C62C5403D8D}">
            <x14:dataBar minLength="0" maxLength="100" border="1" negativeBarBorderColorSameAsPositive="0">
              <x14:cfvo type="autoMin"/>
              <x14:cfvo type="autoMax"/>
              <x14:borderColor rgb="FFD6007B"/>
              <x14:negativeFillColor rgb="FFFF0000"/>
              <x14:negativeBorderColor rgb="FFFF0000"/>
              <x14:axisColor rgb="FF000000"/>
            </x14:dataBar>
          </x14:cfRule>
          <xm:sqref>Q1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EmployeeData</vt:lpstr>
      <vt:lpstr>Pivot</vt:lpstr>
      <vt:lpstr>Dashboard</vt:lpstr>
      <vt:lpstr>SupermarketData</vt:lpstr>
      <vt:lpstr>IFS</vt:lpstr>
      <vt:lpstr>IndexandMatch</vt:lpstr>
      <vt:lpstr>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Trisha P</dc:creator>
  <cp:lastModifiedBy>Trisha P</cp:lastModifiedBy>
  <dcterms:created xsi:type="dcterms:W3CDTF">2024-10-24T05:31:41Z</dcterms:created>
  <dcterms:modified xsi:type="dcterms:W3CDTF">2024-10-28T14:23:03Z</dcterms:modified>
</cp:coreProperties>
</file>